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4.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5.xml" ContentType="application/vnd.openxmlformats-officedocument.drawing+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8.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9.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0.xml" ContentType="application/vnd.openxmlformats-officedocument.drawing+xml"/>
  <Override PartName="/xl/charts/chart37.xml" ContentType="application/vnd.openxmlformats-officedocument.drawingml.chart+xml"/>
  <Override PartName="/xl/drawings/drawing11.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ritik.baral/Desktop/WorkFolder/Sree Ganesh - New Venture/CareCart/"/>
    </mc:Choice>
  </mc:AlternateContent>
  <xr:revisionPtr revIDLastSave="0" documentId="13_ncr:20001_{5DB96B60-9E75-884B-9711-C23F0EC233BB}" xr6:coauthVersionLast="47" xr6:coauthVersionMax="47" xr10:uidLastSave="{00000000-0000-0000-0000-000000000000}"/>
  <bookViews>
    <workbookView xWindow="0" yWindow="0" windowWidth="28800" windowHeight="18000" firstSheet="8" activeTab="17" xr2:uid="{00000000-000D-0000-FFFF-FFFF00000000}"/>
  </bookViews>
  <sheets>
    <sheet name="Dashboard" sheetId="1" r:id="rId1"/>
    <sheet name="Global Inputs" sheetId="2" r:id="rId2"/>
    <sheet name="Service Economics" sheetId="3" r:id="rId3"/>
    <sheet name="Service Catalogue" sheetId="4" r:id="rId4"/>
    <sheet name="Whitefield Monthly Projection" sheetId="5" r:id="rId5"/>
    <sheet name="Profit Maximizer" sheetId="6" r:id="rId6"/>
    <sheet name="Path to Profitability" sheetId="7" r:id="rId7"/>
    <sheet name="Growth &amp; Pricing Strategy" sheetId="8" r:id="rId8"/>
    <sheet name="Founder Playbook" sheetId="9" r:id="rId9"/>
    <sheet name="NC Credits" sheetId="10" r:id="rId10"/>
    <sheet name="MVP1 Pricing &amp; SKU" sheetId="11" r:id="rId11"/>
    <sheet name="Angel Economics" sheetId="12" r:id="rId12"/>
    <sheet name="Customer Economics" sheetId="13" r:id="rId13"/>
    <sheet name="Service Portfolio" sheetId="14" r:id="rId14"/>
    <sheet name="Cash Runway" sheetId="15" r:id="rId15"/>
    <sheet name="Monthly P&amp;L" sheetId="16" r:id="rId16"/>
    <sheet name="Executive Dashboard" sheetId="17" r:id="rId17"/>
    <sheet name="Pricing Engine" sheetId="18" r:id="rId18"/>
    <sheet name="NivrāCredit Earning Matrix" sheetId="19" r:id="rId19"/>
    <sheet name="Global Pricing Config" sheetId="20" r:id="rId20"/>
    <sheet name="Service Master" sheetId="21" r:id="rId21"/>
    <sheet name="API Mapping" sheetId="22" r:id="rId22"/>
    <sheet name="Pricing API Test Cases" sheetId="23" r:id="rId23"/>
    <sheet name="Obsolete Logic Audit" sheetId="24" r:id="rId2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 i="23" l="1"/>
  <c r="N12" i="23"/>
  <c r="P11" i="23"/>
  <c r="N11" i="23"/>
  <c r="M11" i="23"/>
  <c r="P10" i="23"/>
  <c r="N10" i="23"/>
  <c r="M10" i="23"/>
  <c r="P9" i="23"/>
  <c r="N9" i="23"/>
  <c r="P8" i="23"/>
  <c r="N8" i="23"/>
  <c r="P7" i="23"/>
  <c r="N7" i="23"/>
  <c r="P6" i="23"/>
  <c r="N6" i="23"/>
  <c r="M6" i="23"/>
  <c r="P5" i="23"/>
  <c r="N5" i="23"/>
  <c r="M5" i="23"/>
  <c r="H34" i="21"/>
  <c r="F34" i="21"/>
  <c r="D34" i="21"/>
  <c r="C34" i="21"/>
  <c r="B34" i="21"/>
  <c r="H33" i="21"/>
  <c r="F33" i="21"/>
  <c r="D33" i="21"/>
  <c r="C33" i="21"/>
  <c r="B33" i="21"/>
  <c r="H32" i="21"/>
  <c r="F32" i="21"/>
  <c r="D32" i="21"/>
  <c r="C32" i="21"/>
  <c r="B32" i="21"/>
  <c r="H31" i="21"/>
  <c r="F31" i="21"/>
  <c r="D31" i="21"/>
  <c r="C31" i="21"/>
  <c r="B31" i="21"/>
  <c r="H30" i="21"/>
  <c r="F30" i="21"/>
  <c r="D30" i="21"/>
  <c r="C30" i="21"/>
  <c r="B30" i="21"/>
  <c r="P27" i="18" s="1"/>
  <c r="H29" i="21"/>
  <c r="F29" i="21"/>
  <c r="D29" i="21"/>
  <c r="C29" i="21"/>
  <c r="B29" i="21"/>
  <c r="P26" i="18" s="1"/>
  <c r="H28" i="21"/>
  <c r="F28" i="21"/>
  <c r="D28" i="21"/>
  <c r="C28" i="21"/>
  <c r="B28" i="21"/>
  <c r="H27" i="21"/>
  <c r="F27" i="21"/>
  <c r="D27" i="21"/>
  <c r="C27" i="21"/>
  <c r="B27" i="21"/>
  <c r="H26" i="21"/>
  <c r="F26" i="21"/>
  <c r="D26" i="21"/>
  <c r="C26" i="21"/>
  <c r="B26" i="21"/>
  <c r="P23" i="18" s="1"/>
  <c r="H25" i="21"/>
  <c r="F25" i="21"/>
  <c r="D25" i="21"/>
  <c r="C25" i="21"/>
  <c r="B25" i="21"/>
  <c r="H24" i="21"/>
  <c r="F24" i="21"/>
  <c r="D24" i="21"/>
  <c r="C24" i="21"/>
  <c r="B24" i="21"/>
  <c r="H23" i="21"/>
  <c r="F23" i="21"/>
  <c r="D23" i="21"/>
  <c r="C23" i="21"/>
  <c r="B23" i="21"/>
  <c r="P20" i="18" s="1"/>
  <c r="H22" i="21"/>
  <c r="F22" i="21"/>
  <c r="D22" i="21"/>
  <c r="C22" i="21"/>
  <c r="B22" i="21"/>
  <c r="P19" i="18" s="1"/>
  <c r="H21" i="21"/>
  <c r="F21" i="21"/>
  <c r="D21" i="21"/>
  <c r="C21" i="21"/>
  <c r="B21" i="21"/>
  <c r="P18" i="18" s="1"/>
  <c r="H20" i="21"/>
  <c r="F20" i="21"/>
  <c r="D20" i="21"/>
  <c r="C20" i="21"/>
  <c r="B20" i="21"/>
  <c r="H19" i="21"/>
  <c r="F19" i="21"/>
  <c r="D19" i="21"/>
  <c r="C19" i="21"/>
  <c r="B19" i="21"/>
  <c r="H18" i="21"/>
  <c r="F18" i="21"/>
  <c r="D18" i="21"/>
  <c r="C18" i="21"/>
  <c r="B18" i="21"/>
  <c r="H17" i="21"/>
  <c r="F17" i="21"/>
  <c r="D17" i="21"/>
  <c r="C17" i="21"/>
  <c r="B17" i="21"/>
  <c r="P14" i="18" s="1"/>
  <c r="H16" i="21"/>
  <c r="F16" i="21"/>
  <c r="D16" i="21"/>
  <c r="C16" i="21"/>
  <c r="B16" i="21"/>
  <c r="H15" i="21"/>
  <c r="F15" i="21"/>
  <c r="D15" i="21"/>
  <c r="C15" i="21"/>
  <c r="B15" i="21"/>
  <c r="H14" i="21"/>
  <c r="F14" i="21"/>
  <c r="D14" i="21"/>
  <c r="C14" i="21"/>
  <c r="B14" i="21"/>
  <c r="P11" i="18" s="1"/>
  <c r="H13" i="21"/>
  <c r="F13" i="21"/>
  <c r="D13" i="21"/>
  <c r="C13" i="21"/>
  <c r="B13" i="21"/>
  <c r="P10" i="18" s="1"/>
  <c r="H12" i="21"/>
  <c r="F12" i="21"/>
  <c r="D12" i="21"/>
  <c r="M12" i="23" s="1"/>
  <c r="C12" i="21"/>
  <c r="B12" i="21"/>
  <c r="H11" i="21"/>
  <c r="F11" i="21"/>
  <c r="D11" i="21"/>
  <c r="C11" i="21"/>
  <c r="B11" i="21"/>
  <c r="H10" i="21"/>
  <c r="F10" i="21"/>
  <c r="D10" i="21"/>
  <c r="C10" i="21"/>
  <c r="B10" i="21"/>
  <c r="P7" i="18" s="1"/>
  <c r="H9" i="21"/>
  <c r="F9" i="21"/>
  <c r="D9" i="21"/>
  <c r="C9" i="21"/>
  <c r="B9" i="21"/>
  <c r="P6" i="18" s="1"/>
  <c r="H8" i="21"/>
  <c r="F8" i="21"/>
  <c r="D8" i="21"/>
  <c r="C8" i="21"/>
  <c r="B8" i="21"/>
  <c r="H7" i="21"/>
  <c r="F7" i="21"/>
  <c r="D7" i="21"/>
  <c r="C7" i="21"/>
  <c r="B7" i="21"/>
  <c r="P4" i="18" s="1"/>
  <c r="H6" i="21"/>
  <c r="F6" i="21"/>
  <c r="D6" i="21"/>
  <c r="C6" i="21"/>
  <c r="B6" i="21"/>
  <c r="P3" i="18" s="1"/>
  <c r="H5" i="21"/>
  <c r="F5" i="21"/>
  <c r="D5" i="21"/>
  <c r="M7" i="23" s="1"/>
  <c r="C5" i="21"/>
  <c r="B5" i="21"/>
  <c r="B34" i="19"/>
  <c r="A34" i="19"/>
  <c r="B33" i="19"/>
  <c r="A33" i="19"/>
  <c r="B32" i="19"/>
  <c r="A32" i="19"/>
  <c r="B31" i="19"/>
  <c r="A31" i="19"/>
  <c r="B30" i="19"/>
  <c r="A30" i="19"/>
  <c r="B29" i="19"/>
  <c r="A29" i="19"/>
  <c r="B28" i="19"/>
  <c r="A28" i="19"/>
  <c r="B27" i="19"/>
  <c r="A27" i="19"/>
  <c r="B26" i="19"/>
  <c r="A26" i="19"/>
  <c r="B25" i="19"/>
  <c r="A25" i="19"/>
  <c r="B24" i="19"/>
  <c r="A24" i="19"/>
  <c r="B23" i="19"/>
  <c r="A23" i="19"/>
  <c r="B22" i="19"/>
  <c r="A22" i="19"/>
  <c r="B21" i="19"/>
  <c r="A21" i="19"/>
  <c r="B20" i="19"/>
  <c r="A20" i="19"/>
  <c r="B19" i="19"/>
  <c r="A19" i="19"/>
  <c r="B18" i="19"/>
  <c r="A18" i="19"/>
  <c r="B17" i="19"/>
  <c r="A17" i="19"/>
  <c r="B16" i="19"/>
  <c r="A16" i="19"/>
  <c r="B15" i="19"/>
  <c r="A15" i="19"/>
  <c r="B14" i="19"/>
  <c r="A14" i="19"/>
  <c r="B13" i="19"/>
  <c r="A13" i="19"/>
  <c r="B12" i="19"/>
  <c r="A12" i="19"/>
  <c r="B11" i="19"/>
  <c r="A11" i="19"/>
  <c r="B10" i="19"/>
  <c r="A10" i="19"/>
  <c r="B9" i="19"/>
  <c r="A9" i="19"/>
  <c r="B8" i="19"/>
  <c r="A8" i="19"/>
  <c r="B7" i="19"/>
  <c r="A7" i="19"/>
  <c r="B6" i="19"/>
  <c r="A6" i="19"/>
  <c r="B5" i="19"/>
  <c r="A5" i="19"/>
  <c r="D87" i="18"/>
  <c r="B83" i="18"/>
  <c r="B69" i="18"/>
  <c r="B66" i="18"/>
  <c r="B65" i="18"/>
  <c r="B64" i="18"/>
  <c r="B63" i="18"/>
  <c r="B62" i="18"/>
  <c r="B59" i="18"/>
  <c r="H57" i="18"/>
  <c r="H56" i="18"/>
  <c r="G41" i="18"/>
  <c r="G40" i="18"/>
  <c r="H68" i="18" s="1"/>
  <c r="B40" i="18"/>
  <c r="G39" i="18"/>
  <c r="G38" i="18"/>
  <c r="B38" i="18"/>
  <c r="M34" i="18"/>
  <c r="P31" i="18"/>
  <c r="P30" i="18"/>
  <c r="P29" i="18"/>
  <c r="D29" i="18"/>
  <c r="P28" i="18"/>
  <c r="D28" i="18"/>
  <c r="D30" i="18" s="1"/>
  <c r="D31" i="18" s="1"/>
  <c r="L27" i="18"/>
  <c r="L26" i="18"/>
  <c r="P25" i="18"/>
  <c r="L25" i="18"/>
  <c r="P24" i="18"/>
  <c r="L24" i="18"/>
  <c r="D24" i="18"/>
  <c r="L23" i="18"/>
  <c r="P22" i="18"/>
  <c r="D22" i="18"/>
  <c r="P21" i="18"/>
  <c r="L21" i="18"/>
  <c r="D21" i="18"/>
  <c r="G19" i="18"/>
  <c r="G18" i="18"/>
  <c r="P17" i="18"/>
  <c r="G17" i="18"/>
  <c r="P16" i="18"/>
  <c r="G16" i="18"/>
  <c r="P15" i="18"/>
  <c r="G15" i="18"/>
  <c r="G14" i="18"/>
  <c r="P13" i="18"/>
  <c r="G13" i="18"/>
  <c r="B13" i="18"/>
  <c r="P12" i="18"/>
  <c r="G11" i="18"/>
  <c r="G10" i="18"/>
  <c r="P9" i="18"/>
  <c r="P8" i="18"/>
  <c r="G8" i="18"/>
  <c r="G7" i="18"/>
  <c r="G6" i="18"/>
  <c r="B6" i="18"/>
  <c r="L22" i="18" s="1"/>
  <c r="P5" i="18"/>
  <c r="G5" i="18"/>
  <c r="P2" i="18"/>
  <c r="B28" i="17"/>
  <c r="D28" i="17" s="1"/>
  <c r="M9" i="17"/>
  <c r="B31" i="16"/>
  <c r="E16" i="16" s="1"/>
  <c r="M17" i="16"/>
  <c r="L17" i="16"/>
  <c r="K17" i="16"/>
  <c r="J17" i="16"/>
  <c r="I17" i="16"/>
  <c r="H17" i="16"/>
  <c r="G17" i="16"/>
  <c r="F17" i="16"/>
  <c r="E17" i="16"/>
  <c r="D17" i="16"/>
  <c r="C17" i="16"/>
  <c r="B17" i="16"/>
  <c r="M16" i="16"/>
  <c r="L16" i="16"/>
  <c r="K16" i="16"/>
  <c r="I16" i="16"/>
  <c r="B16" i="16"/>
  <c r="I35" i="15"/>
  <c r="I34" i="15"/>
  <c r="I33" i="15"/>
  <c r="I32" i="15"/>
  <c r="I31" i="15"/>
  <c r="I30" i="15"/>
  <c r="I29" i="15"/>
  <c r="I28" i="15"/>
  <c r="I27" i="15"/>
  <c r="I26" i="15"/>
  <c r="I25" i="15"/>
  <c r="I24" i="15"/>
  <c r="I23" i="15"/>
  <c r="I22" i="15"/>
  <c r="I21" i="15"/>
  <c r="I20" i="15"/>
  <c r="I19" i="15"/>
  <c r="I18" i="15"/>
  <c r="B9" i="15"/>
  <c r="B7" i="15"/>
  <c r="B6" i="15"/>
  <c r="I5" i="15"/>
  <c r="B5" i="15"/>
  <c r="G5" i="15" s="1"/>
  <c r="B18" i="15" s="1"/>
  <c r="O34" i="14"/>
  <c r="I34" i="14"/>
  <c r="H34" i="14"/>
  <c r="E34" i="14"/>
  <c r="D34" i="14"/>
  <c r="B34" i="14"/>
  <c r="O33" i="14"/>
  <c r="I33" i="14"/>
  <c r="H33" i="14"/>
  <c r="E33" i="14"/>
  <c r="D33" i="14"/>
  <c r="B33" i="14"/>
  <c r="O32" i="14"/>
  <c r="I32" i="14"/>
  <c r="H32" i="14"/>
  <c r="E32" i="14"/>
  <c r="D32" i="14"/>
  <c r="B32" i="14"/>
  <c r="O31" i="14"/>
  <c r="I31" i="14"/>
  <c r="H31" i="14"/>
  <c r="E31" i="14"/>
  <c r="D31" i="14"/>
  <c r="B31" i="14"/>
  <c r="O30" i="14"/>
  <c r="I30" i="14"/>
  <c r="H30" i="14"/>
  <c r="E30" i="14"/>
  <c r="D30" i="14"/>
  <c r="B30" i="14"/>
  <c r="O29" i="14"/>
  <c r="I29" i="14"/>
  <c r="H29" i="14"/>
  <c r="E29" i="14"/>
  <c r="D29" i="14"/>
  <c r="B29" i="14"/>
  <c r="O28" i="14"/>
  <c r="I28" i="14"/>
  <c r="H28" i="14"/>
  <c r="E28" i="14"/>
  <c r="D28" i="14"/>
  <c r="B28" i="14"/>
  <c r="O27" i="14"/>
  <c r="I27" i="14"/>
  <c r="H27" i="14"/>
  <c r="E27" i="14"/>
  <c r="D27" i="14"/>
  <c r="B27" i="14"/>
  <c r="O26" i="14"/>
  <c r="I26" i="14"/>
  <c r="H26" i="14"/>
  <c r="E26" i="14"/>
  <c r="D26" i="14"/>
  <c r="B26" i="14"/>
  <c r="O25" i="14"/>
  <c r="I25" i="14"/>
  <c r="H25" i="14"/>
  <c r="E25" i="14"/>
  <c r="D25" i="14"/>
  <c r="B25" i="14"/>
  <c r="O24" i="14"/>
  <c r="I24" i="14"/>
  <c r="H24" i="14"/>
  <c r="E24" i="14"/>
  <c r="D24" i="14"/>
  <c r="B24" i="14"/>
  <c r="O23" i="14"/>
  <c r="I23" i="14"/>
  <c r="H23" i="14"/>
  <c r="E23" i="14"/>
  <c r="D23" i="14"/>
  <c r="B23" i="14"/>
  <c r="O22" i="14"/>
  <c r="I22" i="14"/>
  <c r="H22" i="14"/>
  <c r="E22" i="14"/>
  <c r="D22" i="14"/>
  <c r="B22" i="14"/>
  <c r="O21" i="14"/>
  <c r="I21" i="14"/>
  <c r="H21" i="14"/>
  <c r="E21" i="14"/>
  <c r="D21" i="14"/>
  <c r="B21" i="14"/>
  <c r="O20" i="14"/>
  <c r="I20" i="14"/>
  <c r="H20" i="14"/>
  <c r="E20" i="14"/>
  <c r="D20" i="14"/>
  <c r="B20" i="14"/>
  <c r="O19" i="14"/>
  <c r="I19" i="14"/>
  <c r="H19" i="14"/>
  <c r="E19" i="14"/>
  <c r="D19" i="14"/>
  <c r="B19" i="14"/>
  <c r="O18" i="14"/>
  <c r="I18" i="14"/>
  <c r="H18" i="14"/>
  <c r="E18" i="14"/>
  <c r="D18" i="14"/>
  <c r="B18" i="14"/>
  <c r="O17" i="14"/>
  <c r="I17" i="14"/>
  <c r="H17" i="14"/>
  <c r="E17" i="14"/>
  <c r="D17" i="14"/>
  <c r="B17" i="14"/>
  <c r="O16" i="14"/>
  <c r="I16" i="14"/>
  <c r="H16" i="14"/>
  <c r="E16" i="14"/>
  <c r="D16" i="14"/>
  <c r="B16" i="14"/>
  <c r="O15" i="14"/>
  <c r="I15" i="14"/>
  <c r="H15" i="14"/>
  <c r="E15" i="14"/>
  <c r="D15" i="14"/>
  <c r="B15" i="14"/>
  <c r="O14" i="14"/>
  <c r="I14" i="14"/>
  <c r="H14" i="14"/>
  <c r="E14" i="14"/>
  <c r="D14" i="14"/>
  <c r="B14" i="14"/>
  <c r="O13" i="14"/>
  <c r="I13" i="14"/>
  <c r="H13" i="14"/>
  <c r="E13" i="14"/>
  <c r="D13" i="14"/>
  <c r="B13" i="14"/>
  <c r="O12" i="14"/>
  <c r="I12" i="14"/>
  <c r="H12" i="14"/>
  <c r="E12" i="14"/>
  <c r="D12" i="14"/>
  <c r="B12" i="14"/>
  <c r="O11" i="14"/>
  <c r="I11" i="14"/>
  <c r="H11" i="14"/>
  <c r="E11" i="14"/>
  <c r="D11" i="14"/>
  <c r="B11" i="14"/>
  <c r="O10" i="14"/>
  <c r="I10" i="14"/>
  <c r="H10" i="14"/>
  <c r="E10" i="14"/>
  <c r="D10" i="14"/>
  <c r="B10" i="14"/>
  <c r="O9" i="14"/>
  <c r="I9" i="14"/>
  <c r="H9" i="14"/>
  <c r="E9" i="14"/>
  <c r="D9" i="14"/>
  <c r="B9" i="14"/>
  <c r="O8" i="14"/>
  <c r="I8" i="14"/>
  <c r="H8" i="14"/>
  <c r="E8" i="14"/>
  <c r="D8" i="14"/>
  <c r="B8" i="14"/>
  <c r="O7" i="14"/>
  <c r="I7" i="14"/>
  <c r="H7" i="14"/>
  <c r="E7" i="14"/>
  <c r="D7" i="14"/>
  <c r="B7" i="14"/>
  <c r="O6" i="14"/>
  <c r="I6" i="14"/>
  <c r="H6" i="14"/>
  <c r="E6" i="14"/>
  <c r="D6" i="14"/>
  <c r="B6" i="14"/>
  <c r="O5" i="14"/>
  <c r="I5" i="14"/>
  <c r="H5" i="14"/>
  <c r="E5" i="14"/>
  <c r="D5" i="14"/>
  <c r="B5" i="14"/>
  <c r="D38" i="13"/>
  <c r="D37" i="13"/>
  <c r="D36" i="13"/>
  <c r="D35" i="13"/>
  <c r="B35" i="13"/>
  <c r="E35" i="13" s="1"/>
  <c r="D34" i="13"/>
  <c r="D33" i="13"/>
  <c r="D32" i="13"/>
  <c r="D31" i="13"/>
  <c r="I23" i="13"/>
  <c r="G23" i="13"/>
  <c r="I22" i="13"/>
  <c r="G22" i="13"/>
  <c r="I21" i="13"/>
  <c r="G21" i="13"/>
  <c r="I20" i="13"/>
  <c r="I19" i="13"/>
  <c r="G19" i="13"/>
  <c r="I18" i="13"/>
  <c r="G18" i="13"/>
  <c r="I17" i="13"/>
  <c r="G17" i="13"/>
  <c r="B5" i="13"/>
  <c r="B11" i="13" s="1"/>
  <c r="H9" i="12"/>
  <c r="B9" i="12"/>
  <c r="B8" i="12"/>
  <c r="B7" i="12"/>
  <c r="B6" i="12"/>
  <c r="B5" i="12"/>
  <c r="J39" i="11"/>
  <c r="L37" i="11"/>
  <c r="L36" i="11"/>
  <c r="J36" i="11"/>
  <c r="L35" i="11"/>
  <c r="J34" i="11"/>
  <c r="F32" i="11"/>
  <c r="L31" i="11"/>
  <c r="J31" i="11"/>
  <c r="V24" i="11"/>
  <c r="V23" i="11"/>
  <c r="V22" i="11"/>
  <c r="B19" i="11"/>
  <c r="B16" i="11"/>
  <c r="B14" i="11"/>
  <c r="B13" i="11"/>
  <c r="B12" i="11"/>
  <c r="V26" i="11" s="1"/>
  <c r="B11" i="11"/>
  <c r="B10" i="11"/>
  <c r="B9" i="11"/>
  <c r="B7" i="11"/>
  <c r="B5" i="11"/>
  <c r="B46" i="10"/>
  <c r="B10" i="10"/>
  <c r="B9" i="10"/>
  <c r="B8" i="10"/>
  <c r="M54" i="18" s="1"/>
  <c r="B7" i="10"/>
  <c r="B6" i="10"/>
  <c r="B5" i="10"/>
  <c r="B59" i="9"/>
  <c r="I44" i="9"/>
  <c r="G44" i="9"/>
  <c r="I43" i="9"/>
  <c r="G43" i="9"/>
  <c r="G42" i="9"/>
  <c r="H41" i="9"/>
  <c r="G41" i="9"/>
  <c r="G35" i="9"/>
  <c r="I35" i="9" s="1"/>
  <c r="B20" i="9"/>
  <c r="B14" i="9"/>
  <c r="K287" i="8"/>
  <c r="B271" i="8"/>
  <c r="B270" i="8"/>
  <c r="B269" i="8"/>
  <c r="B268" i="8"/>
  <c r="B267" i="8"/>
  <c r="F250" i="8"/>
  <c r="F249" i="8"/>
  <c r="F248" i="8"/>
  <c r="F247" i="8"/>
  <c r="H241" i="8"/>
  <c r="F241" i="8"/>
  <c r="H240" i="8"/>
  <c r="F240" i="8"/>
  <c r="F239" i="8"/>
  <c r="H239" i="8" s="1"/>
  <c r="F238" i="8"/>
  <c r="F237" i="8"/>
  <c r="H236" i="8"/>
  <c r="F236" i="8"/>
  <c r="L235" i="8"/>
  <c r="H235" i="8"/>
  <c r="F235" i="8"/>
  <c r="L234" i="8"/>
  <c r="H234" i="8"/>
  <c r="F234" i="8"/>
  <c r="L233" i="8"/>
  <c r="F233" i="8"/>
  <c r="H233" i="8" s="1"/>
  <c r="H232" i="8"/>
  <c r="F232" i="8"/>
  <c r="F213" i="8"/>
  <c r="F212" i="8"/>
  <c r="J206" i="8"/>
  <c r="H206" i="8"/>
  <c r="J205" i="8"/>
  <c r="H205" i="8"/>
  <c r="A205" i="8"/>
  <c r="J204" i="8"/>
  <c r="H204" i="8"/>
  <c r="J203" i="8"/>
  <c r="I203" i="8"/>
  <c r="H203" i="8"/>
  <c r="J202" i="8"/>
  <c r="H202" i="8"/>
  <c r="C202" i="8"/>
  <c r="G202" i="8" s="1"/>
  <c r="J201" i="8"/>
  <c r="H201" i="8"/>
  <c r="A201" i="8"/>
  <c r="J200" i="8"/>
  <c r="H200" i="8"/>
  <c r="J199" i="8"/>
  <c r="H199" i="8"/>
  <c r="J198" i="8"/>
  <c r="H198" i="8"/>
  <c r="J197" i="8"/>
  <c r="H197" i="8"/>
  <c r="J196" i="8"/>
  <c r="H196" i="8"/>
  <c r="C196" i="8"/>
  <c r="G196" i="8" s="1"/>
  <c r="J195" i="8"/>
  <c r="H195" i="8"/>
  <c r="J194" i="8"/>
  <c r="H194" i="8"/>
  <c r="G194" i="8"/>
  <c r="J193" i="8"/>
  <c r="H193" i="8"/>
  <c r="A193" i="8"/>
  <c r="J192" i="8"/>
  <c r="H192" i="8"/>
  <c r="J191" i="8"/>
  <c r="H191" i="8"/>
  <c r="J190" i="8"/>
  <c r="H190" i="8"/>
  <c r="J189" i="8"/>
  <c r="H189" i="8"/>
  <c r="J188" i="8"/>
  <c r="H188" i="8"/>
  <c r="G188" i="8"/>
  <c r="AP34" i="8" s="1"/>
  <c r="C188" i="8"/>
  <c r="J187" i="8"/>
  <c r="H187" i="8"/>
  <c r="J186" i="8"/>
  <c r="H186" i="8"/>
  <c r="J185" i="8"/>
  <c r="H185" i="8"/>
  <c r="J184" i="8"/>
  <c r="H184" i="8"/>
  <c r="J183" i="8"/>
  <c r="H183" i="8"/>
  <c r="J182" i="8"/>
  <c r="H182" i="8"/>
  <c r="J181" i="8"/>
  <c r="H181" i="8"/>
  <c r="J180" i="8"/>
  <c r="H180" i="8"/>
  <c r="N179" i="8"/>
  <c r="J179" i="8"/>
  <c r="H179" i="8"/>
  <c r="J178" i="8"/>
  <c r="H178" i="8"/>
  <c r="J177" i="8"/>
  <c r="H177" i="8"/>
  <c r="E168" i="8"/>
  <c r="F160" i="8"/>
  <c r="F159" i="8"/>
  <c r="F158" i="8"/>
  <c r="F157" i="8"/>
  <c r="E150" i="8"/>
  <c r="D150" i="8"/>
  <c r="I149" i="8"/>
  <c r="E149" i="8"/>
  <c r="D149" i="8"/>
  <c r="I148" i="8"/>
  <c r="F148" i="8"/>
  <c r="H148" i="8" s="1"/>
  <c r="AV17" i="8" s="1"/>
  <c r="E148" i="8"/>
  <c r="D148" i="8"/>
  <c r="E147" i="8"/>
  <c r="D147" i="8"/>
  <c r="I147" i="8" s="1"/>
  <c r="E146" i="8"/>
  <c r="D146" i="8"/>
  <c r="I145" i="8"/>
  <c r="E145" i="8"/>
  <c r="D145" i="8"/>
  <c r="I144" i="8"/>
  <c r="F144" i="8"/>
  <c r="H144" i="8" s="1"/>
  <c r="AV13" i="8" s="1"/>
  <c r="E144" i="8"/>
  <c r="D144" i="8"/>
  <c r="K136" i="8"/>
  <c r="K135" i="8"/>
  <c r="B121" i="8"/>
  <c r="E121" i="8" s="1"/>
  <c r="I120" i="8"/>
  <c r="B120" i="8"/>
  <c r="E118" i="8"/>
  <c r="B118" i="8"/>
  <c r="E117" i="8"/>
  <c r="B117" i="8"/>
  <c r="I116" i="8"/>
  <c r="E116" i="8"/>
  <c r="B116" i="8"/>
  <c r="B101" i="8"/>
  <c r="D100" i="8"/>
  <c r="C100" i="8"/>
  <c r="B100" i="8"/>
  <c r="B99" i="8"/>
  <c r="B98" i="8"/>
  <c r="B97" i="8"/>
  <c r="C97" i="8" s="1"/>
  <c r="D97" i="8" s="1"/>
  <c r="C96" i="8"/>
  <c r="D96" i="8" s="1"/>
  <c r="B96" i="8"/>
  <c r="K95" i="8"/>
  <c r="C95" i="8"/>
  <c r="B95" i="8"/>
  <c r="L88" i="8"/>
  <c r="L87" i="8"/>
  <c r="L86" i="8"/>
  <c r="L85" i="8"/>
  <c r="L84" i="8"/>
  <c r="C68" i="8"/>
  <c r="C67" i="8"/>
  <c r="C66" i="8"/>
  <c r="L65" i="8"/>
  <c r="C65" i="8"/>
  <c r="C64" i="8"/>
  <c r="I59" i="8"/>
  <c r="J59" i="8" s="1"/>
  <c r="J58" i="8"/>
  <c r="I58" i="8"/>
  <c r="M55" i="8"/>
  <c r="D48" i="8"/>
  <c r="B45" i="8"/>
  <c r="D44" i="8"/>
  <c r="B41" i="8"/>
  <c r="B36" i="8"/>
  <c r="M56" i="8" s="1"/>
  <c r="AY24" i="8"/>
  <c r="B24" i="8"/>
  <c r="AY23" i="8"/>
  <c r="F23" i="8"/>
  <c r="AY22" i="8"/>
  <c r="B22" i="8"/>
  <c r="AY21" i="8"/>
  <c r="AX21" i="8"/>
  <c r="B21" i="8"/>
  <c r="AY20" i="8"/>
  <c r="AY19" i="8"/>
  <c r="B19" i="8"/>
  <c r="AY18" i="8"/>
  <c r="B18" i="8"/>
  <c r="AY17" i="8"/>
  <c r="B17" i="8"/>
  <c r="AY16" i="8"/>
  <c r="B16" i="8"/>
  <c r="AY15" i="8"/>
  <c r="AY14" i="8"/>
  <c r="AY13" i="8"/>
  <c r="F13" i="8"/>
  <c r="F8" i="8"/>
  <c r="AS7" i="8"/>
  <c r="AS6" i="8"/>
  <c r="I6" i="8"/>
  <c r="F6" i="8"/>
  <c r="AS5" i="8"/>
  <c r="AS4" i="8"/>
  <c r="AS3" i="8"/>
  <c r="AA223" i="7"/>
  <c r="AA222" i="7"/>
  <c r="AA221" i="7"/>
  <c r="AA220" i="7"/>
  <c r="AA219" i="7"/>
  <c r="AA218" i="7"/>
  <c r="AA217" i="7"/>
  <c r="AA216" i="7"/>
  <c r="AA215" i="7"/>
  <c r="AA214" i="7"/>
  <c r="AA213" i="7"/>
  <c r="AA212" i="7"/>
  <c r="AA211" i="7"/>
  <c r="B162" i="7"/>
  <c r="N155" i="7"/>
  <c r="O153" i="7"/>
  <c r="O152" i="7"/>
  <c r="N151" i="7"/>
  <c r="U150" i="7"/>
  <c r="U149" i="7"/>
  <c r="U148" i="7"/>
  <c r="U147" i="7"/>
  <c r="U146" i="7"/>
  <c r="U145" i="7"/>
  <c r="O140" i="7"/>
  <c r="N139" i="7"/>
  <c r="N135" i="7"/>
  <c r="O133" i="7"/>
  <c r="I133" i="7"/>
  <c r="I132" i="7"/>
  <c r="I131" i="7"/>
  <c r="I130" i="7"/>
  <c r="N129" i="7"/>
  <c r="I129" i="7"/>
  <c r="I128" i="7"/>
  <c r="I127" i="7"/>
  <c r="U123" i="7"/>
  <c r="A107" i="7"/>
  <c r="A106" i="7"/>
  <c r="B105" i="7"/>
  <c r="B103" i="7"/>
  <c r="A102" i="7"/>
  <c r="B101" i="7"/>
  <c r="A98" i="7"/>
  <c r="B97" i="7"/>
  <c r="A94" i="7"/>
  <c r="B93" i="7"/>
  <c r="A90" i="7"/>
  <c r="B89" i="7"/>
  <c r="A86" i="7"/>
  <c r="B81" i="7"/>
  <c r="C49" i="7"/>
  <c r="A49" i="7"/>
  <c r="C48" i="7"/>
  <c r="A48" i="7"/>
  <c r="C47" i="7"/>
  <c r="A47" i="7"/>
  <c r="C46" i="7"/>
  <c r="A46" i="7"/>
  <c r="C45" i="7"/>
  <c r="B45" i="7"/>
  <c r="A45" i="7"/>
  <c r="C44" i="7"/>
  <c r="A44" i="7"/>
  <c r="C43" i="7"/>
  <c r="B43" i="7"/>
  <c r="A43" i="7"/>
  <c r="C42" i="7"/>
  <c r="A42" i="7"/>
  <c r="C41" i="7"/>
  <c r="A41" i="7"/>
  <c r="C40" i="7"/>
  <c r="B40" i="7"/>
  <c r="A40" i="7"/>
  <c r="C38" i="7"/>
  <c r="B38" i="7"/>
  <c r="A38" i="7"/>
  <c r="C37" i="7"/>
  <c r="A37" i="7"/>
  <c r="B36" i="7"/>
  <c r="B58" i="6"/>
  <c r="B44" i="7" s="1"/>
  <c r="B57" i="6"/>
  <c r="B56" i="6"/>
  <c r="B42" i="7" s="1"/>
  <c r="B52" i="6"/>
  <c r="AJ44" i="6"/>
  <c r="W44" i="6"/>
  <c r="V44" i="6"/>
  <c r="R44" i="6"/>
  <c r="D44" i="6"/>
  <c r="C44" i="6"/>
  <c r="B44" i="6"/>
  <c r="B206" i="8" s="1"/>
  <c r="A44" i="6"/>
  <c r="N156" i="7" s="1"/>
  <c r="AJ43" i="6"/>
  <c r="W43" i="6"/>
  <c r="V43" i="6"/>
  <c r="R43" i="6"/>
  <c r="D43" i="6"/>
  <c r="C43" i="6"/>
  <c r="B43" i="6"/>
  <c r="B205" i="8" s="1"/>
  <c r="A43" i="6"/>
  <c r="AJ42" i="6"/>
  <c r="Y42" i="6"/>
  <c r="W42" i="6"/>
  <c r="V42" i="6"/>
  <c r="R42" i="6"/>
  <c r="E42" i="6"/>
  <c r="D42" i="6"/>
  <c r="C42" i="6"/>
  <c r="C204" i="8" s="1"/>
  <c r="G204" i="8" s="1"/>
  <c r="B42" i="6"/>
  <c r="B204" i="8" s="1"/>
  <c r="A42" i="6"/>
  <c r="AJ41" i="6"/>
  <c r="W41" i="6"/>
  <c r="V41" i="6"/>
  <c r="R41" i="6"/>
  <c r="D41" i="6"/>
  <c r="C41" i="6"/>
  <c r="B41" i="6"/>
  <c r="B203" i="8" s="1"/>
  <c r="A41" i="6"/>
  <c r="AJ40" i="6"/>
  <c r="Y40" i="6"/>
  <c r="W40" i="6"/>
  <c r="V40" i="6"/>
  <c r="R40" i="6"/>
  <c r="E40" i="6"/>
  <c r="D40" i="6"/>
  <c r="C40" i="6"/>
  <c r="B40" i="6"/>
  <c r="B202" i="8" s="1"/>
  <c r="A40" i="6"/>
  <c r="AJ39" i="6"/>
  <c r="X39" i="6"/>
  <c r="W39" i="6"/>
  <c r="V39" i="6"/>
  <c r="R39" i="6"/>
  <c r="D39" i="6"/>
  <c r="C39" i="6"/>
  <c r="B39" i="6"/>
  <c r="B201" i="8" s="1"/>
  <c r="A39" i="6"/>
  <c r="AJ38" i="6"/>
  <c r="Z38" i="6"/>
  <c r="Y38" i="6"/>
  <c r="X38" i="6"/>
  <c r="W38" i="6"/>
  <c r="V38" i="6"/>
  <c r="R38" i="6"/>
  <c r="D38" i="6"/>
  <c r="C38" i="6"/>
  <c r="C200" i="8" s="1"/>
  <c r="G200" i="8" s="1"/>
  <c r="B38" i="6"/>
  <c r="B200" i="8" s="1"/>
  <c r="A38" i="6"/>
  <c r="AJ37" i="6"/>
  <c r="X37" i="6"/>
  <c r="W37" i="6"/>
  <c r="V37" i="6"/>
  <c r="Y37" i="6" s="1"/>
  <c r="R37" i="6"/>
  <c r="D37" i="6"/>
  <c r="C37" i="6"/>
  <c r="B37" i="6"/>
  <c r="B199" i="8" s="1"/>
  <c r="A37" i="6"/>
  <c r="AJ36" i="6"/>
  <c r="X36" i="6"/>
  <c r="W36" i="6"/>
  <c r="V36" i="6"/>
  <c r="R36" i="6"/>
  <c r="D36" i="6"/>
  <c r="C36" i="6"/>
  <c r="B36" i="6"/>
  <c r="B198" i="8" s="1"/>
  <c r="A36" i="6"/>
  <c r="AJ35" i="6"/>
  <c r="W35" i="6"/>
  <c r="V35" i="6"/>
  <c r="R35" i="6"/>
  <c r="D35" i="6"/>
  <c r="E35" i="6" s="1"/>
  <c r="C35" i="6"/>
  <c r="B35" i="6"/>
  <c r="B197" i="8" s="1"/>
  <c r="A35" i="6"/>
  <c r="A197" i="8" s="1"/>
  <c r="AJ34" i="6"/>
  <c r="Z34" i="6"/>
  <c r="Y34" i="6"/>
  <c r="W34" i="6"/>
  <c r="V34" i="6"/>
  <c r="R34" i="6"/>
  <c r="I196" i="8" s="1"/>
  <c r="D34" i="6"/>
  <c r="E34" i="6" s="1"/>
  <c r="C34" i="6"/>
  <c r="B34" i="6"/>
  <c r="B196" i="8" s="1"/>
  <c r="A34" i="6"/>
  <c r="AJ33" i="6"/>
  <c r="X33" i="6"/>
  <c r="W33" i="6"/>
  <c r="V33" i="6"/>
  <c r="Y33" i="6" s="1"/>
  <c r="R33" i="6"/>
  <c r="D33" i="6"/>
  <c r="C33" i="6"/>
  <c r="B96" i="7" s="1"/>
  <c r="B33" i="6"/>
  <c r="B195" i="8" s="1"/>
  <c r="A33" i="6"/>
  <c r="AJ32" i="6"/>
  <c r="W32" i="6"/>
  <c r="V32" i="6"/>
  <c r="R32" i="6"/>
  <c r="E32" i="6"/>
  <c r="D32" i="6"/>
  <c r="C32" i="6"/>
  <c r="C194" i="8" s="1"/>
  <c r="B32" i="6"/>
  <c r="B194" i="8" s="1"/>
  <c r="A32" i="6"/>
  <c r="AJ31" i="6"/>
  <c r="Z31" i="6"/>
  <c r="W31" i="6"/>
  <c r="V31" i="6"/>
  <c r="R31" i="6"/>
  <c r="E31" i="6"/>
  <c r="D31" i="6"/>
  <c r="C31" i="6"/>
  <c r="B31" i="6"/>
  <c r="B193" i="8" s="1"/>
  <c r="A31" i="6"/>
  <c r="N143" i="7" s="1"/>
  <c r="AJ30" i="6"/>
  <c r="W30" i="6"/>
  <c r="V30" i="6"/>
  <c r="R30" i="6"/>
  <c r="D30" i="6"/>
  <c r="E30" i="6" s="1"/>
  <c r="C30" i="6"/>
  <c r="C192" i="8" s="1"/>
  <c r="G192" i="8" s="1"/>
  <c r="B30" i="6"/>
  <c r="B192" i="8" s="1"/>
  <c r="A30" i="6"/>
  <c r="AJ29" i="6"/>
  <c r="Y29" i="6"/>
  <c r="W29" i="6"/>
  <c r="V29" i="6"/>
  <c r="R29" i="6"/>
  <c r="D29" i="6"/>
  <c r="C29" i="6"/>
  <c r="B29" i="6"/>
  <c r="B191" i="8" s="1"/>
  <c r="A29" i="6"/>
  <c r="AJ28" i="6"/>
  <c r="Z28" i="6"/>
  <c r="Y28" i="6"/>
  <c r="W28" i="6"/>
  <c r="V28" i="6"/>
  <c r="R28" i="6"/>
  <c r="I190" i="8" s="1"/>
  <c r="D28" i="6"/>
  <c r="C28" i="6"/>
  <c r="B28" i="6"/>
  <c r="B190" i="8" s="1"/>
  <c r="A28" i="6"/>
  <c r="AJ27" i="6"/>
  <c r="W27" i="6"/>
  <c r="V27" i="6"/>
  <c r="R27" i="6"/>
  <c r="D27" i="6"/>
  <c r="C27" i="6"/>
  <c r="C189" i="8" s="1"/>
  <c r="G189" i="8" s="1"/>
  <c r="B27" i="6"/>
  <c r="B189" i="8" s="1"/>
  <c r="A27" i="6"/>
  <c r="A189" i="8" s="1"/>
  <c r="AJ26" i="6"/>
  <c r="W26" i="6"/>
  <c r="V26" i="6"/>
  <c r="R26" i="6"/>
  <c r="I188" i="8" s="1"/>
  <c r="E26" i="6"/>
  <c r="D26" i="6"/>
  <c r="C26" i="6"/>
  <c r="B26" i="6"/>
  <c r="B188" i="8" s="1"/>
  <c r="A26" i="6"/>
  <c r="AJ25" i="6"/>
  <c r="X25" i="6"/>
  <c r="W25" i="6"/>
  <c r="V25" i="6"/>
  <c r="R25" i="6"/>
  <c r="D25" i="6"/>
  <c r="C25" i="6"/>
  <c r="B25" i="6"/>
  <c r="B187" i="8" s="1"/>
  <c r="A25" i="6"/>
  <c r="AJ24" i="6"/>
  <c r="X24" i="6"/>
  <c r="W24" i="6"/>
  <c r="V24" i="6"/>
  <c r="R24" i="6"/>
  <c r="D24" i="6"/>
  <c r="C24" i="6"/>
  <c r="B24" i="6"/>
  <c r="B186" i="8" s="1"/>
  <c r="A24" i="6"/>
  <c r="AJ23" i="6"/>
  <c r="Z23" i="6"/>
  <c r="Y23" i="6"/>
  <c r="W23" i="6"/>
  <c r="V23" i="6"/>
  <c r="R23" i="6"/>
  <c r="E23" i="6"/>
  <c r="D23" i="6"/>
  <c r="C23" i="6"/>
  <c r="B23" i="6"/>
  <c r="B185" i="8" s="1"/>
  <c r="A23" i="6"/>
  <c r="A185" i="8" s="1"/>
  <c r="AO31" i="8" s="1"/>
  <c r="AJ22" i="6"/>
  <c r="X22" i="6"/>
  <c r="W22" i="6"/>
  <c r="V22" i="6"/>
  <c r="R22" i="6"/>
  <c r="E22" i="6"/>
  <c r="D22" i="6"/>
  <c r="C22" i="6"/>
  <c r="B22" i="6"/>
  <c r="B184" i="8" s="1"/>
  <c r="A22" i="6"/>
  <c r="AJ21" i="6"/>
  <c r="Z21" i="6"/>
  <c r="Y21" i="6"/>
  <c r="X21" i="6"/>
  <c r="W21" i="6"/>
  <c r="V21" i="6"/>
  <c r="R21" i="6"/>
  <c r="I183" i="8" s="1"/>
  <c r="D21" i="6"/>
  <c r="E21" i="6" s="1"/>
  <c r="C21" i="6"/>
  <c r="B21" i="6"/>
  <c r="B183" i="8" s="1"/>
  <c r="A21" i="6"/>
  <c r="AJ20" i="6"/>
  <c r="X20" i="6"/>
  <c r="W20" i="6"/>
  <c r="V20" i="6"/>
  <c r="R20" i="6"/>
  <c r="D20" i="6"/>
  <c r="C20" i="6"/>
  <c r="B20" i="6"/>
  <c r="B182" i="8" s="1"/>
  <c r="A20" i="6"/>
  <c r="AJ19" i="6"/>
  <c r="AC19" i="6"/>
  <c r="Y19" i="6"/>
  <c r="X19" i="6"/>
  <c r="W19" i="6"/>
  <c r="V19" i="6"/>
  <c r="R19" i="6"/>
  <c r="D19" i="6"/>
  <c r="C19" i="6"/>
  <c r="B19" i="6"/>
  <c r="B181" i="8" s="1"/>
  <c r="A19" i="6"/>
  <c r="AJ18" i="6"/>
  <c r="Z18" i="6"/>
  <c r="Y18" i="6"/>
  <c r="X18" i="6"/>
  <c r="W18" i="6"/>
  <c r="V18" i="6"/>
  <c r="R18" i="6"/>
  <c r="E18" i="6"/>
  <c r="D18" i="6"/>
  <c r="C18" i="6"/>
  <c r="C180" i="8" s="1"/>
  <c r="G180" i="8" s="1"/>
  <c r="AP26" i="8" s="1"/>
  <c r="B18" i="6"/>
  <c r="B180" i="8" s="1"/>
  <c r="A18" i="6"/>
  <c r="AJ17" i="6"/>
  <c r="D7" i="6" s="1"/>
  <c r="Z17" i="6"/>
  <c r="Y17" i="6"/>
  <c r="X17" i="6"/>
  <c r="W17" i="6"/>
  <c r="V17" i="6"/>
  <c r="R17" i="6"/>
  <c r="D17" i="6"/>
  <c r="C17" i="6"/>
  <c r="B17" i="6"/>
  <c r="B179" i="8" s="1"/>
  <c r="A17" i="6"/>
  <c r="AJ16" i="6"/>
  <c r="X16" i="6"/>
  <c r="W16" i="6"/>
  <c r="V16" i="6"/>
  <c r="R16" i="6"/>
  <c r="D16" i="6"/>
  <c r="C16" i="6"/>
  <c r="B16" i="6"/>
  <c r="B178" i="8" s="1"/>
  <c r="A16" i="6"/>
  <c r="AJ15" i="6"/>
  <c r="X15" i="6"/>
  <c r="W15" i="6"/>
  <c r="V15" i="6"/>
  <c r="R15" i="6"/>
  <c r="D15" i="6"/>
  <c r="C15" i="6"/>
  <c r="B15" i="6"/>
  <c r="B177" i="8" s="1"/>
  <c r="A15" i="6"/>
  <c r="H67" i="5"/>
  <c r="G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S50" i="5"/>
  <c r="D50" i="5"/>
  <c r="C50" i="5"/>
  <c r="B50" i="5"/>
  <c r="A50" i="5"/>
  <c r="D49" i="5"/>
  <c r="C49" i="5"/>
  <c r="B49" i="5"/>
  <c r="A49" i="5"/>
  <c r="D48" i="5"/>
  <c r="C48" i="5"/>
  <c r="B48" i="5"/>
  <c r="A48" i="5"/>
  <c r="D47" i="5"/>
  <c r="C47" i="5"/>
  <c r="B47" i="5"/>
  <c r="A47" i="5"/>
  <c r="D46" i="5"/>
  <c r="C46" i="5"/>
  <c r="B46" i="5"/>
  <c r="A46" i="5"/>
  <c r="D45" i="5"/>
  <c r="C45" i="5"/>
  <c r="B45" i="5"/>
  <c r="A45" i="5"/>
  <c r="D44" i="5"/>
  <c r="C44" i="5"/>
  <c r="B44" i="5"/>
  <c r="A44" i="5"/>
  <c r="D43" i="5"/>
  <c r="C43" i="5"/>
  <c r="B43" i="5"/>
  <c r="A43" i="5"/>
  <c r="D42" i="5"/>
  <c r="C42" i="5"/>
  <c r="B42" i="5"/>
  <c r="A42" i="5"/>
  <c r="D41" i="5"/>
  <c r="C41" i="5"/>
  <c r="B41" i="5"/>
  <c r="A41" i="5"/>
  <c r="D40" i="5"/>
  <c r="C40" i="5"/>
  <c r="B40" i="5"/>
  <c r="A40" i="5"/>
  <c r="D39" i="5"/>
  <c r="C39" i="5"/>
  <c r="B39" i="5"/>
  <c r="A39" i="5"/>
  <c r="D38" i="5"/>
  <c r="S46" i="5" s="1"/>
  <c r="C38" i="5"/>
  <c r="S45" i="5" s="1"/>
  <c r="B38" i="5"/>
  <c r="A38" i="5"/>
  <c r="D37" i="5"/>
  <c r="C37" i="5"/>
  <c r="B37" i="5"/>
  <c r="A37" i="5"/>
  <c r="B33" i="5"/>
  <c r="B15" i="5"/>
  <c r="J12" i="5"/>
  <c r="B18" i="5" s="1"/>
  <c r="J11" i="5"/>
  <c r="B16" i="5" s="1"/>
  <c r="J10" i="5"/>
  <c r="J9" i="5"/>
  <c r="B14" i="5" s="1"/>
  <c r="J8" i="5"/>
  <c r="B13" i="5" s="1"/>
  <c r="B61" i="6" s="1"/>
  <c r="B47" i="7" s="1"/>
  <c r="J7" i="5"/>
  <c r="B12" i="5" s="1"/>
  <c r="J6" i="5"/>
  <c r="B11" i="5" s="1"/>
  <c r="J5" i="5"/>
  <c r="B6" i="5" s="1"/>
  <c r="AH34" i="3"/>
  <c r="X34" i="3"/>
  <c r="T34" i="3"/>
  <c r="P34" i="3"/>
  <c r="O34" i="3"/>
  <c r="N34" i="3"/>
  <c r="M34" i="3"/>
  <c r="AI34" i="3" s="1"/>
  <c r="J34" i="3"/>
  <c r="AH33" i="3"/>
  <c r="X33" i="3"/>
  <c r="V33" i="3"/>
  <c r="U33" i="3"/>
  <c r="T33" i="3"/>
  <c r="P33" i="3"/>
  <c r="O33" i="3"/>
  <c r="M33" i="3"/>
  <c r="AI33" i="3" s="1"/>
  <c r="J33" i="3"/>
  <c r="AH32" i="3"/>
  <c r="X32" i="3"/>
  <c r="T32" i="3"/>
  <c r="P32" i="3"/>
  <c r="O32" i="3"/>
  <c r="M32" i="3"/>
  <c r="N32" i="3" s="1"/>
  <c r="J32" i="3"/>
  <c r="AI31" i="3"/>
  <c r="AH31" i="3"/>
  <c r="X31" i="3"/>
  <c r="T31" i="3"/>
  <c r="P31" i="3"/>
  <c r="O31" i="3"/>
  <c r="M31" i="3"/>
  <c r="N31" i="3" s="1"/>
  <c r="J31" i="3"/>
  <c r="AI30" i="3"/>
  <c r="AH30" i="3"/>
  <c r="X30" i="3"/>
  <c r="P30" i="3"/>
  <c r="O30" i="3"/>
  <c r="M30" i="3"/>
  <c r="N30" i="3" s="1"/>
  <c r="J30" i="3"/>
  <c r="AI29" i="3"/>
  <c r="AH29" i="3"/>
  <c r="X29" i="3"/>
  <c r="P29" i="3"/>
  <c r="O29" i="3"/>
  <c r="M29" i="3"/>
  <c r="N29" i="3" s="1"/>
  <c r="J29" i="3"/>
  <c r="AI28" i="3"/>
  <c r="AH28" i="3"/>
  <c r="X28" i="3"/>
  <c r="P28" i="3"/>
  <c r="O28" i="3"/>
  <c r="N28" i="3"/>
  <c r="M28" i="3"/>
  <c r="J28" i="3"/>
  <c r="AH27" i="3"/>
  <c r="X27" i="3"/>
  <c r="U27" i="3"/>
  <c r="P27" i="3"/>
  <c r="O27" i="3"/>
  <c r="M27" i="3"/>
  <c r="AI27" i="3" s="1"/>
  <c r="J27" i="3"/>
  <c r="AH26" i="3"/>
  <c r="X26" i="3"/>
  <c r="T26" i="3"/>
  <c r="P26" i="3"/>
  <c r="O26" i="3"/>
  <c r="M26" i="3"/>
  <c r="J26" i="3"/>
  <c r="AH25" i="3"/>
  <c r="X25" i="3"/>
  <c r="T25" i="3"/>
  <c r="P25" i="3"/>
  <c r="O25" i="3"/>
  <c r="N25" i="3"/>
  <c r="M25" i="3"/>
  <c r="AI25" i="3" s="1"/>
  <c r="J25" i="3"/>
  <c r="AI24" i="3"/>
  <c r="AH24" i="3"/>
  <c r="X24" i="3"/>
  <c r="U24" i="3"/>
  <c r="T24" i="3"/>
  <c r="P24" i="3"/>
  <c r="O24" i="3"/>
  <c r="M24" i="3"/>
  <c r="N24" i="3" s="1"/>
  <c r="J24" i="3"/>
  <c r="AI23" i="3"/>
  <c r="AH23" i="3"/>
  <c r="X23" i="3"/>
  <c r="T23" i="3"/>
  <c r="P23" i="3"/>
  <c r="O23" i="3"/>
  <c r="M23" i="3"/>
  <c r="N23" i="3" s="1"/>
  <c r="J23" i="3"/>
  <c r="AI22" i="3"/>
  <c r="AH22" i="3"/>
  <c r="X22" i="3"/>
  <c r="T22" i="3"/>
  <c r="P22" i="3"/>
  <c r="O22" i="3"/>
  <c r="M22" i="3"/>
  <c r="N22" i="3" s="1"/>
  <c r="J22" i="3"/>
  <c r="AI21" i="3"/>
  <c r="AH21" i="3"/>
  <c r="X21" i="3"/>
  <c r="T21" i="3"/>
  <c r="P21" i="3"/>
  <c r="O21" i="3"/>
  <c r="M21" i="3"/>
  <c r="N21" i="3" s="1"/>
  <c r="J21" i="3"/>
  <c r="AI20" i="3"/>
  <c r="AH20" i="3"/>
  <c r="X20" i="3"/>
  <c r="P20" i="3"/>
  <c r="O20" i="3"/>
  <c r="N20" i="3"/>
  <c r="M20" i="3"/>
  <c r="J20" i="3"/>
  <c r="AH19" i="3"/>
  <c r="X19" i="3"/>
  <c r="U19" i="3"/>
  <c r="P19" i="3"/>
  <c r="O19" i="3"/>
  <c r="M19" i="3"/>
  <c r="AI19" i="3" s="1"/>
  <c r="J19" i="3"/>
  <c r="AH18" i="3"/>
  <c r="X18" i="3"/>
  <c r="T18" i="3"/>
  <c r="P18" i="3"/>
  <c r="O18" i="3"/>
  <c r="N18" i="3"/>
  <c r="M18" i="3"/>
  <c r="AI18" i="3" s="1"/>
  <c r="J18" i="3"/>
  <c r="AH17" i="3"/>
  <c r="X17" i="3"/>
  <c r="T17" i="3"/>
  <c r="P17" i="3"/>
  <c r="O17" i="3"/>
  <c r="N17" i="3"/>
  <c r="M17" i="3"/>
  <c r="AI17" i="3" s="1"/>
  <c r="J17" i="3"/>
  <c r="AI16" i="3"/>
  <c r="AH16" i="3"/>
  <c r="X16" i="3"/>
  <c r="V16" i="3"/>
  <c r="U16" i="3"/>
  <c r="T16" i="3"/>
  <c r="P16" i="3"/>
  <c r="O16" i="3"/>
  <c r="N16" i="3"/>
  <c r="M16" i="3"/>
  <c r="J16" i="3"/>
  <c r="AI15" i="3"/>
  <c r="AH15" i="3"/>
  <c r="X15" i="3"/>
  <c r="U15" i="3"/>
  <c r="T15" i="3"/>
  <c r="V15" i="3" s="1"/>
  <c r="P15" i="3"/>
  <c r="O15" i="3"/>
  <c r="M15" i="3"/>
  <c r="N15" i="3" s="1"/>
  <c r="J15" i="3"/>
  <c r="AI14" i="3"/>
  <c r="AH14" i="3"/>
  <c r="X14" i="3"/>
  <c r="T14" i="3"/>
  <c r="P14" i="3"/>
  <c r="O14" i="3"/>
  <c r="M14" i="3"/>
  <c r="N14" i="3" s="1"/>
  <c r="J14" i="3"/>
  <c r="AI13" i="3"/>
  <c r="AH13" i="3"/>
  <c r="X13" i="3"/>
  <c r="T13" i="3"/>
  <c r="P13" i="3"/>
  <c r="O13" i="3"/>
  <c r="M13" i="3"/>
  <c r="N13" i="3" s="1"/>
  <c r="J13" i="3"/>
  <c r="AI12" i="3"/>
  <c r="AH12" i="3"/>
  <c r="X12" i="3"/>
  <c r="T12" i="3"/>
  <c r="P12" i="3"/>
  <c r="O12" i="3"/>
  <c r="N12" i="3"/>
  <c r="M12" i="3"/>
  <c r="J12" i="3"/>
  <c r="AH11" i="3"/>
  <c r="X11" i="3"/>
  <c r="U11" i="3"/>
  <c r="P11" i="3"/>
  <c r="O11" i="3"/>
  <c r="M11" i="3"/>
  <c r="AI11" i="3" s="1"/>
  <c r="J11" i="3"/>
  <c r="AH10" i="3"/>
  <c r="X10" i="3"/>
  <c r="T10" i="3"/>
  <c r="P10" i="3"/>
  <c r="O10" i="3"/>
  <c r="N10" i="3"/>
  <c r="M10" i="3"/>
  <c r="AI10" i="3" s="1"/>
  <c r="J10" i="3"/>
  <c r="AH9" i="3"/>
  <c r="X9" i="3"/>
  <c r="U9" i="3"/>
  <c r="T9" i="3"/>
  <c r="V9" i="3" s="1"/>
  <c r="P9" i="3"/>
  <c r="O9" i="3"/>
  <c r="M9" i="3"/>
  <c r="AI9" i="3" s="1"/>
  <c r="J9" i="3"/>
  <c r="AH8" i="3"/>
  <c r="X8" i="3"/>
  <c r="U8" i="3"/>
  <c r="T8" i="3"/>
  <c r="P8" i="3"/>
  <c r="O8" i="3"/>
  <c r="M8" i="3"/>
  <c r="AI8" i="3" s="1"/>
  <c r="J8" i="3"/>
  <c r="AH7" i="3"/>
  <c r="X7" i="3"/>
  <c r="U7" i="3"/>
  <c r="T7" i="3"/>
  <c r="V7" i="3" s="1"/>
  <c r="P7" i="3"/>
  <c r="O7" i="3"/>
  <c r="M7" i="3"/>
  <c r="AI7" i="3" s="1"/>
  <c r="J7" i="3"/>
  <c r="AJ6" i="3"/>
  <c r="AK6" i="3" s="1"/>
  <c r="AI6" i="3"/>
  <c r="AH6" i="3"/>
  <c r="X6" i="3"/>
  <c r="T6" i="3"/>
  <c r="P6" i="3"/>
  <c r="O6" i="3"/>
  <c r="M6" i="3"/>
  <c r="N6" i="3" s="1"/>
  <c r="J6" i="3"/>
  <c r="AH5" i="3"/>
  <c r="X5" i="3"/>
  <c r="U5" i="3"/>
  <c r="T5" i="3"/>
  <c r="V5" i="3" s="1"/>
  <c r="P5" i="3"/>
  <c r="O5" i="3"/>
  <c r="M5" i="3"/>
  <c r="J5" i="3"/>
  <c r="F35" i="2"/>
  <c r="F34" i="2"/>
  <c r="F33" i="2"/>
  <c r="B33" i="2"/>
  <c r="AJ24" i="3" s="1"/>
  <c r="AK24" i="3" s="1"/>
  <c r="F32" i="2"/>
  <c r="B32" i="2"/>
  <c r="H7" i="12" s="1"/>
  <c r="F31" i="2"/>
  <c r="B31" i="2"/>
  <c r="H6" i="12" s="1"/>
  <c r="F30" i="2"/>
  <c r="B30" i="2"/>
  <c r="F29" i="2"/>
  <c r="F28" i="2"/>
  <c r="F27" i="2"/>
  <c r="F26" i="2"/>
  <c r="F25" i="2"/>
  <c r="B22" i="2"/>
  <c r="B53" i="6" s="1"/>
  <c r="B19" i="2"/>
  <c r="B16" i="2"/>
  <c r="U26" i="3" s="1"/>
  <c r="B15" i="2"/>
  <c r="T28" i="3" s="1"/>
  <c r="B7" i="2"/>
  <c r="B5" i="2"/>
  <c r="B66" i="1"/>
  <c r="B64" i="1"/>
  <c r="B61" i="1"/>
  <c r="B58" i="1"/>
  <c r="B65" i="1" s="1"/>
  <c r="B56" i="1"/>
  <c r="B54" i="1"/>
  <c r="B55" i="1" s="1"/>
  <c r="B53" i="1"/>
  <c r="A51" i="1"/>
  <c r="C42" i="1"/>
  <c r="B42" i="1"/>
  <c r="B41" i="1"/>
  <c r="C39" i="1"/>
  <c r="B39" i="1"/>
  <c r="C38" i="1"/>
  <c r="B38" i="1"/>
  <c r="C37" i="1"/>
  <c r="B37" i="1"/>
  <c r="C36" i="1"/>
  <c r="B36" i="1"/>
  <c r="C35" i="1"/>
  <c r="B35" i="1"/>
  <c r="B32" i="1"/>
  <c r="C31" i="1"/>
  <c r="B31" i="1"/>
  <c r="B30" i="1"/>
  <c r="G28" i="1"/>
  <c r="A25" i="1"/>
  <c r="C12" i="1"/>
  <c r="C11" i="1"/>
  <c r="C30" i="1" s="1"/>
  <c r="B8" i="1"/>
  <c r="B9" i="1" s="1"/>
  <c r="C7" i="1"/>
  <c r="B7" i="1"/>
  <c r="B57" i="1" l="1"/>
  <c r="B60" i="1"/>
  <c r="B62" i="1" s="1"/>
  <c r="W7" i="3"/>
  <c r="Z7" i="3"/>
  <c r="X39" i="5"/>
  <c r="C63" i="7"/>
  <c r="B127" i="7"/>
  <c r="C58" i="7"/>
  <c r="C60" i="7"/>
  <c r="C59" i="7"/>
  <c r="C62" i="7"/>
  <c r="X37" i="5"/>
  <c r="Z5" i="3"/>
  <c r="AC15" i="6"/>
  <c r="AB44" i="6"/>
  <c r="AB40" i="6"/>
  <c r="AB36" i="6"/>
  <c r="AB32" i="6"/>
  <c r="AB28" i="6"/>
  <c r="AB24" i="6"/>
  <c r="B51" i="6"/>
  <c r="B37" i="7" s="1"/>
  <c r="AB41" i="6"/>
  <c r="AB35" i="6"/>
  <c r="AB34" i="6"/>
  <c r="C31" i="7"/>
  <c r="AA40" i="6"/>
  <c r="AA41" i="6"/>
  <c r="AB37" i="6"/>
  <c r="AB33" i="6"/>
  <c r="AA27" i="6"/>
  <c r="AA26" i="6"/>
  <c r="AB19" i="6"/>
  <c r="AB15" i="6"/>
  <c r="AA37" i="6"/>
  <c r="AA33" i="6"/>
  <c r="AA19" i="6"/>
  <c r="AA15" i="6"/>
  <c r="AB42" i="6"/>
  <c r="AB38" i="6"/>
  <c r="AA28" i="6"/>
  <c r="AB23" i="6"/>
  <c r="AB22" i="6"/>
  <c r="AB18" i="6"/>
  <c r="AA44" i="6"/>
  <c r="AA35" i="6"/>
  <c r="AA32" i="6"/>
  <c r="AB27" i="6"/>
  <c r="AB26" i="6"/>
  <c r="AA25" i="6"/>
  <c r="AA43" i="6"/>
  <c r="AB30" i="6"/>
  <c r="AA22" i="6"/>
  <c r="AA21" i="6"/>
  <c r="AA34" i="6"/>
  <c r="AA30" i="6"/>
  <c r="AA38" i="6"/>
  <c r="AB17" i="6"/>
  <c r="AB31" i="6"/>
  <c r="AB29" i="6"/>
  <c r="AB25" i="6"/>
  <c r="AA23" i="6"/>
  <c r="AB20" i="6"/>
  <c r="AA18" i="6"/>
  <c r="AA17" i="6"/>
  <c r="AB43" i="6"/>
  <c r="AA39" i="6"/>
  <c r="AA36" i="6"/>
  <c r="AA24" i="6"/>
  <c r="AB21" i="6"/>
  <c r="AA42" i="6"/>
  <c r="AA31" i="6"/>
  <c r="AA29" i="6"/>
  <c r="AB39" i="6"/>
  <c r="AA20" i="6"/>
  <c r="AB16" i="6"/>
  <c r="S7" i="19"/>
  <c r="E7" i="21"/>
  <c r="Q7" i="14"/>
  <c r="V8" i="3"/>
  <c r="Y33" i="3"/>
  <c r="B12" i="12"/>
  <c r="B118" i="7"/>
  <c r="B114" i="7"/>
  <c r="B116" i="7"/>
  <c r="C116" i="7" s="1"/>
  <c r="B115" i="7"/>
  <c r="B113" i="7"/>
  <c r="B10" i="7"/>
  <c r="B117" i="7"/>
  <c r="Q13" i="5"/>
  <c r="B119" i="7"/>
  <c r="C119" i="7" s="1"/>
  <c r="Q17" i="5"/>
  <c r="C9" i="1"/>
  <c r="B27" i="1"/>
  <c r="B10" i="1"/>
  <c r="B23" i="8"/>
  <c r="L27" i="3"/>
  <c r="L19" i="3"/>
  <c r="L11" i="3"/>
  <c r="L28" i="3"/>
  <c r="L20" i="3"/>
  <c r="L12" i="3"/>
  <c r="L29" i="3"/>
  <c r="L21" i="3"/>
  <c r="L13" i="3"/>
  <c r="L30" i="3"/>
  <c r="L22" i="3"/>
  <c r="L34" i="3"/>
  <c r="L18" i="3"/>
  <c r="L25" i="3"/>
  <c r="L14" i="3"/>
  <c r="L10" i="3"/>
  <c r="L31" i="3"/>
  <c r="L9" i="3"/>
  <c r="L6" i="3"/>
  <c r="L16" i="3"/>
  <c r="L32" i="3"/>
  <c r="L23" i="3"/>
  <c r="L17" i="3"/>
  <c r="V25" i="11"/>
  <c r="H10" i="12"/>
  <c r="G30" i="1" s="1"/>
  <c r="AJ34" i="3"/>
  <c r="AK34" i="3" s="1"/>
  <c r="AJ26" i="3"/>
  <c r="AK26" i="3" s="1"/>
  <c r="AJ18" i="3"/>
  <c r="AK18" i="3" s="1"/>
  <c r="AJ10" i="3"/>
  <c r="AK10" i="3" s="1"/>
  <c r="AJ27" i="3"/>
  <c r="AK27" i="3" s="1"/>
  <c r="AJ19" i="3"/>
  <c r="AK19" i="3" s="1"/>
  <c r="AJ11" i="3"/>
  <c r="AK11" i="3" s="1"/>
  <c r="AJ28" i="3"/>
  <c r="AK28" i="3" s="1"/>
  <c r="AJ20" i="3"/>
  <c r="AK20" i="3" s="1"/>
  <c r="AJ12" i="3"/>
  <c r="AK12" i="3" s="1"/>
  <c r="AJ29" i="3"/>
  <c r="AK29" i="3" s="1"/>
  <c r="AJ21" i="3"/>
  <c r="AK21" i="3" s="1"/>
  <c r="AJ32" i="3"/>
  <c r="AK32" i="3" s="1"/>
  <c r="AJ23" i="3"/>
  <c r="AK23" i="3" s="1"/>
  <c r="AJ9" i="3"/>
  <c r="AK9" i="3" s="1"/>
  <c r="AJ8" i="3"/>
  <c r="AK8" i="3" s="1"/>
  <c r="AJ14" i="3"/>
  <c r="AK14" i="3" s="1"/>
  <c r="AJ5" i="3"/>
  <c r="AK5" i="3" s="1"/>
  <c r="AJ22" i="3"/>
  <c r="AK22" i="3" s="1"/>
  <c r="AJ15" i="3"/>
  <c r="AK15" i="3" s="1"/>
  <c r="AJ25" i="3"/>
  <c r="AK25" i="3" s="1"/>
  <c r="AJ7" i="3"/>
  <c r="AK7" i="3" s="1"/>
  <c r="AJ31" i="3"/>
  <c r="AK31" i="3" s="1"/>
  <c r="AJ30" i="3"/>
  <c r="AK30" i="3" s="1"/>
  <c r="AJ17" i="3"/>
  <c r="AK17" i="3" s="1"/>
  <c r="AJ13" i="3"/>
  <c r="AK13" i="3" s="1"/>
  <c r="Z33" i="3"/>
  <c r="X65" i="5"/>
  <c r="W33" i="3"/>
  <c r="B62" i="6"/>
  <c r="B48" i="7" s="1"/>
  <c r="C84" i="5"/>
  <c r="Q6" i="5"/>
  <c r="Q7" i="5" s="1"/>
  <c r="B11" i="8"/>
  <c r="D58" i="8" s="1"/>
  <c r="F58" i="8" s="1"/>
  <c r="C115" i="7"/>
  <c r="C114" i="7"/>
  <c r="C113" i="7"/>
  <c r="B78" i="5"/>
  <c r="D72" i="5"/>
  <c r="C72" i="5"/>
  <c r="B128" i="7"/>
  <c r="B72" i="5"/>
  <c r="C117" i="7"/>
  <c r="C118" i="7"/>
  <c r="D78" i="5"/>
  <c r="C78" i="5"/>
  <c r="Q15" i="5"/>
  <c r="S22" i="19"/>
  <c r="E22" i="21"/>
  <c r="Q22" i="14"/>
  <c r="L8" i="3"/>
  <c r="AJ16" i="3"/>
  <c r="AK16" i="3" s="1"/>
  <c r="L33" i="3"/>
  <c r="I192" i="8"/>
  <c r="Y30" i="6"/>
  <c r="Z30" i="6"/>
  <c r="O142" i="7"/>
  <c r="S19" i="19"/>
  <c r="E19" i="21"/>
  <c r="Q19" i="14"/>
  <c r="L7" i="3"/>
  <c r="AA16" i="6"/>
  <c r="V26" i="3"/>
  <c r="V6" i="3"/>
  <c r="Y7" i="3"/>
  <c r="W15" i="3"/>
  <c r="X47" i="5"/>
  <c r="Z15" i="3"/>
  <c r="C32" i="1"/>
  <c r="W5" i="3"/>
  <c r="Y5" i="3" s="1"/>
  <c r="L5" i="3"/>
  <c r="E15" i="21"/>
  <c r="Q15" i="14"/>
  <c r="S15" i="19"/>
  <c r="L26" i="3"/>
  <c r="C8" i="1"/>
  <c r="S12" i="19"/>
  <c r="E12" i="21"/>
  <c r="L12" i="23" s="1"/>
  <c r="Q12" i="14"/>
  <c r="Y15" i="3"/>
  <c r="V18" i="3"/>
  <c r="AJ33" i="3"/>
  <c r="AK33" i="3" s="1"/>
  <c r="B13" i="1"/>
  <c r="N5" i="3"/>
  <c r="AI5" i="3"/>
  <c r="B68" i="18" s="1"/>
  <c r="C41" i="1"/>
  <c r="N7" i="3"/>
  <c r="Z9" i="3"/>
  <c r="X41" i="5"/>
  <c r="W9" i="3"/>
  <c r="L15" i="3"/>
  <c r="X48" i="5"/>
  <c r="W16" i="3"/>
  <c r="Z16" i="3"/>
  <c r="L24" i="3"/>
  <c r="AI26" i="3"/>
  <c r="N26" i="3"/>
  <c r="S31" i="19"/>
  <c r="Q31" i="14"/>
  <c r="E31" i="21"/>
  <c r="E5" i="21"/>
  <c r="S5" i="19"/>
  <c r="Q5" i="14"/>
  <c r="G9" i="18"/>
  <c r="Y9" i="3"/>
  <c r="S6" i="19"/>
  <c r="E6" i="21"/>
  <c r="Q6" i="14"/>
  <c r="E21" i="21"/>
  <c r="S21" i="19"/>
  <c r="Q21" i="14"/>
  <c r="C177" i="8"/>
  <c r="G177" i="8" s="1"/>
  <c r="Z15" i="6"/>
  <c r="E15" i="6"/>
  <c r="B78" i="7"/>
  <c r="Y15" i="6"/>
  <c r="AC25" i="6"/>
  <c r="A196" i="8"/>
  <c r="N146" i="7"/>
  <c r="A97" i="7"/>
  <c r="I197" i="8"/>
  <c r="O147" i="7"/>
  <c r="Z35" i="6"/>
  <c r="Y35" i="6"/>
  <c r="Y16" i="3"/>
  <c r="V21" i="3"/>
  <c r="AC31" i="6" s="1"/>
  <c r="V24" i="3"/>
  <c r="I184" i="8"/>
  <c r="O134" i="7"/>
  <c r="Z22" i="6"/>
  <c r="Y22" i="6"/>
  <c r="E38" i="6"/>
  <c r="I198" i="8"/>
  <c r="K198" i="8" s="1"/>
  <c r="O148" i="7"/>
  <c r="Z36" i="6"/>
  <c r="Y36" i="6"/>
  <c r="S14" i="19"/>
  <c r="E14" i="21"/>
  <c r="Q14" i="14"/>
  <c r="E28" i="21"/>
  <c r="Q28" i="14"/>
  <c r="S28" i="19"/>
  <c r="V31" i="3"/>
  <c r="AC41" i="6" s="1"/>
  <c r="S29" i="5"/>
  <c r="B58" i="18"/>
  <c r="C213" i="8"/>
  <c r="E213" i="8" s="1"/>
  <c r="B26" i="8"/>
  <c r="G213" i="8"/>
  <c r="B55" i="6"/>
  <c r="B41" i="7" s="1"/>
  <c r="U28" i="3"/>
  <c r="U20" i="3"/>
  <c r="U12" i="3"/>
  <c r="U29" i="3"/>
  <c r="U21" i="3"/>
  <c r="U13" i="3"/>
  <c r="U30" i="3"/>
  <c r="U22" i="3"/>
  <c r="V22" i="3" s="1"/>
  <c r="U14" i="3"/>
  <c r="V14" i="3" s="1"/>
  <c r="U31" i="3"/>
  <c r="U23" i="3"/>
  <c r="G5" i="12"/>
  <c r="H5" i="12" s="1"/>
  <c r="H20" i="7"/>
  <c r="B32" i="5"/>
  <c r="J20" i="7"/>
  <c r="N8" i="3"/>
  <c r="U10" i="3"/>
  <c r="V10" i="3" s="1"/>
  <c r="U18" i="3"/>
  <c r="E20" i="21"/>
  <c r="S20" i="19"/>
  <c r="Q20" i="14"/>
  <c r="E23" i="21"/>
  <c r="S23" i="19"/>
  <c r="Q23" i="14"/>
  <c r="U25" i="3"/>
  <c r="V25" i="3" s="1"/>
  <c r="N33" i="3"/>
  <c r="U34" i="3"/>
  <c r="V34" i="3" s="1"/>
  <c r="S7" i="17"/>
  <c r="B26" i="16"/>
  <c r="C32" i="7"/>
  <c r="I178" i="8"/>
  <c r="Z16" i="6"/>
  <c r="Y16" i="6"/>
  <c r="O128" i="7"/>
  <c r="AC26" i="6"/>
  <c r="AC29" i="6"/>
  <c r="I194" i="8"/>
  <c r="O144" i="7"/>
  <c r="Z32" i="6"/>
  <c r="Y32" i="6"/>
  <c r="E41" i="6"/>
  <c r="B104" i="7"/>
  <c r="C203" i="8"/>
  <c r="G203" i="8" s="1"/>
  <c r="Y41" i="6"/>
  <c r="I20" i="7"/>
  <c r="S11" i="19"/>
  <c r="E11" i="21"/>
  <c r="Q11" i="14"/>
  <c r="B7" i="6"/>
  <c r="AC17" i="6"/>
  <c r="I186" i="8"/>
  <c r="O136" i="7"/>
  <c r="Y24" i="6"/>
  <c r="Z24" i="6"/>
  <c r="E29" i="6"/>
  <c r="C191" i="8"/>
  <c r="G191" i="8" s="1"/>
  <c r="B92" i="7"/>
  <c r="U6" i="3"/>
  <c r="N19" i="3"/>
  <c r="E29" i="21"/>
  <c r="Q29" i="14"/>
  <c r="S29" i="19"/>
  <c r="AI32" i="3"/>
  <c r="B17" i="5"/>
  <c r="A177" i="8"/>
  <c r="A78" i="7"/>
  <c r="J129" i="7"/>
  <c r="L129" i="7" s="1"/>
  <c r="J133" i="7"/>
  <c r="L133" i="7" s="1"/>
  <c r="J132" i="7"/>
  <c r="J128" i="7"/>
  <c r="N127" i="7"/>
  <c r="U113" i="7"/>
  <c r="J130" i="7"/>
  <c r="J131" i="7"/>
  <c r="J127" i="7"/>
  <c r="L127" i="7" s="1"/>
  <c r="C184" i="8"/>
  <c r="G184" i="8" s="1"/>
  <c r="AP30" i="8" s="1"/>
  <c r="B85" i="7"/>
  <c r="A198" i="8"/>
  <c r="A99" i="7"/>
  <c r="N148" i="7"/>
  <c r="I201" i="8"/>
  <c r="O151" i="7"/>
  <c r="Y39" i="6"/>
  <c r="Z39" i="6"/>
  <c r="H8" i="12"/>
  <c r="N9" i="3"/>
  <c r="N11" i="3"/>
  <c r="V13" i="3"/>
  <c r="E13" i="21"/>
  <c r="S13" i="19"/>
  <c r="Q13" i="14"/>
  <c r="U17" i="3"/>
  <c r="N27" i="3"/>
  <c r="S30" i="19"/>
  <c r="E30" i="21"/>
  <c r="Q30" i="14"/>
  <c r="U32" i="3"/>
  <c r="V32" i="3" s="1"/>
  <c r="A178" i="8"/>
  <c r="U114" i="7"/>
  <c r="A79" i="7"/>
  <c r="N128" i="7"/>
  <c r="AC36" i="6"/>
  <c r="I205" i="8"/>
  <c r="O155" i="7"/>
  <c r="Z43" i="6"/>
  <c r="Y43" i="6"/>
  <c r="A200" i="8"/>
  <c r="N150" i="7"/>
  <c r="A101" i="7"/>
  <c r="C41" i="8"/>
  <c r="F41" i="8" s="1"/>
  <c r="H41" i="8" s="1"/>
  <c r="S27" i="19"/>
  <c r="E27" i="21"/>
  <c r="Q27" i="14"/>
  <c r="T30" i="3"/>
  <c r="V30" i="3" s="1"/>
  <c r="I179" i="8"/>
  <c r="K179" i="8" s="1"/>
  <c r="O129" i="7"/>
  <c r="A82" i="7"/>
  <c r="A181" i="8"/>
  <c r="U117" i="7"/>
  <c r="N131" i="7"/>
  <c r="U118" i="7"/>
  <c r="A83" i="7"/>
  <c r="A182" i="8"/>
  <c r="N132" i="7"/>
  <c r="C186" i="8"/>
  <c r="G186" i="8" s="1"/>
  <c r="AP32" i="8" s="1"/>
  <c r="B87" i="7"/>
  <c r="N138" i="7"/>
  <c r="A188" i="8"/>
  <c r="U124" i="7"/>
  <c r="A89" i="7"/>
  <c r="A190" i="8"/>
  <c r="A91" i="7"/>
  <c r="N140" i="7"/>
  <c r="C201" i="8"/>
  <c r="G201" i="8" s="1"/>
  <c r="D198" i="8"/>
  <c r="F198" i="8" s="1"/>
  <c r="Q10" i="14"/>
  <c r="S10" i="19"/>
  <c r="E10" i="21"/>
  <c r="Q18" i="14"/>
  <c r="S18" i="19"/>
  <c r="E18" i="21"/>
  <c r="E26" i="21"/>
  <c r="Q26" i="14"/>
  <c r="S26" i="19"/>
  <c r="T29" i="3"/>
  <c r="V29" i="3" s="1"/>
  <c r="E34" i="21"/>
  <c r="Q34" i="14"/>
  <c r="S34" i="19"/>
  <c r="I182" i="8"/>
  <c r="O132" i="7"/>
  <c r="Z20" i="6"/>
  <c r="Y20" i="6"/>
  <c r="I193" i="8"/>
  <c r="O143" i="7"/>
  <c r="Y31" i="6"/>
  <c r="C198" i="8"/>
  <c r="G198" i="8" s="1"/>
  <c r="B99" i="7"/>
  <c r="E36" i="6"/>
  <c r="C206" i="8"/>
  <c r="G206" i="8" s="1"/>
  <c r="B107" i="7"/>
  <c r="E44" i="6"/>
  <c r="Z44" i="6"/>
  <c r="Y44" i="6"/>
  <c r="E9" i="21"/>
  <c r="S9" i="19"/>
  <c r="Q9" i="14"/>
  <c r="E17" i="21"/>
  <c r="Q17" i="14"/>
  <c r="S17" i="19"/>
  <c r="T20" i="3"/>
  <c r="E25" i="21"/>
  <c r="S25" i="19"/>
  <c r="Q25" i="14"/>
  <c r="E33" i="21"/>
  <c r="S33" i="19"/>
  <c r="Q33" i="14"/>
  <c r="E17" i="6"/>
  <c r="I180" i="8"/>
  <c r="K180" i="8" s="1"/>
  <c r="O130" i="7"/>
  <c r="C181" i="8"/>
  <c r="G181" i="8" s="1"/>
  <c r="AP27" i="8" s="1"/>
  <c r="B82" i="7"/>
  <c r="Z19" i="6"/>
  <c r="E19" i="6"/>
  <c r="I185" i="8"/>
  <c r="O135" i="7"/>
  <c r="E24" i="6"/>
  <c r="Z25" i="6"/>
  <c r="I187" i="8"/>
  <c r="O137" i="7"/>
  <c r="Y25" i="6"/>
  <c r="C190" i="8"/>
  <c r="G190" i="8" s="1"/>
  <c r="B91" i="7"/>
  <c r="E28" i="6"/>
  <c r="Z29" i="6"/>
  <c r="I191" i="8"/>
  <c r="K191" i="8" s="1"/>
  <c r="O141" i="7"/>
  <c r="N145" i="7"/>
  <c r="A195" i="8"/>
  <c r="A96" i="7"/>
  <c r="E39" i="6"/>
  <c r="N152" i="7"/>
  <c r="A202" i="8"/>
  <c r="A103" i="7"/>
  <c r="M8" i="18"/>
  <c r="D212" i="8"/>
  <c r="G212" i="8" s="1"/>
  <c r="C212" i="8"/>
  <c r="E212" i="8" s="1"/>
  <c r="S8" i="19"/>
  <c r="Q8" i="14"/>
  <c r="E8" i="21"/>
  <c r="T11" i="3"/>
  <c r="V11" i="3" s="1"/>
  <c r="E16" i="21"/>
  <c r="S16" i="19"/>
  <c r="Q16" i="14"/>
  <c r="T19" i="3"/>
  <c r="V19" i="3" s="1"/>
  <c r="S24" i="19"/>
  <c r="E24" i="21"/>
  <c r="Q24" i="14"/>
  <c r="T27" i="3"/>
  <c r="V27" i="3" s="1"/>
  <c r="E32" i="21"/>
  <c r="S32" i="19"/>
  <c r="Q32" i="14"/>
  <c r="AC18" i="6"/>
  <c r="D181" i="8"/>
  <c r="F181" i="8" s="1"/>
  <c r="K183" i="8"/>
  <c r="C185" i="8"/>
  <c r="G185" i="8" s="1"/>
  <c r="AP31" i="8" s="1"/>
  <c r="B86" i="7"/>
  <c r="AC28" i="6"/>
  <c r="A191" i="8"/>
  <c r="N141" i="7"/>
  <c r="A92" i="7"/>
  <c r="I200" i="8"/>
  <c r="K200" i="8" s="1"/>
  <c r="O150" i="7"/>
  <c r="B102" i="7"/>
  <c r="E25" i="6"/>
  <c r="C187" i="8"/>
  <c r="G187" i="8" s="1"/>
  <c r="AP33" i="8" s="1"/>
  <c r="B88" i="7"/>
  <c r="B94" i="7"/>
  <c r="C193" i="8"/>
  <c r="G193" i="8" s="1"/>
  <c r="B98" i="7"/>
  <c r="C197" i="8"/>
  <c r="G197" i="8" s="1"/>
  <c r="K197" i="8" s="1"/>
  <c r="I204" i="8"/>
  <c r="K204" i="8" s="1"/>
  <c r="Z42" i="6"/>
  <c r="O154" i="7"/>
  <c r="L131" i="7"/>
  <c r="K203" i="8"/>
  <c r="C178" i="8"/>
  <c r="G178" i="8" s="1"/>
  <c r="AP24" i="8" s="1"/>
  <c r="B79" i="7"/>
  <c r="A179" i="8"/>
  <c r="A80" i="7"/>
  <c r="U115" i="7"/>
  <c r="C182" i="8"/>
  <c r="G182" i="8" s="1"/>
  <c r="AP28" i="8" s="1"/>
  <c r="B83" i="7"/>
  <c r="N133" i="7"/>
  <c r="A84" i="7"/>
  <c r="A183" i="8"/>
  <c r="U119" i="7"/>
  <c r="Y26" i="6"/>
  <c r="Y27" i="6"/>
  <c r="A194" i="8"/>
  <c r="N144" i="7"/>
  <c r="AC34" i="6"/>
  <c r="N149" i="7"/>
  <c r="A199" i="8"/>
  <c r="A100" i="7"/>
  <c r="C205" i="8"/>
  <c r="G205" i="8" s="1"/>
  <c r="B106" i="7"/>
  <c r="B90" i="7"/>
  <c r="A95" i="7"/>
  <c r="C45" i="8"/>
  <c r="F45" i="8" s="1"/>
  <c r="H45" i="8" s="1"/>
  <c r="K188" i="8"/>
  <c r="K195" i="8"/>
  <c r="O127" i="7"/>
  <c r="B69" i="6"/>
  <c r="I177" i="8"/>
  <c r="K177" i="8" s="1"/>
  <c r="O131" i="7"/>
  <c r="I181" i="8"/>
  <c r="A187" i="8"/>
  <c r="N137" i="7"/>
  <c r="A88" i="7"/>
  <c r="Z26" i="6"/>
  <c r="Z27" i="6"/>
  <c r="K190" i="8"/>
  <c r="C195" i="8"/>
  <c r="G195" i="8" s="1"/>
  <c r="E33" i="6"/>
  <c r="AC43" i="6"/>
  <c r="B95" i="7"/>
  <c r="E16" i="6"/>
  <c r="C179" i="8"/>
  <c r="G179" i="8" s="1"/>
  <c r="AP25" i="8" s="1"/>
  <c r="B80" i="7"/>
  <c r="A81" i="7"/>
  <c r="A180" i="8"/>
  <c r="U116" i="7"/>
  <c r="N130" i="7"/>
  <c r="E20" i="6"/>
  <c r="C183" i="8"/>
  <c r="G183" i="8" s="1"/>
  <c r="AP29" i="8" s="1"/>
  <c r="B84" i="7"/>
  <c r="N134" i="7"/>
  <c r="A85" i="7"/>
  <c r="A184" i="8"/>
  <c r="U120" i="7"/>
  <c r="A186" i="8"/>
  <c r="N136" i="7"/>
  <c r="U122" i="7"/>
  <c r="A87" i="7"/>
  <c r="E27" i="6"/>
  <c r="I189" i="8"/>
  <c r="K189" i="8" s="1"/>
  <c r="O139" i="7"/>
  <c r="A192" i="8"/>
  <c r="N142" i="7"/>
  <c r="A93" i="7"/>
  <c r="I195" i="8"/>
  <c r="Z33" i="6"/>
  <c r="O145" i="7"/>
  <c r="C199" i="8"/>
  <c r="G199" i="8" s="1"/>
  <c r="K199" i="8" s="1"/>
  <c r="E37" i="6"/>
  <c r="B100" i="7"/>
  <c r="I199" i="8"/>
  <c r="Z37" i="6"/>
  <c r="O149" i="7"/>
  <c r="I202" i="8"/>
  <c r="Z40" i="6"/>
  <c r="A203" i="8"/>
  <c r="A104" i="7"/>
  <c r="N153" i="7"/>
  <c r="N154" i="7"/>
  <c r="A204" i="8"/>
  <c r="A105" i="7"/>
  <c r="E43" i="6"/>
  <c r="O138" i="7"/>
  <c r="O146" i="7"/>
  <c r="F5" i="8"/>
  <c r="M54" i="8"/>
  <c r="AB13" i="8"/>
  <c r="B7" i="9"/>
  <c r="D59" i="8"/>
  <c r="F59" i="8" s="1"/>
  <c r="D53" i="8"/>
  <c r="F53" i="8" s="1"/>
  <c r="D55" i="8"/>
  <c r="F55" i="8" s="1"/>
  <c r="B43" i="8"/>
  <c r="C43" i="8" s="1"/>
  <c r="L64" i="8"/>
  <c r="D95" i="8"/>
  <c r="D151" i="8"/>
  <c r="K186" i="8"/>
  <c r="H146" i="8"/>
  <c r="AV15" i="8" s="1"/>
  <c r="H237" i="8"/>
  <c r="D43" i="8"/>
  <c r="D47" i="8"/>
  <c r="D42" i="8"/>
  <c r="D40" i="8"/>
  <c r="D45" i="8"/>
  <c r="I146" i="8"/>
  <c r="I151" i="8" s="1"/>
  <c r="K194" i="8"/>
  <c r="I206" i="8"/>
  <c r="K206" i="8" s="1"/>
  <c r="O156" i="7"/>
  <c r="L132" i="7"/>
  <c r="D204" i="8"/>
  <c r="F204" i="8" s="1"/>
  <c r="D200" i="8"/>
  <c r="F200" i="8" s="1"/>
  <c r="D196" i="8"/>
  <c r="F196" i="8" s="1"/>
  <c r="D192" i="8"/>
  <c r="F192" i="8" s="1"/>
  <c r="D188" i="8"/>
  <c r="F188" i="8" s="1"/>
  <c r="D184" i="8"/>
  <c r="F184" i="8" s="1"/>
  <c r="F170" i="8"/>
  <c r="F166" i="8"/>
  <c r="D205" i="8"/>
  <c r="F205" i="8" s="1"/>
  <c r="D194" i="8"/>
  <c r="F194" i="8" s="1"/>
  <c r="D183" i="8"/>
  <c r="F183" i="8" s="1"/>
  <c r="D177" i="8"/>
  <c r="F177" i="8" s="1"/>
  <c r="E169" i="8"/>
  <c r="F149" i="8"/>
  <c r="H149" i="8" s="1"/>
  <c r="AV18" i="8" s="1"/>
  <c r="F146" i="8"/>
  <c r="B42" i="8"/>
  <c r="C42" i="8" s="1"/>
  <c r="F42" i="8" s="1"/>
  <c r="H42" i="8" s="1"/>
  <c r="D203" i="8"/>
  <c r="F203" i="8" s="1"/>
  <c r="D193" i="8"/>
  <c r="F193" i="8" s="1"/>
  <c r="F168" i="8"/>
  <c r="B46" i="8"/>
  <c r="C46" i="8" s="1"/>
  <c r="B9" i="9"/>
  <c r="D189" i="8"/>
  <c r="F189" i="8" s="1"/>
  <c r="D190" i="8"/>
  <c r="F190" i="8" s="1"/>
  <c r="D179" i="8"/>
  <c r="F179" i="8" s="1"/>
  <c r="E166" i="8"/>
  <c r="F147" i="8"/>
  <c r="H147" i="8" s="1"/>
  <c r="AV16" i="8" s="1"/>
  <c r="B48" i="8"/>
  <c r="C48" i="8" s="1"/>
  <c r="F48" i="8" s="1"/>
  <c r="H48" i="8" s="1"/>
  <c r="B44" i="8"/>
  <c r="C44" i="8" s="1"/>
  <c r="F44" i="8" s="1"/>
  <c r="H44" i="8" s="1"/>
  <c r="D191" i="8"/>
  <c r="F191" i="8" s="1"/>
  <c r="D186" i="8"/>
  <c r="F186" i="8" s="1"/>
  <c r="F171" i="8"/>
  <c r="F150" i="8"/>
  <c r="L66" i="8"/>
  <c r="E171" i="8"/>
  <c r="F145" i="8"/>
  <c r="H145" i="8" s="1"/>
  <c r="B40" i="8"/>
  <c r="C40" i="8" s="1"/>
  <c r="D201" i="8"/>
  <c r="F201" i="8" s="1"/>
  <c r="D187" i="8"/>
  <c r="F187" i="8" s="1"/>
  <c r="E170" i="8"/>
  <c r="B47" i="8"/>
  <c r="C47" i="8" s="1"/>
  <c r="D202" i="8"/>
  <c r="F202" i="8" s="1"/>
  <c r="D41" i="8"/>
  <c r="D56" i="8"/>
  <c r="F56" i="8" s="1"/>
  <c r="E167" i="8"/>
  <c r="K181" i="8"/>
  <c r="A206" i="8"/>
  <c r="I134" i="7"/>
  <c r="F7" i="8"/>
  <c r="D46" i="8"/>
  <c r="M53" i="8"/>
  <c r="D57" i="8"/>
  <c r="F57" i="8" s="1"/>
  <c r="F167" i="8"/>
  <c r="D206" i="8"/>
  <c r="F206" i="8" s="1"/>
  <c r="L128" i="7"/>
  <c r="D99" i="8"/>
  <c r="C99" i="8"/>
  <c r="Z41" i="6"/>
  <c r="E120" i="8"/>
  <c r="AB22" i="8"/>
  <c r="I271" i="8" s="1"/>
  <c r="F169" i="8"/>
  <c r="K178" i="8"/>
  <c r="D180" i="8"/>
  <c r="F180" i="8" s="1"/>
  <c r="K182" i="8"/>
  <c r="K193" i="8"/>
  <c r="K202" i="8"/>
  <c r="G9" i="17"/>
  <c r="B34" i="13"/>
  <c r="E34" i="13" s="1"/>
  <c r="L34" i="13"/>
  <c r="H150" i="8"/>
  <c r="AV19" i="8" s="1"/>
  <c r="I150" i="8"/>
  <c r="H238" i="8"/>
  <c r="K187" i="8"/>
  <c r="K192" i="8"/>
  <c r="G12" i="18"/>
  <c r="B37" i="11"/>
  <c r="B35" i="11"/>
  <c r="B33" i="11"/>
  <c r="B38" i="11"/>
  <c r="B39" i="11"/>
  <c r="B34" i="11"/>
  <c r="B32" i="11"/>
  <c r="B36" i="11"/>
  <c r="B31" i="11"/>
  <c r="I45" i="14"/>
  <c r="J45" i="14" s="1"/>
  <c r="F27" i="8"/>
  <c r="D98" i="8"/>
  <c r="C98" i="8"/>
  <c r="C101" i="8"/>
  <c r="D101" i="8" s="1"/>
  <c r="K196" i="8"/>
  <c r="K205" i="8"/>
  <c r="B16" i="10"/>
  <c r="I43" i="14"/>
  <c r="J43" i="14" s="1"/>
  <c r="U121" i="7"/>
  <c r="L130" i="7"/>
  <c r="N147" i="7"/>
  <c r="K185" i="8"/>
  <c r="B15" i="10"/>
  <c r="K201" i="8"/>
  <c r="B48" i="10"/>
  <c r="B44" i="10"/>
  <c r="B36" i="10"/>
  <c r="B43" i="10"/>
  <c r="B47" i="10"/>
  <c r="B38" i="10"/>
  <c r="D6" i="10"/>
  <c r="B35" i="10"/>
  <c r="B37" i="10" s="1"/>
  <c r="B45" i="10"/>
  <c r="I47" i="14"/>
  <c r="J47" i="14" s="1"/>
  <c r="I42" i="14"/>
  <c r="F39" i="11"/>
  <c r="F36" i="11"/>
  <c r="F34" i="11"/>
  <c r="P40" i="14"/>
  <c r="F35" i="11"/>
  <c r="F37" i="11"/>
  <c r="I40" i="14"/>
  <c r="J40" i="14" s="1"/>
  <c r="J37" i="11"/>
  <c r="J35" i="11"/>
  <c r="J33" i="11"/>
  <c r="F5" i="11"/>
  <c r="J32" i="11"/>
  <c r="J38" i="11"/>
  <c r="F33" i="11"/>
  <c r="F38" i="11"/>
  <c r="I41" i="14"/>
  <c r="J41" i="14" s="1"/>
  <c r="I44" i="14"/>
  <c r="J44" i="14" s="1"/>
  <c r="B87" i="18"/>
  <c r="B89" i="18"/>
  <c r="B85" i="18"/>
  <c r="B81" i="18"/>
  <c r="B90" i="18"/>
  <c r="B84" i="18"/>
  <c r="E89" i="18"/>
  <c r="C84" i="18"/>
  <c r="C91" i="18"/>
  <c r="B86" i="18"/>
  <c r="D83" i="18"/>
  <c r="B91" i="18"/>
  <c r="D84" i="18"/>
  <c r="E88" i="18"/>
  <c r="D88" i="18"/>
  <c r="E84" i="18"/>
  <c r="B88" i="18"/>
  <c r="C83" i="18"/>
  <c r="E85" i="18"/>
  <c r="C87" i="18"/>
  <c r="M9" i="23"/>
  <c r="M8" i="23"/>
  <c r="M47" i="18"/>
  <c r="J39" i="18"/>
  <c r="A33" i="18"/>
  <c r="M46" i="18"/>
  <c r="A2" i="19"/>
  <c r="L32" i="11"/>
  <c r="L38" i="11"/>
  <c r="L39" i="11"/>
  <c r="L34" i="11"/>
  <c r="L33" i="11"/>
  <c r="F31" i="11"/>
  <c r="I46" i="14"/>
  <c r="J46" i="14" s="1"/>
  <c r="B82" i="18"/>
  <c r="G16" i="16"/>
  <c r="F16" i="16"/>
  <c r="H16" i="16"/>
  <c r="D16" i="16"/>
  <c r="C16" i="16"/>
  <c r="M33" i="18"/>
  <c r="B51" i="18"/>
  <c r="M35" i="18" s="1"/>
  <c r="B15" i="11"/>
  <c r="J16" i="16"/>
  <c r="B39" i="18"/>
  <c r="D23" i="18" s="1"/>
  <c r="E90" i="18"/>
  <c r="D89" i="18"/>
  <c r="C88" i="18"/>
  <c r="E82" i="18"/>
  <c r="D81" i="18"/>
  <c r="E81" i="18"/>
  <c r="D85" i="18"/>
  <c r="C89" i="18"/>
  <c r="C82" i="18"/>
  <c r="E83" i="18"/>
  <c r="C86" i="18"/>
  <c r="E87" i="18"/>
  <c r="D91" i="18"/>
  <c r="D82" i="18"/>
  <c r="D86" i="18"/>
  <c r="C90" i="18"/>
  <c r="E91" i="18"/>
  <c r="C81" i="18"/>
  <c r="C85" i="18"/>
  <c r="E86" i="18"/>
  <c r="D90" i="18"/>
  <c r="Z34" i="3" l="1"/>
  <c r="W34" i="3"/>
  <c r="X66" i="5"/>
  <c r="AC44" i="6"/>
  <c r="Z10" i="3"/>
  <c r="W10" i="3"/>
  <c r="Y10" i="3" s="1"/>
  <c r="X42" i="5"/>
  <c r="AC20" i="6"/>
  <c r="Z25" i="3"/>
  <c r="W25" i="3"/>
  <c r="X57" i="5"/>
  <c r="AC35" i="6"/>
  <c r="W32" i="3"/>
  <c r="Z32" i="3"/>
  <c r="X64" i="5"/>
  <c r="AC42" i="6"/>
  <c r="W14" i="3"/>
  <c r="X46" i="5"/>
  <c r="AC24" i="6"/>
  <c r="Z14" i="3"/>
  <c r="X54" i="5"/>
  <c r="W22" i="3"/>
  <c r="Z22" i="3"/>
  <c r="AC32" i="6"/>
  <c r="J42" i="14"/>
  <c r="P41" i="14"/>
  <c r="D36" i="11"/>
  <c r="C36" i="11"/>
  <c r="F43" i="8"/>
  <c r="H43" i="8" s="1"/>
  <c r="L47" i="14"/>
  <c r="M47" i="14" s="1"/>
  <c r="D32" i="11"/>
  <c r="C32" i="11"/>
  <c r="D197" i="8"/>
  <c r="F197" i="8" s="1"/>
  <c r="F47" i="8"/>
  <c r="H47" i="8" s="1"/>
  <c r="F40" i="8"/>
  <c r="H40" i="8" s="1"/>
  <c r="D185" i="8"/>
  <c r="F185" i="8" s="1"/>
  <c r="F66" i="8"/>
  <c r="D182" i="8"/>
  <c r="F182" i="8" s="1"/>
  <c r="AO32" i="8"/>
  <c r="AX22" i="8"/>
  <c r="Q17" i="19"/>
  <c r="R17" i="19" s="1"/>
  <c r="I17" i="19"/>
  <c r="J17" i="19" s="1"/>
  <c r="O17" i="19"/>
  <c r="P17" i="19" s="1"/>
  <c r="E17" i="19"/>
  <c r="F17" i="19" s="1"/>
  <c r="K17" i="19"/>
  <c r="L17" i="19" s="1"/>
  <c r="M17" i="19"/>
  <c r="N17" i="19" s="1"/>
  <c r="G17" i="19"/>
  <c r="H17" i="19" s="1"/>
  <c r="C17" i="19"/>
  <c r="D17" i="19" s="1"/>
  <c r="O10" i="19"/>
  <c r="P10" i="19" s="1"/>
  <c r="G10" i="19"/>
  <c r="H10" i="19" s="1"/>
  <c r="E10" i="19"/>
  <c r="F10" i="19" s="1"/>
  <c r="Q10" i="19"/>
  <c r="R10" i="19" s="1"/>
  <c r="C10" i="19"/>
  <c r="D10" i="19" s="1"/>
  <c r="M10" i="19"/>
  <c r="N10" i="19" s="1"/>
  <c r="I10" i="19"/>
  <c r="J10" i="19" s="1"/>
  <c r="K10" i="19"/>
  <c r="L10" i="19" s="1"/>
  <c r="K30" i="19"/>
  <c r="L30" i="19" s="1"/>
  <c r="C30" i="19"/>
  <c r="D30" i="19" s="1"/>
  <c r="G30" i="19"/>
  <c r="H30" i="19" s="1"/>
  <c r="Q30" i="19"/>
  <c r="R30" i="19" s="1"/>
  <c r="E30" i="19"/>
  <c r="F30" i="19" s="1"/>
  <c r="I30" i="19"/>
  <c r="J30" i="19" s="1"/>
  <c r="M30" i="19"/>
  <c r="N30" i="19" s="1"/>
  <c r="O30" i="19"/>
  <c r="P30" i="19" s="1"/>
  <c r="M21" i="19"/>
  <c r="N21" i="19" s="1"/>
  <c r="E21" i="19"/>
  <c r="F21" i="19" s="1"/>
  <c r="Q21" i="19"/>
  <c r="R21" i="19" s="1"/>
  <c r="C21" i="19"/>
  <c r="D21" i="19" s="1"/>
  <c r="O21" i="19"/>
  <c r="P21" i="19" s="1"/>
  <c r="G21" i="19"/>
  <c r="H21" i="19" s="1"/>
  <c r="K21" i="19"/>
  <c r="L21" i="19" s="1"/>
  <c r="I21" i="19"/>
  <c r="J21" i="19" s="1"/>
  <c r="U12" i="23"/>
  <c r="V12" i="23" s="1"/>
  <c r="T12" i="23"/>
  <c r="R12" i="23"/>
  <c r="Q12" i="23"/>
  <c r="O12" i="23"/>
  <c r="S12" i="23"/>
  <c r="G22" i="12"/>
  <c r="H22" i="12" s="1"/>
  <c r="J22" i="12" s="1"/>
  <c r="G18" i="12"/>
  <c r="H18" i="12" s="1"/>
  <c r="J18" i="12" s="1"/>
  <c r="G25" i="12"/>
  <c r="H25" i="12" s="1"/>
  <c r="J25" i="12" s="1"/>
  <c r="G23" i="12"/>
  <c r="H23" i="12" s="1"/>
  <c r="J23" i="12" s="1"/>
  <c r="G21" i="12"/>
  <c r="H21" i="12" s="1"/>
  <c r="J21" i="12" s="1"/>
  <c r="G19" i="12"/>
  <c r="H19" i="12" s="1"/>
  <c r="J19" i="12" s="1"/>
  <c r="G24" i="12"/>
  <c r="H24" i="12" s="1"/>
  <c r="J24" i="12" s="1"/>
  <c r="G20" i="12"/>
  <c r="H20" i="12" s="1"/>
  <c r="J20" i="12" s="1"/>
  <c r="B24" i="12"/>
  <c r="J23" i="14"/>
  <c r="AG23" i="3"/>
  <c r="Q23" i="3" s="1"/>
  <c r="J25" i="14"/>
  <c r="AG25" i="3"/>
  <c r="Q25" i="3" s="1"/>
  <c r="AA25" i="3" s="1"/>
  <c r="J12" i="14"/>
  <c r="AG12" i="3"/>
  <c r="Q12" i="3" s="1"/>
  <c r="R12" i="3" s="1"/>
  <c r="B34" i="1"/>
  <c r="G6" i="12"/>
  <c r="K113" i="7"/>
  <c r="Q14" i="5"/>
  <c r="M24" i="19"/>
  <c r="N24" i="19" s="1"/>
  <c r="E24" i="19"/>
  <c r="F24" i="19" s="1"/>
  <c r="G24" i="19"/>
  <c r="H24" i="19" s="1"/>
  <c r="Q24" i="19"/>
  <c r="R24" i="19" s="1"/>
  <c r="C24" i="19"/>
  <c r="D24" i="19" s="1"/>
  <c r="I24" i="19"/>
  <c r="J24" i="19" s="1"/>
  <c r="O24" i="19"/>
  <c r="P24" i="19" s="1"/>
  <c r="K24" i="19"/>
  <c r="L24" i="19" s="1"/>
  <c r="AX18" i="8"/>
  <c r="AO28" i="8"/>
  <c r="X45" i="5"/>
  <c r="W13" i="3"/>
  <c r="Z13" i="3"/>
  <c r="Y18" i="3"/>
  <c r="H74" i="18"/>
  <c r="M5" i="19"/>
  <c r="N5" i="19" s="1"/>
  <c r="E5" i="19"/>
  <c r="F5" i="19" s="1"/>
  <c r="I5" i="19"/>
  <c r="J5" i="19" s="1"/>
  <c r="G5" i="19"/>
  <c r="H5" i="19" s="1"/>
  <c r="K5" i="19"/>
  <c r="L5" i="19" s="1"/>
  <c r="Q5" i="19"/>
  <c r="R5" i="19" s="1"/>
  <c r="C5" i="19"/>
  <c r="D5" i="19" s="1"/>
  <c r="O5" i="19"/>
  <c r="P5" i="19" s="1"/>
  <c r="Q12" i="19"/>
  <c r="R12" i="19" s="1"/>
  <c r="I12" i="19"/>
  <c r="J12" i="19" s="1"/>
  <c r="G12" i="19"/>
  <c r="H12" i="19" s="1"/>
  <c r="C12" i="19"/>
  <c r="D12" i="19" s="1"/>
  <c r="M12" i="19"/>
  <c r="N12" i="19" s="1"/>
  <c r="O12" i="19"/>
  <c r="P12" i="19" s="1"/>
  <c r="E12" i="19"/>
  <c r="F12" i="19" s="1"/>
  <c r="K12" i="19"/>
  <c r="L12" i="19" s="1"/>
  <c r="J5" i="14"/>
  <c r="AG5" i="3"/>
  <c r="Q5" i="3" s="1"/>
  <c r="AA5" i="3" s="1"/>
  <c r="W6" i="3"/>
  <c r="AC16" i="6"/>
  <c r="X38" i="5"/>
  <c r="Z6" i="3"/>
  <c r="K42" i="14"/>
  <c r="J32" i="14"/>
  <c r="AG32" i="3"/>
  <c r="Q32" i="3" s="1"/>
  <c r="R32" i="3"/>
  <c r="S32" i="3" s="1"/>
  <c r="J18" i="14"/>
  <c r="S18" i="3"/>
  <c r="R18" i="3"/>
  <c r="AG18" i="3"/>
  <c r="Q18" i="3" s="1"/>
  <c r="J20" i="14"/>
  <c r="S20" i="3"/>
  <c r="R20" i="3"/>
  <c r="AG20" i="3"/>
  <c r="Q20" i="3" s="1"/>
  <c r="C27" i="1"/>
  <c r="C13" i="1"/>
  <c r="F84" i="18"/>
  <c r="M9" i="18"/>
  <c r="F87" i="18" s="1"/>
  <c r="B18" i="11"/>
  <c r="V27" i="11" s="1"/>
  <c r="V29" i="11" s="1"/>
  <c r="D34" i="11"/>
  <c r="C34" i="11"/>
  <c r="E34" i="11" s="1"/>
  <c r="G34" i="11" s="1"/>
  <c r="E125" i="8"/>
  <c r="E128" i="8"/>
  <c r="E119" i="8"/>
  <c r="I268" i="8"/>
  <c r="E126" i="8"/>
  <c r="I267" i="8"/>
  <c r="E127" i="8"/>
  <c r="B119" i="8"/>
  <c r="I269" i="8"/>
  <c r="E129" i="8"/>
  <c r="F12" i="8"/>
  <c r="F67" i="8"/>
  <c r="K41" i="8"/>
  <c r="F89" i="18"/>
  <c r="D39" i="11"/>
  <c r="C39" i="11"/>
  <c r="E39" i="11" s="1"/>
  <c r="G39" i="11" s="1"/>
  <c r="F68" i="8"/>
  <c r="AX20" i="8"/>
  <c r="AO30" i="8"/>
  <c r="AX16" i="8"/>
  <c r="AO26" i="8"/>
  <c r="AO33" i="8"/>
  <c r="AX23" i="8"/>
  <c r="AX15" i="8"/>
  <c r="AO25" i="8"/>
  <c r="Z19" i="3"/>
  <c r="W19" i="3"/>
  <c r="Y19" i="3" s="1"/>
  <c r="X51" i="5"/>
  <c r="M8" i="19"/>
  <c r="N8" i="19" s="1"/>
  <c r="E8" i="19"/>
  <c r="F8" i="19" s="1"/>
  <c r="I8" i="19"/>
  <c r="J8" i="19" s="1"/>
  <c r="G8" i="19"/>
  <c r="H8" i="19" s="1"/>
  <c r="C8" i="19"/>
  <c r="D8" i="19" s="1"/>
  <c r="K8" i="19"/>
  <c r="L8" i="19" s="1"/>
  <c r="O8" i="19"/>
  <c r="P8" i="19" s="1"/>
  <c r="Q8" i="19"/>
  <c r="R8" i="19" s="1"/>
  <c r="O34" i="19"/>
  <c r="P34" i="19" s="1"/>
  <c r="G34" i="19"/>
  <c r="H34" i="19" s="1"/>
  <c r="K34" i="19"/>
  <c r="L34" i="19" s="1"/>
  <c r="I34" i="19"/>
  <c r="J34" i="19" s="1"/>
  <c r="M34" i="19"/>
  <c r="N34" i="19" s="1"/>
  <c r="E34" i="19"/>
  <c r="F34" i="19" s="1"/>
  <c r="Q34" i="19"/>
  <c r="R34" i="19" s="1"/>
  <c r="C34" i="19"/>
  <c r="D34" i="19" s="1"/>
  <c r="X62" i="5"/>
  <c r="W30" i="3"/>
  <c r="Z30" i="3"/>
  <c r="AX14" i="8"/>
  <c r="AO24" i="8"/>
  <c r="V23" i="3"/>
  <c r="O23" i="19"/>
  <c r="P23" i="19" s="1"/>
  <c r="G23" i="19"/>
  <c r="H23" i="19" s="1"/>
  <c r="Q23" i="19"/>
  <c r="R23" i="19" s="1"/>
  <c r="E23" i="19"/>
  <c r="F23" i="19" s="1"/>
  <c r="M23" i="19"/>
  <c r="N23" i="19" s="1"/>
  <c r="K23" i="19"/>
  <c r="L23" i="19" s="1"/>
  <c r="C23" i="19"/>
  <c r="D23" i="19" s="1"/>
  <c r="I23" i="19"/>
  <c r="J23" i="19" s="1"/>
  <c r="V12" i="3"/>
  <c r="X56" i="5"/>
  <c r="W24" i="3"/>
  <c r="Y24" i="3" s="1"/>
  <c r="Z24" i="3"/>
  <c r="L10" i="23"/>
  <c r="L7" i="23"/>
  <c r="L5" i="23"/>
  <c r="L11" i="23"/>
  <c r="L6" i="23"/>
  <c r="J24" i="14"/>
  <c r="AG24" i="3"/>
  <c r="Q24" i="3" s="1"/>
  <c r="AA24" i="3" s="1"/>
  <c r="J33" i="14"/>
  <c r="R33" i="3"/>
  <c r="AG33" i="3"/>
  <c r="Q33" i="3" s="1"/>
  <c r="AA33" i="3" s="1"/>
  <c r="K44" i="14"/>
  <c r="J16" i="14"/>
  <c r="AG16" i="3"/>
  <c r="Q16" i="3" s="1"/>
  <c r="AA16" i="3" s="1"/>
  <c r="J34" i="14"/>
  <c r="R34" i="3"/>
  <c r="AG34" i="3"/>
  <c r="Q34" i="3" s="1"/>
  <c r="AA34" i="3" s="1"/>
  <c r="J28" i="14"/>
  <c r="R28" i="3"/>
  <c r="AG28" i="3"/>
  <c r="Q28" i="3" s="1"/>
  <c r="B15" i="1"/>
  <c r="C15" i="1" s="1"/>
  <c r="O7" i="19"/>
  <c r="P7" i="19" s="1"/>
  <c r="G7" i="19"/>
  <c r="H7" i="19" s="1"/>
  <c r="K7" i="19"/>
  <c r="L7" i="19" s="1"/>
  <c r="E7" i="19"/>
  <c r="F7" i="19" s="1"/>
  <c r="Q7" i="19"/>
  <c r="R7" i="19" s="1"/>
  <c r="C7" i="19"/>
  <c r="D7" i="19" s="1"/>
  <c r="M7" i="19"/>
  <c r="N7" i="19" s="1"/>
  <c r="I7" i="19"/>
  <c r="J7" i="19" s="1"/>
  <c r="F77" i="8"/>
  <c r="D199" i="8"/>
  <c r="F199" i="8" s="1"/>
  <c r="M32" i="19"/>
  <c r="N32" i="19" s="1"/>
  <c r="E32" i="19"/>
  <c r="F32" i="19" s="1"/>
  <c r="G32" i="19"/>
  <c r="H32" i="19" s="1"/>
  <c r="Q32" i="19"/>
  <c r="R32" i="19" s="1"/>
  <c r="C32" i="19"/>
  <c r="D32" i="19" s="1"/>
  <c r="K32" i="19"/>
  <c r="L32" i="19" s="1"/>
  <c r="I32" i="19"/>
  <c r="J32" i="19" s="1"/>
  <c r="O32" i="19"/>
  <c r="P32" i="19" s="1"/>
  <c r="AX24" i="8"/>
  <c r="AO34" i="8"/>
  <c r="Y32" i="3"/>
  <c r="V17" i="3"/>
  <c r="M29" i="19"/>
  <c r="N29" i="19" s="1"/>
  <c r="E29" i="19"/>
  <c r="F29" i="19" s="1"/>
  <c r="Q29" i="19"/>
  <c r="R29" i="19" s="1"/>
  <c r="C29" i="19"/>
  <c r="D29" i="19" s="1"/>
  <c r="O29" i="19"/>
  <c r="P29" i="19" s="1"/>
  <c r="G29" i="19"/>
  <c r="H29" i="19" s="1"/>
  <c r="I29" i="19"/>
  <c r="J29" i="19" s="1"/>
  <c r="K29" i="19"/>
  <c r="L29" i="19" s="1"/>
  <c r="Y14" i="3"/>
  <c r="X53" i="5"/>
  <c r="Z21" i="3"/>
  <c r="W21" i="3"/>
  <c r="Y21" i="3" s="1"/>
  <c r="L8" i="23"/>
  <c r="L9" i="23"/>
  <c r="Z18" i="3"/>
  <c r="W18" i="3"/>
  <c r="X50" i="5"/>
  <c r="J26" i="14"/>
  <c r="S26" i="3"/>
  <c r="R26" i="3"/>
  <c r="AG26" i="3"/>
  <c r="Q26" i="3" s="1"/>
  <c r="Z26" i="3"/>
  <c r="X58" i="5"/>
  <c r="W26" i="3"/>
  <c r="Y26" i="3" s="1"/>
  <c r="AB16" i="11"/>
  <c r="Z14" i="11"/>
  <c r="Z18" i="11"/>
  <c r="F267" i="8"/>
  <c r="C224" i="8"/>
  <c r="D224" i="8" s="1"/>
  <c r="C89" i="8"/>
  <c r="Z17" i="11"/>
  <c r="F269" i="8"/>
  <c r="E99" i="8"/>
  <c r="C86" i="8"/>
  <c r="K57" i="8"/>
  <c r="H54" i="8"/>
  <c r="AB7" i="8"/>
  <c r="E269" i="8"/>
  <c r="H257" i="8"/>
  <c r="E100" i="8"/>
  <c r="H55" i="8"/>
  <c r="Z16" i="11"/>
  <c r="AA16" i="11" s="1"/>
  <c r="AC16" i="11" s="1"/>
  <c r="AD16" i="11" s="1"/>
  <c r="F271" i="8"/>
  <c r="Z15" i="11"/>
  <c r="E271" i="8"/>
  <c r="E267" i="8"/>
  <c r="H259" i="8"/>
  <c r="I259" i="8" s="1"/>
  <c r="AA259" i="8" s="1"/>
  <c r="E98" i="8"/>
  <c r="H58" i="8"/>
  <c r="K53" i="8"/>
  <c r="K45" i="8"/>
  <c r="H258" i="8"/>
  <c r="I258" i="8" s="1"/>
  <c r="AA258" i="8" s="1"/>
  <c r="C226" i="8"/>
  <c r="D226" i="8" s="1"/>
  <c r="E95" i="8"/>
  <c r="F95" i="8" s="1"/>
  <c r="C84" i="8"/>
  <c r="H56" i="8"/>
  <c r="F270" i="8"/>
  <c r="F268" i="8"/>
  <c r="H261" i="8"/>
  <c r="C221" i="8"/>
  <c r="D221" i="8" s="1"/>
  <c r="E96" i="8"/>
  <c r="C88" i="8"/>
  <c r="K54" i="8"/>
  <c r="H53" i="8"/>
  <c r="E270" i="8"/>
  <c r="E268" i="8"/>
  <c r="C223" i="8"/>
  <c r="D223" i="8" s="1"/>
  <c r="H256" i="8"/>
  <c r="H57" i="8"/>
  <c r="C77" i="8"/>
  <c r="D54" i="8"/>
  <c r="F54" i="8" s="1"/>
  <c r="AB15" i="8"/>
  <c r="C85" i="8"/>
  <c r="H260" i="8"/>
  <c r="C222" i="8"/>
  <c r="D222" i="8" s="1"/>
  <c r="E101" i="8"/>
  <c r="F101" i="8" s="1"/>
  <c r="C87" i="8"/>
  <c r="H59" i="8"/>
  <c r="C225" i="8"/>
  <c r="D225" i="8" s="1"/>
  <c r="E97" i="8"/>
  <c r="E75" i="8"/>
  <c r="D75" i="8"/>
  <c r="E78" i="8"/>
  <c r="AB5" i="8"/>
  <c r="K40" i="14"/>
  <c r="L40" i="14" s="1"/>
  <c r="M40" i="14" s="1"/>
  <c r="J6" i="14"/>
  <c r="AG6" i="3"/>
  <c r="Q6" i="3" s="1"/>
  <c r="AA6" i="3" s="1"/>
  <c r="J22" i="14"/>
  <c r="AG22" i="3"/>
  <c r="Q22" i="3" s="1"/>
  <c r="AA22" i="3" s="1"/>
  <c r="J11" i="14"/>
  <c r="R11" i="3"/>
  <c r="AG11" i="3"/>
  <c r="Q11" i="3" s="1"/>
  <c r="M16" i="19"/>
  <c r="N16" i="19" s="1"/>
  <c r="E16" i="19"/>
  <c r="F16" i="19" s="1"/>
  <c r="I16" i="19"/>
  <c r="J16" i="19" s="1"/>
  <c r="G16" i="19"/>
  <c r="H16" i="19" s="1"/>
  <c r="O16" i="19"/>
  <c r="P16" i="19" s="1"/>
  <c r="K16" i="19"/>
  <c r="L16" i="19" s="1"/>
  <c r="Q16" i="19"/>
  <c r="R16" i="19" s="1"/>
  <c r="C16" i="19"/>
  <c r="D16" i="19" s="1"/>
  <c r="Q25" i="19"/>
  <c r="R25" i="19" s="1"/>
  <c r="I25" i="19"/>
  <c r="J25" i="19" s="1"/>
  <c r="G25" i="19"/>
  <c r="H25" i="19" s="1"/>
  <c r="K25" i="19"/>
  <c r="L25" i="19" s="1"/>
  <c r="C25" i="19"/>
  <c r="D25" i="19" s="1"/>
  <c r="E25" i="19"/>
  <c r="F25" i="19" s="1"/>
  <c r="M25" i="19"/>
  <c r="N25" i="19" s="1"/>
  <c r="O25" i="19"/>
  <c r="P25" i="19" s="1"/>
  <c r="Q9" i="19"/>
  <c r="R9" i="19" s="1"/>
  <c r="I9" i="19"/>
  <c r="J9" i="19" s="1"/>
  <c r="M9" i="19"/>
  <c r="N9" i="19" s="1"/>
  <c r="C9" i="19"/>
  <c r="D9" i="19" s="1"/>
  <c r="K9" i="19"/>
  <c r="L9" i="19" s="1"/>
  <c r="E9" i="19"/>
  <c r="F9" i="19" s="1"/>
  <c r="G9" i="19"/>
  <c r="H9" i="19" s="1"/>
  <c r="O9" i="19"/>
  <c r="P9" i="19" s="1"/>
  <c r="L134" i="7"/>
  <c r="V127" i="7" s="1"/>
  <c r="AX13" i="8"/>
  <c r="AO23" i="8"/>
  <c r="Y34" i="3"/>
  <c r="Y22" i="3"/>
  <c r="X63" i="5"/>
  <c r="W31" i="3"/>
  <c r="Y31" i="3" s="1"/>
  <c r="Z31" i="3"/>
  <c r="K6" i="19"/>
  <c r="L6" i="19" s="1"/>
  <c r="C6" i="19"/>
  <c r="D6" i="19" s="1"/>
  <c r="M6" i="19"/>
  <c r="N6" i="19" s="1"/>
  <c r="O6" i="19"/>
  <c r="P6" i="19" s="1"/>
  <c r="Q6" i="19"/>
  <c r="R6" i="19" s="1"/>
  <c r="I6" i="19"/>
  <c r="J6" i="19" s="1"/>
  <c r="G6" i="19"/>
  <c r="H6" i="19" s="1"/>
  <c r="E6" i="19"/>
  <c r="F6" i="19" s="1"/>
  <c r="K19" i="19"/>
  <c r="L19" i="19" s="1"/>
  <c r="C19" i="19"/>
  <c r="D19" i="19" s="1"/>
  <c r="I19" i="19"/>
  <c r="J19" i="19" s="1"/>
  <c r="G19" i="19"/>
  <c r="H19" i="19" s="1"/>
  <c r="M19" i="19"/>
  <c r="N19" i="19" s="1"/>
  <c r="Q19" i="19"/>
  <c r="R19" i="19" s="1"/>
  <c r="O19" i="19"/>
  <c r="P19" i="19" s="1"/>
  <c r="E19" i="19"/>
  <c r="F19" i="19" s="1"/>
  <c r="J8" i="14"/>
  <c r="AG8" i="3"/>
  <c r="Q8" i="3" s="1"/>
  <c r="R8" i="3"/>
  <c r="S8" i="3"/>
  <c r="K22" i="19"/>
  <c r="L22" i="19" s="1"/>
  <c r="C22" i="19"/>
  <c r="D22" i="19" s="1"/>
  <c r="G22" i="19"/>
  <c r="H22" i="19" s="1"/>
  <c r="Q22" i="19"/>
  <c r="R22" i="19" s="1"/>
  <c r="I22" i="19"/>
  <c r="J22" i="19" s="1"/>
  <c r="O22" i="19"/>
  <c r="P22" i="19" s="1"/>
  <c r="E22" i="19"/>
  <c r="F22" i="19" s="1"/>
  <c r="M22" i="19"/>
  <c r="N22" i="19" s="1"/>
  <c r="Q8" i="5"/>
  <c r="Q9" i="5"/>
  <c r="Q10" i="5" s="1"/>
  <c r="V30" i="11"/>
  <c r="J9" i="14"/>
  <c r="AG9" i="3"/>
  <c r="Q9" i="3" s="1"/>
  <c r="AA9" i="3" s="1"/>
  <c r="J30" i="14"/>
  <c r="AG30" i="3"/>
  <c r="Q30" i="3" s="1"/>
  <c r="AA30" i="3" s="1"/>
  <c r="J19" i="14"/>
  <c r="S19" i="3"/>
  <c r="R19" i="3"/>
  <c r="AG19" i="3"/>
  <c r="Q19" i="3" s="1"/>
  <c r="AA19" i="3" s="1"/>
  <c r="AX19" i="8"/>
  <c r="AO29" i="8"/>
  <c r="L43" i="14"/>
  <c r="M43" i="14" s="1"/>
  <c r="C33" i="11"/>
  <c r="D33" i="11"/>
  <c r="AV14" i="8"/>
  <c r="H151" i="8"/>
  <c r="F86" i="18"/>
  <c r="L45" i="14"/>
  <c r="M45" i="14" s="1"/>
  <c r="C35" i="11"/>
  <c r="D35" i="11"/>
  <c r="H75" i="8"/>
  <c r="I117" i="8"/>
  <c r="I118" i="8" s="1"/>
  <c r="B57" i="9"/>
  <c r="AB14" i="8"/>
  <c r="AB16" i="8" s="1"/>
  <c r="X61" i="5"/>
  <c r="W29" i="3"/>
  <c r="Y29" i="3" s="1"/>
  <c r="Z29" i="3"/>
  <c r="O18" i="19"/>
  <c r="P18" i="19" s="1"/>
  <c r="G18" i="19"/>
  <c r="H18" i="19" s="1"/>
  <c r="Q18" i="19"/>
  <c r="R18" i="19" s="1"/>
  <c r="C18" i="19"/>
  <c r="D18" i="19" s="1"/>
  <c r="M18" i="19"/>
  <c r="N18" i="19" s="1"/>
  <c r="E18" i="19"/>
  <c r="F18" i="19" s="1"/>
  <c r="K18" i="19"/>
  <c r="L18" i="19" s="1"/>
  <c r="I18" i="19"/>
  <c r="J18" i="19" s="1"/>
  <c r="AC39" i="6"/>
  <c r="G270" i="8"/>
  <c r="C109" i="8"/>
  <c r="J25" i="7"/>
  <c r="G271" i="8"/>
  <c r="I205" i="7"/>
  <c r="B203" i="7"/>
  <c r="Y30" i="3"/>
  <c r="N178" i="8"/>
  <c r="N180" i="8"/>
  <c r="AP23" i="8"/>
  <c r="V28" i="3"/>
  <c r="C85" i="5"/>
  <c r="M84" i="5"/>
  <c r="F84" i="5"/>
  <c r="K46" i="14"/>
  <c r="L46" i="14" s="1"/>
  <c r="M46" i="14" s="1"/>
  <c r="K47" i="14"/>
  <c r="J31" i="14"/>
  <c r="AG31" i="3"/>
  <c r="Q31" i="3" s="1"/>
  <c r="R31" i="3"/>
  <c r="J13" i="14"/>
  <c r="AG13" i="3"/>
  <c r="Q13" i="3" s="1"/>
  <c r="AA13" i="3" s="1"/>
  <c r="R13" i="3"/>
  <c r="J27" i="14"/>
  <c r="AG27" i="3"/>
  <c r="Q27" i="3" s="1"/>
  <c r="AA27" i="3" s="1"/>
  <c r="Z8" i="3"/>
  <c r="W8" i="3"/>
  <c r="Y8" i="3" s="1"/>
  <c r="X40" i="5"/>
  <c r="F46" i="8"/>
  <c r="H76" i="8"/>
  <c r="X59" i="5"/>
  <c r="Z27" i="3"/>
  <c r="W27" i="3"/>
  <c r="Y27" i="3" s="1"/>
  <c r="F82" i="18"/>
  <c r="L44" i="14"/>
  <c r="M44" i="14" s="1"/>
  <c r="C31" i="11"/>
  <c r="E31" i="11" s="1"/>
  <c r="G31" i="11" s="1"/>
  <c r="D31" i="11"/>
  <c r="C37" i="11"/>
  <c r="E37" i="11" s="1"/>
  <c r="G37" i="11" s="1"/>
  <c r="D37" i="11"/>
  <c r="I270" i="8"/>
  <c r="D195" i="8"/>
  <c r="F195" i="8" s="1"/>
  <c r="D178" i="8"/>
  <c r="F178" i="8" s="1"/>
  <c r="F64" i="8"/>
  <c r="B78" i="8"/>
  <c r="K184" i="8"/>
  <c r="N177" i="8" s="1"/>
  <c r="Z11" i="3"/>
  <c r="W11" i="3"/>
  <c r="Y11" i="3" s="1"/>
  <c r="X43" i="5"/>
  <c r="V20" i="3"/>
  <c r="AO27" i="8"/>
  <c r="AX17" i="8"/>
  <c r="AC23" i="6"/>
  <c r="L59" i="7"/>
  <c r="C29" i="7"/>
  <c r="B60" i="6"/>
  <c r="B46" i="7" s="1"/>
  <c r="K11" i="19"/>
  <c r="L11" i="19" s="1"/>
  <c r="C11" i="19"/>
  <c r="D11" i="19" s="1"/>
  <c r="Q11" i="19"/>
  <c r="R11" i="19" s="1"/>
  <c r="G11" i="19"/>
  <c r="H11" i="19" s="1"/>
  <c r="I11" i="19"/>
  <c r="J11" i="19" s="1"/>
  <c r="M11" i="19"/>
  <c r="N11" i="19" s="1"/>
  <c r="E11" i="19"/>
  <c r="F11" i="19" s="1"/>
  <c r="O11" i="19"/>
  <c r="P11" i="19" s="1"/>
  <c r="AC37" i="6"/>
  <c r="Y25" i="3"/>
  <c r="B63" i="6"/>
  <c r="B49" i="7" s="1"/>
  <c r="I84" i="5"/>
  <c r="C75" i="5"/>
  <c r="B75" i="5"/>
  <c r="I95" i="5"/>
  <c r="I93" i="5"/>
  <c r="I91" i="5"/>
  <c r="I89" i="5"/>
  <c r="I87" i="5"/>
  <c r="I90" i="5"/>
  <c r="D75" i="5"/>
  <c r="I92" i="5"/>
  <c r="I94" i="5"/>
  <c r="Q36" i="5"/>
  <c r="I86" i="5"/>
  <c r="I88" i="5"/>
  <c r="I85" i="5"/>
  <c r="Y13" i="3"/>
  <c r="D215" i="8"/>
  <c r="B215" i="8"/>
  <c r="AC21" i="6"/>
  <c r="O15" i="19"/>
  <c r="P15" i="19" s="1"/>
  <c r="G15" i="19"/>
  <c r="H15" i="19" s="1"/>
  <c r="M15" i="19"/>
  <c r="N15" i="19" s="1"/>
  <c r="C15" i="19"/>
  <c r="D15" i="19" s="1"/>
  <c r="Q15" i="19"/>
  <c r="R15" i="19" s="1"/>
  <c r="E15" i="19"/>
  <c r="F15" i="19" s="1"/>
  <c r="I15" i="19"/>
  <c r="J15" i="19" s="1"/>
  <c r="K15" i="19"/>
  <c r="L15" i="19" s="1"/>
  <c r="K43" i="14"/>
  <c r="K45" i="14"/>
  <c r="J10" i="14"/>
  <c r="AG10" i="3"/>
  <c r="Q10" i="3" s="1"/>
  <c r="AA10" i="3" s="1"/>
  <c r="J21" i="14"/>
  <c r="AG21" i="3"/>
  <c r="Q21" i="3" s="1"/>
  <c r="AA21" i="3" s="1"/>
  <c r="R21" i="3"/>
  <c r="K40" i="8"/>
  <c r="P42" i="14"/>
  <c r="C38" i="11"/>
  <c r="D38" i="11"/>
  <c r="F90" i="18"/>
  <c r="F91" i="18"/>
  <c r="F81" i="18"/>
  <c r="G76" i="8"/>
  <c r="H74" i="8"/>
  <c r="F65" i="8"/>
  <c r="C78" i="8"/>
  <c r="Q33" i="19"/>
  <c r="R33" i="19" s="1"/>
  <c r="I33" i="19"/>
  <c r="J33" i="19" s="1"/>
  <c r="K33" i="19"/>
  <c r="L33" i="19" s="1"/>
  <c r="G33" i="19"/>
  <c r="H33" i="19" s="1"/>
  <c r="E33" i="19"/>
  <c r="F33" i="19" s="1"/>
  <c r="M33" i="19"/>
  <c r="N33" i="19" s="1"/>
  <c r="O33" i="19"/>
  <c r="P33" i="19" s="1"/>
  <c r="C33" i="19"/>
  <c r="D33" i="19" s="1"/>
  <c r="O26" i="19"/>
  <c r="P26" i="19" s="1"/>
  <c r="G26" i="19"/>
  <c r="H26" i="19" s="1"/>
  <c r="C26" i="19"/>
  <c r="D26" i="19" s="1"/>
  <c r="M26" i="19"/>
  <c r="N26" i="19" s="1"/>
  <c r="Q26" i="19"/>
  <c r="R26" i="19" s="1"/>
  <c r="E26" i="19"/>
  <c r="F26" i="19" s="1"/>
  <c r="K26" i="19"/>
  <c r="L26" i="19" s="1"/>
  <c r="I26" i="19"/>
  <c r="J26" i="19" s="1"/>
  <c r="K27" i="19"/>
  <c r="L27" i="19" s="1"/>
  <c r="C27" i="19"/>
  <c r="D27" i="19" s="1"/>
  <c r="M27" i="19"/>
  <c r="N27" i="19" s="1"/>
  <c r="G27" i="19"/>
  <c r="H27" i="19" s="1"/>
  <c r="Q27" i="19"/>
  <c r="R27" i="19" s="1"/>
  <c r="E27" i="19"/>
  <c r="F27" i="19" s="1"/>
  <c r="I27" i="19"/>
  <c r="J27" i="19" s="1"/>
  <c r="O27" i="19"/>
  <c r="P27" i="19" s="1"/>
  <c r="M13" i="19"/>
  <c r="N13" i="19" s="1"/>
  <c r="E13" i="19"/>
  <c r="F13" i="19" s="1"/>
  <c r="G13" i="19"/>
  <c r="H13" i="19" s="1"/>
  <c r="Q13" i="19"/>
  <c r="R13" i="19" s="1"/>
  <c r="I13" i="19"/>
  <c r="J13" i="19" s="1"/>
  <c r="K13" i="19"/>
  <c r="L13" i="19" s="1"/>
  <c r="C13" i="19"/>
  <c r="D13" i="19" s="1"/>
  <c r="O13" i="19"/>
  <c r="P13" i="19" s="1"/>
  <c r="Y6" i="3"/>
  <c r="B11" i="15"/>
  <c r="F257" i="8"/>
  <c r="H182" i="7"/>
  <c r="C108" i="8"/>
  <c r="F256" i="8"/>
  <c r="H184" i="7"/>
  <c r="H179" i="7"/>
  <c r="B27" i="8"/>
  <c r="E74" i="8" s="1"/>
  <c r="F258" i="8"/>
  <c r="F261" i="8"/>
  <c r="E61" i="7"/>
  <c r="I204" i="7"/>
  <c r="E58" i="7"/>
  <c r="B204" i="7"/>
  <c r="H186" i="7"/>
  <c r="H183" i="7"/>
  <c r="H180" i="7"/>
  <c r="E62" i="7"/>
  <c r="H176" i="7"/>
  <c r="F260" i="8"/>
  <c r="H185" i="7"/>
  <c r="H178" i="7"/>
  <c r="E63" i="7"/>
  <c r="E205" i="7"/>
  <c r="E60" i="7"/>
  <c r="H177" i="7"/>
  <c r="I25" i="7"/>
  <c r="H187" i="7"/>
  <c r="G269" i="8"/>
  <c r="H181" i="7"/>
  <c r="AC40" i="6"/>
  <c r="Q20" i="19"/>
  <c r="R20" i="19" s="1"/>
  <c r="I20" i="19"/>
  <c r="J20" i="19" s="1"/>
  <c r="K20" i="19"/>
  <c r="L20" i="19" s="1"/>
  <c r="M20" i="19"/>
  <c r="N20" i="19" s="1"/>
  <c r="C20" i="19"/>
  <c r="D20" i="19" s="1"/>
  <c r="O20" i="19"/>
  <c r="P20" i="19" s="1"/>
  <c r="G20" i="19"/>
  <c r="H20" i="19" s="1"/>
  <c r="E20" i="19"/>
  <c r="F20" i="19" s="1"/>
  <c r="F259" i="8"/>
  <c r="G268" i="8"/>
  <c r="G267" i="8"/>
  <c r="C107" i="8"/>
  <c r="H25" i="7"/>
  <c r="I203" i="7"/>
  <c r="B17" i="11"/>
  <c r="AB10" i="8"/>
  <c r="Q28" i="19"/>
  <c r="R28" i="19" s="1"/>
  <c r="I28" i="19"/>
  <c r="J28" i="19" s="1"/>
  <c r="M28" i="19"/>
  <c r="N28" i="19" s="1"/>
  <c r="C28" i="19"/>
  <c r="D28" i="19" s="1"/>
  <c r="K28" i="19"/>
  <c r="L28" i="19" s="1"/>
  <c r="G28" i="19"/>
  <c r="H28" i="19" s="1"/>
  <c r="E28" i="19"/>
  <c r="F28" i="19" s="1"/>
  <c r="O28" i="19"/>
  <c r="P28" i="19" s="1"/>
  <c r="K14" i="19"/>
  <c r="L14" i="19" s="1"/>
  <c r="C14" i="19"/>
  <c r="D14" i="19" s="1"/>
  <c r="I14" i="19"/>
  <c r="J14" i="19" s="1"/>
  <c r="G14" i="19"/>
  <c r="H14" i="19" s="1"/>
  <c r="M14" i="19"/>
  <c r="N14" i="19" s="1"/>
  <c r="E14" i="19"/>
  <c r="F14" i="19" s="1"/>
  <c r="O14" i="19"/>
  <c r="P14" i="19" s="1"/>
  <c r="Q14" i="19"/>
  <c r="R14" i="19" s="1"/>
  <c r="G42" i="18"/>
  <c r="J41" i="18"/>
  <c r="A17" i="18"/>
  <c r="O31" i="19"/>
  <c r="P31" i="19" s="1"/>
  <c r="G31" i="19"/>
  <c r="H31" i="19" s="1"/>
  <c r="I31" i="19"/>
  <c r="J31" i="19" s="1"/>
  <c r="M31" i="19"/>
  <c r="N31" i="19" s="1"/>
  <c r="K31" i="19"/>
  <c r="L31" i="19" s="1"/>
  <c r="C31" i="19"/>
  <c r="D31" i="19" s="1"/>
  <c r="E31" i="19"/>
  <c r="F31" i="19" s="1"/>
  <c r="Q31" i="19"/>
  <c r="R31" i="19" s="1"/>
  <c r="J15" i="14"/>
  <c r="AG15" i="3"/>
  <c r="Q15" i="3" s="1"/>
  <c r="AA15" i="3" s="1"/>
  <c r="R15" i="3"/>
  <c r="J7" i="14"/>
  <c r="AG7" i="3"/>
  <c r="Q7" i="3" s="1"/>
  <c r="AA7" i="3" s="1"/>
  <c r="R7" i="3"/>
  <c r="S7" i="3"/>
  <c r="K41" i="14"/>
  <c r="L41" i="14" s="1"/>
  <c r="M41" i="14" s="1"/>
  <c r="J17" i="14"/>
  <c r="R17" i="3"/>
  <c r="AG17" i="3"/>
  <c r="Q17" i="3" s="1"/>
  <c r="S17" i="3"/>
  <c r="J14" i="14"/>
  <c r="AG14" i="3"/>
  <c r="Q14" i="3" s="1"/>
  <c r="AA14" i="3" s="1"/>
  <c r="J29" i="14"/>
  <c r="AG29" i="3"/>
  <c r="Q29" i="3" s="1"/>
  <c r="B14" i="1"/>
  <c r="C10" i="1"/>
  <c r="B29" i="1"/>
  <c r="B40" i="1" s="1"/>
  <c r="B59" i="1"/>
  <c r="B63" i="1" s="1"/>
  <c r="B67" i="1" s="1"/>
  <c r="F53" i="1"/>
  <c r="K12" i="14" l="1"/>
  <c r="AL12" i="3"/>
  <c r="F22" i="6"/>
  <c r="E44" i="5"/>
  <c r="AE12" i="3"/>
  <c r="S12" i="3"/>
  <c r="D118" i="7"/>
  <c r="D117" i="7"/>
  <c r="D116" i="7"/>
  <c r="D113" i="7"/>
  <c r="D119" i="7"/>
  <c r="D115" i="7"/>
  <c r="D114" i="7"/>
  <c r="O9" i="23"/>
  <c r="T9" i="23"/>
  <c r="U9" i="23" s="1"/>
  <c r="S9" i="23"/>
  <c r="R9" i="23"/>
  <c r="Q9" i="23"/>
  <c r="Z17" i="3"/>
  <c r="X49" i="5"/>
  <c r="W17" i="3"/>
  <c r="Y17" i="3" s="1"/>
  <c r="AC27" i="6"/>
  <c r="K34" i="14"/>
  <c r="F44" i="6"/>
  <c r="E66" i="5"/>
  <c r="AL34" i="3"/>
  <c r="AB34" i="3"/>
  <c r="AE34" i="3"/>
  <c r="K20" i="14"/>
  <c r="E52" i="5"/>
  <c r="AL20" i="3"/>
  <c r="F30" i="6"/>
  <c r="AE20" i="3"/>
  <c r="K18" i="14"/>
  <c r="F28" i="6"/>
  <c r="E50" i="5"/>
  <c r="AB18" i="3"/>
  <c r="AL18" i="3"/>
  <c r="AE18" i="3"/>
  <c r="E32" i="11"/>
  <c r="G32" i="11" s="1"/>
  <c r="B68" i="1"/>
  <c r="B69" i="1"/>
  <c r="F62" i="1"/>
  <c r="E84" i="5"/>
  <c r="L84" i="5"/>
  <c r="K19" i="14"/>
  <c r="E51" i="5"/>
  <c r="F29" i="6"/>
  <c r="AB19" i="3"/>
  <c r="AL19" i="3"/>
  <c r="AE19" i="3"/>
  <c r="R9" i="3"/>
  <c r="K26" i="14"/>
  <c r="F36" i="6"/>
  <c r="AE26" i="3"/>
  <c r="AB26" i="3"/>
  <c r="AL26" i="3"/>
  <c r="E58" i="5"/>
  <c r="R8" i="23"/>
  <c r="Q8" i="23"/>
  <c r="S8" i="23"/>
  <c r="O8" i="23"/>
  <c r="T8" i="23"/>
  <c r="U8" i="23" s="1"/>
  <c r="H77" i="8"/>
  <c r="K28" i="14"/>
  <c r="F38" i="6"/>
  <c r="AL28" i="3"/>
  <c r="AB28" i="3"/>
  <c r="E60" i="5"/>
  <c r="AE28" i="3"/>
  <c r="S34" i="3"/>
  <c r="K33" i="14"/>
  <c r="F43" i="6"/>
  <c r="E65" i="5"/>
  <c r="AB33" i="3"/>
  <c r="AL33" i="3"/>
  <c r="AE33" i="3"/>
  <c r="H89" i="18"/>
  <c r="H87" i="18"/>
  <c r="H90" i="18"/>
  <c r="K21" i="14"/>
  <c r="E53" i="5"/>
  <c r="AE21" i="3"/>
  <c r="AL21" i="3"/>
  <c r="AB21" i="3"/>
  <c r="F31" i="6"/>
  <c r="H31" i="11"/>
  <c r="I31" i="11"/>
  <c r="K31" i="11"/>
  <c r="K31" i="14"/>
  <c r="F41" i="6"/>
  <c r="E63" i="5"/>
  <c r="AE31" i="3"/>
  <c r="AL31" i="3"/>
  <c r="AB31" i="3"/>
  <c r="B205" i="7"/>
  <c r="E33" i="11"/>
  <c r="G33" i="11" s="1"/>
  <c r="H84" i="18"/>
  <c r="L42" i="14"/>
  <c r="B75" i="8"/>
  <c r="R10" i="3"/>
  <c r="K11" i="14"/>
  <c r="AB11" i="3"/>
  <c r="F21" i="6"/>
  <c r="E43" i="5"/>
  <c r="AL11" i="3"/>
  <c r="AE11" i="3"/>
  <c r="G224" i="8"/>
  <c r="E224" i="8"/>
  <c r="F224" i="8" s="1"/>
  <c r="C86" i="5"/>
  <c r="F85" i="5"/>
  <c r="M85" i="5"/>
  <c r="E35" i="11"/>
  <c r="G35" i="11" s="1"/>
  <c r="G20" i="17"/>
  <c r="V31" i="11"/>
  <c r="N20" i="17"/>
  <c r="G31" i="17"/>
  <c r="K8" i="14"/>
  <c r="E40" i="5"/>
  <c r="F18" i="6"/>
  <c r="AL8" i="3"/>
  <c r="AB8" i="3"/>
  <c r="AE8" i="3"/>
  <c r="S11" i="3"/>
  <c r="F97" i="8"/>
  <c r="I260" i="8"/>
  <c r="AA260" i="8" s="1"/>
  <c r="F96" i="8"/>
  <c r="G226" i="8"/>
  <c r="E226" i="8"/>
  <c r="F226" i="8" s="1"/>
  <c r="F98" i="8"/>
  <c r="F100" i="8"/>
  <c r="F99" i="8"/>
  <c r="E77" i="8"/>
  <c r="S28" i="3"/>
  <c r="O6" i="23"/>
  <c r="Q6" i="23" s="1"/>
  <c r="R6" i="23"/>
  <c r="U6" i="23"/>
  <c r="T6" i="23"/>
  <c r="S6" i="23"/>
  <c r="E76" i="8"/>
  <c r="R5" i="3"/>
  <c r="R25" i="3"/>
  <c r="G222" i="8"/>
  <c r="E222" i="8"/>
  <c r="F222" i="8" s="1"/>
  <c r="D78" i="8"/>
  <c r="R16" i="3"/>
  <c r="O11" i="23"/>
  <c r="R11" i="23"/>
  <c r="T11" i="23"/>
  <c r="U11" i="23" s="1"/>
  <c r="S11" i="23"/>
  <c r="Z12" i="3"/>
  <c r="X44" i="5"/>
  <c r="S49" i="5" s="1"/>
  <c r="W12" i="3"/>
  <c r="Y12" i="3" s="1"/>
  <c r="AB12" i="3" s="1"/>
  <c r="AC22" i="6"/>
  <c r="C76" i="8"/>
  <c r="G77" i="8"/>
  <c r="C28" i="1"/>
  <c r="C34" i="1"/>
  <c r="K32" i="14"/>
  <c r="F42" i="6"/>
  <c r="E64" i="5"/>
  <c r="AE32" i="3"/>
  <c r="AL32" i="3"/>
  <c r="AB32" i="3"/>
  <c r="D76" i="8"/>
  <c r="S31" i="3"/>
  <c r="G43" i="18"/>
  <c r="H65" i="18"/>
  <c r="B41" i="18"/>
  <c r="H78" i="8"/>
  <c r="Z28" i="3"/>
  <c r="W28" i="3"/>
  <c r="Y28" i="3" s="1"/>
  <c r="X60" i="5"/>
  <c r="AC38" i="6"/>
  <c r="B287" i="8"/>
  <c r="D278" i="8"/>
  <c r="E278" i="8" s="1"/>
  <c r="D277" i="8"/>
  <c r="E277" i="8" s="1"/>
  <c r="I119" i="8"/>
  <c r="G89" i="8"/>
  <c r="G87" i="8"/>
  <c r="D280" i="8"/>
  <c r="E280" i="8" s="1"/>
  <c r="K99" i="8"/>
  <c r="G88" i="8"/>
  <c r="G86" i="8"/>
  <c r="D281" i="8"/>
  <c r="E281" i="8" s="1"/>
  <c r="G84" i="8"/>
  <c r="F22" i="8"/>
  <c r="AB24" i="8"/>
  <c r="AB17" i="8"/>
  <c r="G85" i="8"/>
  <c r="F14" i="8"/>
  <c r="AA8" i="3"/>
  <c r="E225" i="8"/>
  <c r="F225" i="8" s="1"/>
  <c r="G225" i="8"/>
  <c r="I256" i="8"/>
  <c r="AA256" i="8" s="1"/>
  <c r="E221" i="8"/>
  <c r="F221" i="8" s="1"/>
  <c r="G221" i="8"/>
  <c r="I257" i="8"/>
  <c r="AA257" i="8" s="1"/>
  <c r="R14" i="3"/>
  <c r="AA17" i="3"/>
  <c r="G34" i="15"/>
  <c r="G30" i="15"/>
  <c r="G26" i="15"/>
  <c r="G22" i="15"/>
  <c r="G18" i="15"/>
  <c r="B30" i="16"/>
  <c r="G31" i="15"/>
  <c r="G23" i="15"/>
  <c r="G32" i="15"/>
  <c r="G24" i="15"/>
  <c r="G35" i="15"/>
  <c r="G33" i="15"/>
  <c r="G27" i="15"/>
  <c r="G25" i="15"/>
  <c r="G19" i="15"/>
  <c r="G29" i="15"/>
  <c r="G21" i="15"/>
  <c r="G20" i="15"/>
  <c r="G28" i="15"/>
  <c r="F88" i="18"/>
  <c r="F83" i="18"/>
  <c r="F76" i="8"/>
  <c r="R27" i="3"/>
  <c r="F85" i="18"/>
  <c r="G74" i="8"/>
  <c r="R6" i="3"/>
  <c r="F78" i="8"/>
  <c r="D68" i="8"/>
  <c r="E68" i="8" s="1"/>
  <c r="G68" i="8" s="1"/>
  <c r="H68" i="8" s="1"/>
  <c r="D64" i="8"/>
  <c r="E64" i="8" s="1"/>
  <c r="G64" i="8" s="1"/>
  <c r="H64" i="8" s="1"/>
  <c r="D65" i="8"/>
  <c r="E65" i="8" s="1"/>
  <c r="G65" i="8" s="1"/>
  <c r="H65" i="8" s="1"/>
  <c r="D67" i="8"/>
  <c r="E67" i="8" s="1"/>
  <c r="G67" i="8" s="1"/>
  <c r="H67" i="8" s="1"/>
  <c r="D66" i="8"/>
  <c r="E66" i="8" s="1"/>
  <c r="G66" i="8" s="1"/>
  <c r="H66" i="8" s="1"/>
  <c r="G223" i="8"/>
  <c r="E223" i="8"/>
  <c r="F223" i="8" s="1"/>
  <c r="I261" i="8"/>
  <c r="AA261" i="8" s="1"/>
  <c r="AA17" i="11"/>
  <c r="S33" i="3"/>
  <c r="R24" i="3"/>
  <c r="S5" i="23"/>
  <c r="R5" i="23"/>
  <c r="Q5" i="23"/>
  <c r="T5" i="23"/>
  <c r="O5" i="23"/>
  <c r="U5" i="23"/>
  <c r="B76" i="8"/>
  <c r="I24" i="12"/>
  <c r="I23" i="12"/>
  <c r="I19" i="12"/>
  <c r="I21" i="12"/>
  <c r="I20" i="12"/>
  <c r="I18" i="12"/>
  <c r="I25" i="12"/>
  <c r="I22" i="12"/>
  <c r="X52" i="5"/>
  <c r="Z20" i="3"/>
  <c r="W20" i="3"/>
  <c r="Y20" i="3" s="1"/>
  <c r="AB20" i="3" s="1"/>
  <c r="AC30" i="6"/>
  <c r="H46" i="8"/>
  <c r="K46" i="8"/>
  <c r="S21" i="3"/>
  <c r="K13" i="14"/>
  <c r="F23" i="6"/>
  <c r="AE13" i="3"/>
  <c r="AL13" i="3"/>
  <c r="AB13" i="3"/>
  <c r="E45" i="5"/>
  <c r="C29" i="1"/>
  <c r="C40" i="1" s="1"/>
  <c r="C14" i="1"/>
  <c r="K15" i="14"/>
  <c r="AE15" i="3"/>
  <c r="AL15" i="3"/>
  <c r="F25" i="6"/>
  <c r="AB15" i="3"/>
  <c r="E47" i="5"/>
  <c r="H82" i="18"/>
  <c r="S13" i="3"/>
  <c r="AA29" i="3"/>
  <c r="K7" i="14"/>
  <c r="F17" i="6"/>
  <c r="AL7" i="3"/>
  <c r="E39" i="5"/>
  <c r="AB7" i="3"/>
  <c r="AE7" i="3"/>
  <c r="P35" i="11"/>
  <c r="P34" i="11"/>
  <c r="P36" i="11"/>
  <c r="P37" i="11"/>
  <c r="P32" i="11"/>
  <c r="P31" i="11"/>
  <c r="P33" i="11"/>
  <c r="P38" i="11"/>
  <c r="P39" i="11"/>
  <c r="B311" i="8"/>
  <c r="B304" i="8"/>
  <c r="J147" i="8"/>
  <c r="B309" i="8"/>
  <c r="B307" i="8"/>
  <c r="J150" i="8"/>
  <c r="I55" i="8"/>
  <c r="J55" i="8" s="1"/>
  <c r="B305" i="8"/>
  <c r="J144" i="8"/>
  <c r="E84" i="8"/>
  <c r="F84" i="8" s="1"/>
  <c r="I56" i="8"/>
  <c r="J56" i="8" s="1"/>
  <c r="B312" i="8"/>
  <c r="B308" i="8"/>
  <c r="J148" i="8"/>
  <c r="K107" i="8"/>
  <c r="E88" i="8"/>
  <c r="F88" i="8" s="1"/>
  <c r="E86" i="8"/>
  <c r="F86" i="8" s="1"/>
  <c r="I53" i="8"/>
  <c r="J53" i="8" s="1"/>
  <c r="I7" i="8"/>
  <c r="J146" i="8"/>
  <c r="B310" i="8"/>
  <c r="B306" i="8"/>
  <c r="J149" i="8"/>
  <c r="E89" i="8"/>
  <c r="F89" i="8" s="1"/>
  <c r="I54" i="8"/>
  <c r="J54" i="8" s="1"/>
  <c r="E85" i="8"/>
  <c r="F85" i="8" s="1"/>
  <c r="J151" i="8"/>
  <c r="E87" i="8"/>
  <c r="F87" i="8" s="1"/>
  <c r="J145" i="8"/>
  <c r="I57" i="8"/>
  <c r="J57" i="8" s="1"/>
  <c r="F16" i="8"/>
  <c r="D77" i="8"/>
  <c r="H81" i="18"/>
  <c r="K37" i="11"/>
  <c r="H37" i="11"/>
  <c r="I37" i="11"/>
  <c r="V36" i="11"/>
  <c r="X36" i="11" s="1"/>
  <c r="C74" i="8"/>
  <c r="H86" i="18"/>
  <c r="R30" i="3"/>
  <c r="G75" i="8"/>
  <c r="R22" i="3"/>
  <c r="G159" i="8"/>
  <c r="G157" i="8"/>
  <c r="G160" i="8"/>
  <c r="AB6" i="8"/>
  <c r="G158" i="8"/>
  <c r="B19" i="10"/>
  <c r="B20" i="10" s="1"/>
  <c r="AB23" i="8"/>
  <c r="AB8" i="8"/>
  <c r="F75" i="8"/>
  <c r="AA18" i="11"/>
  <c r="AA28" i="3"/>
  <c r="T7" i="23"/>
  <c r="U7" i="23" s="1"/>
  <c r="S7" i="23"/>
  <c r="R7" i="23"/>
  <c r="Q7" i="23"/>
  <c r="O7" i="23"/>
  <c r="I39" i="11"/>
  <c r="K39" i="11"/>
  <c r="H39" i="11"/>
  <c r="D74" i="8"/>
  <c r="V34" i="11"/>
  <c r="X34" i="11" s="1"/>
  <c r="H34" i="11"/>
  <c r="K34" i="11"/>
  <c r="I34" i="11"/>
  <c r="AA18" i="3"/>
  <c r="AA32" i="3"/>
  <c r="B28" i="1"/>
  <c r="R23" i="3"/>
  <c r="Q16" i="5"/>
  <c r="Q18" i="5" s="1"/>
  <c r="Q19" i="5" s="1"/>
  <c r="E38" i="11"/>
  <c r="G38" i="11" s="1"/>
  <c r="AA31" i="3"/>
  <c r="B33" i="1"/>
  <c r="B16" i="1"/>
  <c r="B17" i="1"/>
  <c r="S15" i="3"/>
  <c r="R29" i="3"/>
  <c r="K17" i="14"/>
  <c r="E49" i="5"/>
  <c r="F27" i="6"/>
  <c r="AE17" i="3"/>
  <c r="AB17" i="3"/>
  <c r="AL17" i="3"/>
  <c r="H91" i="18"/>
  <c r="B37" i="13"/>
  <c r="E37" i="13" s="1"/>
  <c r="B17" i="7"/>
  <c r="M10" i="7"/>
  <c r="E59" i="7"/>
  <c r="C26" i="7"/>
  <c r="E9" i="7"/>
  <c r="B77" i="8"/>
  <c r="C75" i="8"/>
  <c r="AA11" i="3"/>
  <c r="K55" i="8"/>
  <c r="G78" i="8"/>
  <c r="B74" i="8"/>
  <c r="K56" i="8"/>
  <c r="AA15" i="11"/>
  <c r="AE16" i="11"/>
  <c r="AA14" i="11"/>
  <c r="AA26" i="3"/>
  <c r="F74" i="8"/>
  <c r="T10" i="23"/>
  <c r="S10" i="23"/>
  <c r="R10" i="23"/>
  <c r="U10" i="23"/>
  <c r="O10" i="23"/>
  <c r="W23" i="3"/>
  <c r="Y23" i="3" s="1"/>
  <c r="X55" i="5"/>
  <c r="Z23" i="3"/>
  <c r="AC33" i="6"/>
  <c r="B43" i="1"/>
  <c r="E36" i="11"/>
  <c r="G36" i="11" s="1"/>
  <c r="G30" i="6" l="1"/>
  <c r="AC20" i="3"/>
  <c r="F52" i="5"/>
  <c r="AN20" i="3"/>
  <c r="AF20" i="3"/>
  <c r="B73" i="5"/>
  <c r="C73" i="5"/>
  <c r="S52" i="5"/>
  <c r="D73" i="5"/>
  <c r="G22" i="6"/>
  <c r="AC12" i="3"/>
  <c r="AN12" i="3"/>
  <c r="F44" i="5"/>
  <c r="AF12" i="3"/>
  <c r="K22" i="14"/>
  <c r="E54" i="5"/>
  <c r="F32" i="6"/>
  <c r="AE22" i="3"/>
  <c r="AL22" i="3"/>
  <c r="AB22" i="3"/>
  <c r="S22" i="3"/>
  <c r="AC15" i="11"/>
  <c r="AD15" i="11" s="1"/>
  <c r="AE15" i="11"/>
  <c r="AB15" i="11"/>
  <c r="C45" i="10"/>
  <c r="E45" i="10" s="1"/>
  <c r="C48" i="10"/>
  <c r="E48" i="10" s="1"/>
  <c r="C44" i="10"/>
  <c r="E44" i="10" s="1"/>
  <c r="C46" i="10"/>
  <c r="E46" i="10" s="1"/>
  <c r="C43" i="10"/>
  <c r="E43" i="10" s="1"/>
  <c r="C47" i="10"/>
  <c r="E47" i="10" s="1"/>
  <c r="B21" i="10"/>
  <c r="B22" i="10" s="1"/>
  <c r="I38" i="11"/>
  <c r="H38" i="11"/>
  <c r="K38" i="11"/>
  <c r="O37" i="11"/>
  <c r="Q37" i="11" s="1"/>
  <c r="S37" i="11" s="1"/>
  <c r="M37" i="11"/>
  <c r="L15" i="14"/>
  <c r="AG25" i="6"/>
  <c r="AP15" i="3"/>
  <c r="AM15" i="3"/>
  <c r="M15" i="14" s="1"/>
  <c r="L13" i="14"/>
  <c r="AG23" i="6"/>
  <c r="AP13" i="3"/>
  <c r="AM13" i="3"/>
  <c r="M13" i="14" s="1"/>
  <c r="K6" i="14"/>
  <c r="F16" i="6"/>
  <c r="AE6" i="3"/>
  <c r="E38" i="5"/>
  <c r="AL6" i="3"/>
  <c r="AB6" i="3"/>
  <c r="S6" i="3"/>
  <c r="M256" i="8"/>
  <c r="C43" i="1"/>
  <c r="K10" i="14"/>
  <c r="E42" i="5"/>
  <c r="F20" i="6"/>
  <c r="AE10" i="3"/>
  <c r="AL10" i="3"/>
  <c r="AB10" i="3"/>
  <c r="S10" i="3"/>
  <c r="K33" i="11"/>
  <c r="I33" i="11"/>
  <c r="V33" i="11"/>
  <c r="X33" i="11" s="1"/>
  <c r="H33" i="11"/>
  <c r="I42" i="9"/>
  <c r="F15" i="8"/>
  <c r="E287" i="8"/>
  <c r="AV23" i="8"/>
  <c r="B288" i="8"/>
  <c r="E204" i="7"/>
  <c r="B206" i="7"/>
  <c r="E203" i="7"/>
  <c r="M31" i="11"/>
  <c r="N31" i="11" s="1"/>
  <c r="O31" i="11" s="1"/>
  <c r="Q31" i="11" s="1"/>
  <c r="L33" i="14"/>
  <c r="AG43" i="6"/>
  <c r="AP33" i="3"/>
  <c r="AM33" i="3"/>
  <c r="M33" i="14" s="1"/>
  <c r="G38" i="6"/>
  <c r="H38" i="6" s="1"/>
  <c r="AC28" i="3"/>
  <c r="F60" i="5"/>
  <c r="AN28" i="3"/>
  <c r="AF28" i="3"/>
  <c r="H32" i="11"/>
  <c r="I32" i="11"/>
  <c r="K32" i="11"/>
  <c r="G44" i="6"/>
  <c r="H44" i="6" s="1"/>
  <c r="F66" i="5"/>
  <c r="AF34" i="3"/>
  <c r="AN34" i="3"/>
  <c r="AC34" i="3"/>
  <c r="H36" i="11"/>
  <c r="I36" i="11"/>
  <c r="K36" i="11"/>
  <c r="Q10" i="23"/>
  <c r="V10" i="23" s="1"/>
  <c r="K29" i="14"/>
  <c r="E61" i="5"/>
  <c r="F39" i="6"/>
  <c r="AE29" i="3"/>
  <c r="AL29" i="3"/>
  <c r="AB29" i="3"/>
  <c r="S29" i="3"/>
  <c r="K23" i="14"/>
  <c r="F33" i="6"/>
  <c r="E55" i="5"/>
  <c r="AE23" i="3"/>
  <c r="AL23" i="3"/>
  <c r="AB23" i="3"/>
  <c r="S23" i="3"/>
  <c r="C268" i="8"/>
  <c r="B135" i="8"/>
  <c r="C270" i="8"/>
  <c r="C269" i="8"/>
  <c r="C271" i="8"/>
  <c r="C267" i="8"/>
  <c r="F9" i="8"/>
  <c r="B137" i="8"/>
  <c r="B136" i="8"/>
  <c r="B138" i="8"/>
  <c r="N37" i="11"/>
  <c r="AN7" i="3"/>
  <c r="AF7" i="3"/>
  <c r="F39" i="5"/>
  <c r="G17" i="6"/>
  <c r="AC7" i="3"/>
  <c r="I66" i="8"/>
  <c r="AP5" i="8"/>
  <c r="H85" i="18"/>
  <c r="G42" i="6"/>
  <c r="F64" i="5"/>
  <c r="AN32" i="3"/>
  <c r="AF32" i="3"/>
  <c r="AC32" i="3"/>
  <c r="G18" i="6"/>
  <c r="F40" i="5"/>
  <c r="AF8" i="3"/>
  <c r="AC8" i="3"/>
  <c r="AN8" i="3"/>
  <c r="P43" i="14"/>
  <c r="M42" i="14"/>
  <c r="G32" i="17"/>
  <c r="H32" i="17" s="1"/>
  <c r="F63" i="5"/>
  <c r="AN31" i="3"/>
  <c r="AF31" i="3"/>
  <c r="G41" i="6"/>
  <c r="AC31" i="3"/>
  <c r="G43" i="6"/>
  <c r="AN33" i="3"/>
  <c r="AF33" i="3"/>
  <c r="AC33" i="3"/>
  <c r="F65" i="5"/>
  <c r="L28" i="14"/>
  <c r="AG38" i="6"/>
  <c r="AP28" i="3"/>
  <c r="AM28" i="3"/>
  <c r="M28" i="14" s="1"/>
  <c r="H30" i="6"/>
  <c r="L34" i="14"/>
  <c r="AG44" i="6"/>
  <c r="AP34" i="3"/>
  <c r="AM34" i="3"/>
  <c r="M34" i="14" s="1"/>
  <c r="B31" i="13"/>
  <c r="E31" i="13" s="1"/>
  <c r="B39" i="17"/>
  <c r="N22" i="17"/>
  <c r="A5" i="17"/>
  <c r="B8" i="15"/>
  <c r="S11" i="17"/>
  <c r="B16" i="9"/>
  <c r="B27" i="17"/>
  <c r="D27" i="17" s="1"/>
  <c r="K195" i="7"/>
  <c r="C193" i="7"/>
  <c r="D193" i="7" s="1"/>
  <c r="F176" i="7"/>
  <c r="K196" i="7"/>
  <c r="K193" i="7"/>
  <c r="B131" i="7"/>
  <c r="D51" i="7"/>
  <c r="H4" i="7"/>
  <c r="B70" i="6"/>
  <c r="B11" i="12"/>
  <c r="G34" i="9"/>
  <c r="I34" i="9" s="1"/>
  <c r="K197" i="7"/>
  <c r="K117" i="7"/>
  <c r="C196" i="7"/>
  <c r="D196" i="7" s="1"/>
  <c r="D50" i="7"/>
  <c r="K114" i="7"/>
  <c r="B58" i="7"/>
  <c r="C194" i="7"/>
  <c r="D194" i="7" s="1"/>
  <c r="G138" i="7"/>
  <c r="G58" i="7"/>
  <c r="D52" i="7"/>
  <c r="M8" i="7"/>
  <c r="K120" i="7"/>
  <c r="K121" i="7" s="1"/>
  <c r="I63" i="5"/>
  <c r="I55" i="5"/>
  <c r="I64" i="5"/>
  <c r="I56" i="5"/>
  <c r="B9" i="7"/>
  <c r="I65" i="5"/>
  <c r="I57" i="5"/>
  <c r="I53" i="5"/>
  <c r="K194" i="7"/>
  <c r="I60" i="5"/>
  <c r="I49" i="5"/>
  <c r="S26" i="5"/>
  <c r="V10" i="5"/>
  <c r="B8" i="7"/>
  <c r="I66" i="5"/>
  <c r="V15" i="5"/>
  <c r="I58" i="5"/>
  <c r="I50" i="5"/>
  <c r="I43" i="5"/>
  <c r="I42" i="5"/>
  <c r="I41" i="5"/>
  <c r="I40" i="5"/>
  <c r="I39" i="5"/>
  <c r="I38" i="5"/>
  <c r="I37" i="5"/>
  <c r="S25" i="5"/>
  <c r="V12" i="5"/>
  <c r="V11" i="5"/>
  <c r="I48" i="5"/>
  <c r="B34" i="2"/>
  <c r="I61" i="5"/>
  <c r="I59" i="5"/>
  <c r="I47" i="5"/>
  <c r="I45" i="5"/>
  <c r="I62" i="5"/>
  <c r="D53" i="7"/>
  <c r="I44" i="5"/>
  <c r="I51" i="5"/>
  <c r="I46" i="5"/>
  <c r="V8" i="5"/>
  <c r="I54" i="5"/>
  <c r="I52" i="5"/>
  <c r="V9" i="5"/>
  <c r="B22" i="12"/>
  <c r="D22" i="12" s="1"/>
  <c r="Q21" i="5"/>
  <c r="K14" i="14"/>
  <c r="F24" i="6"/>
  <c r="AE14" i="3"/>
  <c r="AL14" i="3"/>
  <c r="E46" i="5"/>
  <c r="AB14" i="3"/>
  <c r="S14" i="3"/>
  <c r="K96" i="8"/>
  <c r="K100" i="8" s="1"/>
  <c r="AB25" i="8"/>
  <c r="K97" i="8" s="1"/>
  <c r="L32" i="14"/>
  <c r="AG42" i="6"/>
  <c r="AP32" i="3"/>
  <c r="AM32" i="3"/>
  <c r="M32" i="14" s="1"/>
  <c r="K25" i="14"/>
  <c r="F35" i="6"/>
  <c r="E57" i="5"/>
  <c r="AL25" i="3"/>
  <c r="AB25" i="3"/>
  <c r="AE25" i="3"/>
  <c r="S25" i="3"/>
  <c r="L8" i="14"/>
  <c r="AG18" i="6"/>
  <c r="AP8" i="3"/>
  <c r="AM8" i="3"/>
  <c r="M8" i="14" s="1"/>
  <c r="K35" i="11"/>
  <c r="H35" i="11"/>
  <c r="V35" i="11"/>
  <c r="X35" i="11" s="1"/>
  <c r="I35" i="11"/>
  <c r="L11" i="14"/>
  <c r="AG21" i="6"/>
  <c r="AP11" i="3"/>
  <c r="AM11" i="3"/>
  <c r="M11" i="14" s="1"/>
  <c r="AA23" i="3"/>
  <c r="L31" i="14"/>
  <c r="AG41" i="6"/>
  <c r="AP31" i="3"/>
  <c r="AM31" i="3"/>
  <c r="M31" i="14" s="1"/>
  <c r="K9" i="14"/>
  <c r="F19" i="6"/>
  <c r="E41" i="5"/>
  <c r="AL9" i="3"/>
  <c r="AE9" i="3"/>
  <c r="AB9" i="3"/>
  <c r="S9" i="3"/>
  <c r="L18" i="14"/>
  <c r="AP18" i="3"/>
  <c r="AG28" i="6"/>
  <c r="AM18" i="3"/>
  <c r="M18" i="14" s="1"/>
  <c r="L20" i="14"/>
  <c r="AG30" i="6"/>
  <c r="AP20" i="3"/>
  <c r="AM20" i="3"/>
  <c r="M20" i="14" s="1"/>
  <c r="E113" i="7"/>
  <c r="K24" i="14"/>
  <c r="F34" i="6"/>
  <c r="AE24" i="3"/>
  <c r="AB24" i="3"/>
  <c r="AL24" i="3"/>
  <c r="E56" i="5"/>
  <c r="S24" i="3"/>
  <c r="AP6" i="8"/>
  <c r="I67" i="8"/>
  <c r="L7" i="14"/>
  <c r="AG17" i="6"/>
  <c r="AP7" i="3"/>
  <c r="AM7" i="3"/>
  <c r="M7" i="14" s="1"/>
  <c r="I65" i="8"/>
  <c r="AP4" i="8"/>
  <c r="K13" i="16"/>
  <c r="C13" i="16"/>
  <c r="J13" i="16"/>
  <c r="B13" i="16"/>
  <c r="L13" i="16"/>
  <c r="D13" i="16"/>
  <c r="I13" i="16"/>
  <c r="H13" i="16"/>
  <c r="G13" i="16"/>
  <c r="M13" i="16"/>
  <c r="E13" i="16"/>
  <c r="F13" i="16"/>
  <c r="B42" i="18"/>
  <c r="H55" i="18"/>
  <c r="H59" i="18"/>
  <c r="H62" i="18" s="1"/>
  <c r="H58" i="18"/>
  <c r="F45" i="18"/>
  <c r="V11" i="23"/>
  <c r="K5" i="14"/>
  <c r="F15" i="6"/>
  <c r="AE5" i="3"/>
  <c r="E37" i="5"/>
  <c r="AL5" i="3"/>
  <c r="AB5" i="3"/>
  <c r="S5" i="3"/>
  <c r="V6" i="23"/>
  <c r="H18" i="6"/>
  <c r="AA12" i="3"/>
  <c r="F53" i="5"/>
  <c r="AC21" i="3"/>
  <c r="G31" i="6"/>
  <c r="H31" i="6" s="1"/>
  <c r="AF21" i="3"/>
  <c r="AN21" i="3"/>
  <c r="H43" i="6"/>
  <c r="G28" i="6"/>
  <c r="H28" i="6" s="1"/>
  <c r="F50" i="5"/>
  <c r="AF18" i="3"/>
  <c r="AC18" i="3"/>
  <c r="AN18" i="3"/>
  <c r="E116" i="7"/>
  <c r="H22" i="6"/>
  <c r="K30" i="14"/>
  <c r="E62" i="5"/>
  <c r="AE30" i="3"/>
  <c r="AL30" i="3"/>
  <c r="AB30" i="3"/>
  <c r="F40" i="6"/>
  <c r="S30" i="3"/>
  <c r="C33" i="1"/>
  <c r="C44" i="1" s="1"/>
  <c r="C16" i="1"/>
  <c r="C17" i="1" s="1"/>
  <c r="B18" i="1"/>
  <c r="F6" i="1"/>
  <c r="N39" i="11"/>
  <c r="AB9" i="8"/>
  <c r="AB11" i="8" s="1"/>
  <c r="H159" i="8" s="1"/>
  <c r="I159" i="8" s="1"/>
  <c r="K42" i="8"/>
  <c r="H17" i="6"/>
  <c r="Q11" i="23"/>
  <c r="L85" i="5"/>
  <c r="E85" i="5"/>
  <c r="G85" i="5"/>
  <c r="Q22" i="5"/>
  <c r="G8" i="12" s="1"/>
  <c r="B19" i="12" s="1"/>
  <c r="D19" i="12" s="1"/>
  <c r="L21" i="14"/>
  <c r="AG31" i="6"/>
  <c r="AP21" i="3"/>
  <c r="AM21" i="3"/>
  <c r="M21" i="14" s="1"/>
  <c r="L26" i="14"/>
  <c r="AG36" i="6"/>
  <c r="AP26" i="3"/>
  <c r="AM26" i="3"/>
  <c r="M26" i="14" s="1"/>
  <c r="L19" i="14"/>
  <c r="AG29" i="6"/>
  <c r="AP19" i="3"/>
  <c r="AM19" i="3"/>
  <c r="M19" i="14" s="1"/>
  <c r="E117" i="7"/>
  <c r="AC14" i="11"/>
  <c r="AD14" i="11" s="1"/>
  <c r="AE14" i="11"/>
  <c r="AB14" i="11"/>
  <c r="K27" i="14"/>
  <c r="E59" i="5"/>
  <c r="AB27" i="3"/>
  <c r="AE27" i="3"/>
  <c r="F37" i="6"/>
  <c r="AL27" i="3"/>
  <c r="S27" i="3"/>
  <c r="L17" i="14"/>
  <c r="AP17" i="3"/>
  <c r="AG27" i="6"/>
  <c r="AM17" i="3"/>
  <c r="M17" i="14" s="1"/>
  <c r="G27" i="6"/>
  <c r="H27" i="6" s="1"/>
  <c r="F49" i="5"/>
  <c r="AF17" i="3"/>
  <c r="AN17" i="3"/>
  <c r="AC17" i="3"/>
  <c r="AC17" i="11"/>
  <c r="AD17" i="11" s="1"/>
  <c r="AB17" i="11"/>
  <c r="AE17" i="11"/>
  <c r="I64" i="8"/>
  <c r="L67" i="8" s="1"/>
  <c r="AP3" i="8"/>
  <c r="H83" i="18"/>
  <c r="B44" i="1"/>
  <c r="AC18" i="11"/>
  <c r="AD18" i="11" s="1"/>
  <c r="AE18" i="11"/>
  <c r="AB18" i="11"/>
  <c r="AN15" i="3"/>
  <c r="AF15" i="3"/>
  <c r="G25" i="6"/>
  <c r="H25" i="6" s="1"/>
  <c r="F47" i="5"/>
  <c r="AC15" i="3"/>
  <c r="V5" i="23"/>
  <c r="H42" i="6"/>
  <c r="K16" i="14"/>
  <c r="E48" i="5"/>
  <c r="F26" i="6"/>
  <c r="AB16" i="3"/>
  <c r="AL16" i="3"/>
  <c r="AE16" i="3"/>
  <c r="S16" i="3"/>
  <c r="F86" i="5"/>
  <c r="M86" i="5"/>
  <c r="C87" i="5"/>
  <c r="AN11" i="3"/>
  <c r="G21" i="6"/>
  <c r="H21" i="6" s="1"/>
  <c r="F43" i="5"/>
  <c r="AC11" i="3"/>
  <c r="AF11" i="3"/>
  <c r="H41" i="6"/>
  <c r="E118" i="7"/>
  <c r="L12" i="14"/>
  <c r="AP12" i="3"/>
  <c r="AG22" i="6"/>
  <c r="AM12" i="3"/>
  <c r="M12" i="14" s="1"/>
  <c r="AA20" i="3"/>
  <c r="O39" i="11"/>
  <c r="Q39" i="11" s="1"/>
  <c r="S39" i="11" s="1"/>
  <c r="R39" i="11"/>
  <c r="M39" i="11"/>
  <c r="AP7" i="8"/>
  <c r="I68" i="8"/>
  <c r="H88" i="18"/>
  <c r="B60" i="9"/>
  <c r="D279" i="8"/>
  <c r="E279" i="8" s="1"/>
  <c r="K98" i="8"/>
  <c r="G36" i="6"/>
  <c r="H36" i="6" s="1"/>
  <c r="AF26" i="3"/>
  <c r="AN26" i="3"/>
  <c r="AC26" i="3"/>
  <c r="F58" i="5"/>
  <c r="G29" i="6"/>
  <c r="H29" i="6" s="1"/>
  <c r="F51" i="5"/>
  <c r="AC19" i="3"/>
  <c r="AN19" i="3"/>
  <c r="AF19" i="3"/>
  <c r="M34" i="11"/>
  <c r="N34" i="11" s="1"/>
  <c r="O34" i="11" s="1"/>
  <c r="Q34" i="11" s="1"/>
  <c r="V7" i="23"/>
  <c r="K43" i="8"/>
  <c r="G23" i="6"/>
  <c r="H23" i="6" s="1"/>
  <c r="AC13" i="3"/>
  <c r="F45" i="5"/>
  <c r="AF13" i="3"/>
  <c r="AN13" i="3"/>
  <c r="V8" i="23"/>
  <c r="V9" i="23"/>
  <c r="Q20" i="5"/>
  <c r="C90" i="7" l="1"/>
  <c r="J27" i="6"/>
  <c r="K127" i="7"/>
  <c r="M127" i="7" s="1"/>
  <c r="I27" i="6"/>
  <c r="S34" i="11"/>
  <c r="R34" i="11"/>
  <c r="C94" i="7"/>
  <c r="J31" i="6"/>
  <c r="K131" i="7"/>
  <c r="M131" i="7" s="1"/>
  <c r="I31" i="6"/>
  <c r="V121" i="7"/>
  <c r="C86" i="7"/>
  <c r="E86" i="7" s="1"/>
  <c r="F86" i="7" s="1"/>
  <c r="J23" i="6"/>
  <c r="I23" i="6"/>
  <c r="C92" i="7"/>
  <c r="E92" i="7" s="1"/>
  <c r="F92" i="7" s="1"/>
  <c r="J29" i="6"/>
  <c r="K129" i="7"/>
  <c r="M129" i="7" s="1"/>
  <c r="I29" i="6"/>
  <c r="C91" i="7"/>
  <c r="J28" i="6"/>
  <c r="K128" i="7"/>
  <c r="M128" i="7" s="1"/>
  <c r="I28" i="6"/>
  <c r="C107" i="7"/>
  <c r="E107" i="7" s="1"/>
  <c r="F107" i="7" s="1"/>
  <c r="J44" i="6"/>
  <c r="I44" i="6"/>
  <c r="J38" i="6"/>
  <c r="C101" i="7"/>
  <c r="I38" i="6"/>
  <c r="C99" i="7"/>
  <c r="E99" i="7" s="1"/>
  <c r="F99" i="7" s="1"/>
  <c r="J36" i="6"/>
  <c r="I36" i="6"/>
  <c r="C84" i="7"/>
  <c r="V119" i="7"/>
  <c r="J21" i="6"/>
  <c r="I21" i="6"/>
  <c r="C88" i="7"/>
  <c r="E88" i="7" s="1"/>
  <c r="F88" i="7" s="1"/>
  <c r="V123" i="7"/>
  <c r="J25" i="6"/>
  <c r="I25" i="6"/>
  <c r="S31" i="11"/>
  <c r="R31" i="11"/>
  <c r="M51" i="5"/>
  <c r="L51" i="5"/>
  <c r="K51" i="5"/>
  <c r="J51" i="5"/>
  <c r="Z51" i="5"/>
  <c r="Y51" i="5"/>
  <c r="N51" i="5"/>
  <c r="M61" i="5"/>
  <c r="Z61" i="5"/>
  <c r="Y61" i="5"/>
  <c r="L61" i="5"/>
  <c r="K61" i="5"/>
  <c r="J61" i="5"/>
  <c r="L50" i="5"/>
  <c r="K50" i="5"/>
  <c r="Z50" i="5"/>
  <c r="J50" i="5"/>
  <c r="Y50" i="5"/>
  <c r="M50" i="5"/>
  <c r="N50" i="5"/>
  <c r="N60" i="5"/>
  <c r="M60" i="5"/>
  <c r="L60" i="5"/>
  <c r="J60" i="5"/>
  <c r="Z60" i="5"/>
  <c r="Y60" i="5"/>
  <c r="K60" i="5"/>
  <c r="G86" i="5"/>
  <c r="E86" i="5"/>
  <c r="L86" i="5"/>
  <c r="G97" i="8"/>
  <c r="H97" i="8" s="1"/>
  <c r="AY5" i="8" s="1"/>
  <c r="H157" i="8"/>
  <c r="I157" i="8" s="1"/>
  <c r="B47" i="1"/>
  <c r="G35" i="1" s="1"/>
  <c r="G31" i="1"/>
  <c r="H158" i="8"/>
  <c r="I158" i="8" s="1"/>
  <c r="S47" i="5"/>
  <c r="L24" i="14"/>
  <c r="AG34" i="6"/>
  <c r="AP24" i="3"/>
  <c r="AM24" i="3"/>
  <c r="M24" i="14" s="1"/>
  <c r="N20" i="14"/>
  <c r="AI30" i="6"/>
  <c r="AM30" i="6" s="1"/>
  <c r="G19" i="6"/>
  <c r="AF9" i="3"/>
  <c r="AC9" i="3"/>
  <c r="F41" i="5"/>
  <c r="AN9" i="3"/>
  <c r="N52" i="5"/>
  <c r="M52" i="5"/>
  <c r="L52" i="5"/>
  <c r="Z52" i="5"/>
  <c r="J52" i="5"/>
  <c r="Y52" i="5"/>
  <c r="K52" i="5"/>
  <c r="L40" i="5"/>
  <c r="K40" i="5"/>
  <c r="Z40" i="5"/>
  <c r="J40" i="5"/>
  <c r="Y40" i="5"/>
  <c r="M40" i="5"/>
  <c r="N40" i="5"/>
  <c r="K65" i="5"/>
  <c r="J65" i="5"/>
  <c r="Z65" i="5"/>
  <c r="Y65" i="5"/>
  <c r="N65" i="5"/>
  <c r="L65" i="5"/>
  <c r="M65" i="5"/>
  <c r="G13" i="12"/>
  <c r="D24" i="12"/>
  <c r="F177" i="7"/>
  <c r="AH41" i="6"/>
  <c r="AL41" i="6" s="1"/>
  <c r="AO31" i="3"/>
  <c r="AH17" i="6"/>
  <c r="AO7" i="3"/>
  <c r="B289" i="8"/>
  <c r="E288" i="8"/>
  <c r="AV24" i="8"/>
  <c r="L10" i="14"/>
  <c r="AG20" i="6"/>
  <c r="AP10" i="3"/>
  <c r="AM10" i="3"/>
  <c r="M10" i="14" s="1"/>
  <c r="N13" i="14"/>
  <c r="AI23" i="6"/>
  <c r="AM23" i="6" s="1"/>
  <c r="D62" i="6"/>
  <c r="D58" i="6"/>
  <c r="D61" i="6"/>
  <c r="G84" i="5"/>
  <c r="C104" i="7"/>
  <c r="E104" i="7" s="1"/>
  <c r="F104" i="7" s="1"/>
  <c r="J41" i="6"/>
  <c r="I41" i="6"/>
  <c r="N19" i="14"/>
  <c r="AI29" i="6"/>
  <c r="AM29" i="6" s="1"/>
  <c r="N34" i="14"/>
  <c r="AI44" i="6"/>
  <c r="AM44" i="6" s="1"/>
  <c r="G99" i="8"/>
  <c r="H99" i="8" s="1"/>
  <c r="AY7" i="8" s="1"/>
  <c r="AH29" i="6"/>
  <c r="AO19" i="3"/>
  <c r="H160" i="8"/>
  <c r="I160" i="8" s="1"/>
  <c r="L16" i="14"/>
  <c r="AP16" i="3"/>
  <c r="AG26" i="6"/>
  <c r="AM16" i="3"/>
  <c r="M16" i="14" s="1"/>
  <c r="AH27" i="6"/>
  <c r="AL27" i="6" s="1"/>
  <c r="AO17" i="3"/>
  <c r="V115" i="7"/>
  <c r="C80" i="7"/>
  <c r="J17" i="6"/>
  <c r="I17" i="6"/>
  <c r="D25" i="18"/>
  <c r="B43" i="18"/>
  <c r="B45" i="18" s="1"/>
  <c r="B44" i="18"/>
  <c r="M30" i="18"/>
  <c r="N7" i="14"/>
  <c r="AI17" i="6"/>
  <c r="AM17" i="6" s="1"/>
  <c r="G34" i="6"/>
  <c r="AN24" i="3"/>
  <c r="AF24" i="3"/>
  <c r="AC24" i="3"/>
  <c r="F56" i="5"/>
  <c r="N31" i="14"/>
  <c r="AI41" i="6"/>
  <c r="AM41" i="6" s="1"/>
  <c r="M35" i="11"/>
  <c r="N32" i="14"/>
  <c r="AI42" i="6"/>
  <c r="AM42" i="6" s="1"/>
  <c r="L14" i="14"/>
  <c r="AG24" i="6"/>
  <c r="AP14" i="3"/>
  <c r="AM14" i="3"/>
  <c r="M14" i="14" s="1"/>
  <c r="Y54" i="5"/>
  <c r="M54" i="5"/>
  <c r="L54" i="5"/>
  <c r="K54" i="5"/>
  <c r="J54" i="5"/>
  <c r="Z54" i="5"/>
  <c r="N45" i="5"/>
  <c r="M45" i="5"/>
  <c r="L45" i="5"/>
  <c r="K45" i="5"/>
  <c r="J45" i="5"/>
  <c r="Z45" i="5"/>
  <c r="Y45" i="5"/>
  <c r="L41" i="5"/>
  <c r="K41" i="5"/>
  <c r="Z41" i="5"/>
  <c r="J41" i="5"/>
  <c r="Y41" i="5"/>
  <c r="M41" i="5"/>
  <c r="N41" i="5"/>
  <c r="E14" i="7"/>
  <c r="C27" i="7"/>
  <c r="AL44" i="6"/>
  <c r="H33" i="6"/>
  <c r="AH44" i="6"/>
  <c r="AO34" i="3"/>
  <c r="AH38" i="6"/>
  <c r="AO28" i="3"/>
  <c r="AN6" i="3"/>
  <c r="AF6" i="3"/>
  <c r="G16" i="6"/>
  <c r="AC6" i="3"/>
  <c r="F38" i="5"/>
  <c r="N38" i="5" s="1"/>
  <c r="AL23" i="6"/>
  <c r="R37" i="11"/>
  <c r="C105" i="7"/>
  <c r="E105" i="7" s="1"/>
  <c r="F105" i="7" s="1"/>
  <c r="J42" i="6"/>
  <c r="I42" i="6"/>
  <c r="N21" i="14"/>
  <c r="AI31" i="6"/>
  <c r="AM31" i="6" s="1"/>
  <c r="AH23" i="6"/>
  <c r="AO13" i="3"/>
  <c r="N12" i="14"/>
  <c r="AI22" i="6"/>
  <c r="AM22" i="6" s="1"/>
  <c r="F48" i="5"/>
  <c r="AN16" i="3"/>
  <c r="AF16" i="3"/>
  <c r="AC16" i="3"/>
  <c r="G26" i="6"/>
  <c r="L27" i="14"/>
  <c r="AG37" i="6"/>
  <c r="AP27" i="3"/>
  <c r="AM27" i="3"/>
  <c r="M27" i="14" s="1"/>
  <c r="N26" i="14"/>
  <c r="AI36" i="6"/>
  <c r="AM36" i="6" s="1"/>
  <c r="F7" i="1"/>
  <c r="C19" i="1"/>
  <c r="F8" i="1" s="1"/>
  <c r="C18" i="1"/>
  <c r="AL17" i="6"/>
  <c r="L9" i="14"/>
  <c r="AG19" i="6"/>
  <c r="AP9" i="3"/>
  <c r="AM9" i="3"/>
  <c r="M9" i="14" s="1"/>
  <c r="N47" i="5"/>
  <c r="M47" i="5"/>
  <c r="L47" i="5"/>
  <c r="K47" i="5"/>
  <c r="Y47" i="5"/>
  <c r="J47" i="5"/>
  <c r="Z47" i="5"/>
  <c r="L42" i="5"/>
  <c r="K42" i="5"/>
  <c r="Z42" i="5"/>
  <c r="J42" i="5"/>
  <c r="Y42" i="5"/>
  <c r="M42" i="5"/>
  <c r="J56" i="5"/>
  <c r="Z56" i="5"/>
  <c r="N56" i="5"/>
  <c r="M56" i="5"/>
  <c r="L56" i="5"/>
  <c r="Y56" i="5"/>
  <c r="K56" i="5"/>
  <c r="M11" i="7"/>
  <c r="M9" i="7"/>
  <c r="C18" i="15"/>
  <c r="L6" i="14"/>
  <c r="AG16" i="6"/>
  <c r="AP6" i="3"/>
  <c r="AM6" i="3"/>
  <c r="M6" i="14" s="1"/>
  <c r="J30" i="6"/>
  <c r="C93" i="7"/>
  <c r="E93" i="7" s="1"/>
  <c r="F93" i="7" s="1"/>
  <c r="K130" i="7"/>
  <c r="M130" i="7" s="1"/>
  <c r="I30" i="6"/>
  <c r="AH43" i="6"/>
  <c r="AO33" i="3"/>
  <c r="G32" i="6"/>
  <c r="F54" i="5"/>
  <c r="N54" i="5" s="1"/>
  <c r="AN22" i="3"/>
  <c r="AF22" i="3"/>
  <c r="AC22" i="3"/>
  <c r="B25" i="10"/>
  <c r="B61" i="9"/>
  <c r="C311" i="8"/>
  <c r="C307" i="8"/>
  <c r="C293" i="8"/>
  <c r="D271" i="8"/>
  <c r="H271" i="8" s="1"/>
  <c r="D270" i="8"/>
  <c r="H270" i="8" s="1"/>
  <c r="D269" i="8"/>
  <c r="H269" i="8" s="1"/>
  <c r="D268" i="8"/>
  <c r="H268" i="8" s="1"/>
  <c r="D267" i="8"/>
  <c r="H267" i="8" s="1"/>
  <c r="D249" i="8"/>
  <c r="G249" i="8" s="1"/>
  <c r="C309" i="8"/>
  <c r="D250" i="8"/>
  <c r="G250" i="8" s="1"/>
  <c r="E248" i="8"/>
  <c r="G235" i="8"/>
  <c r="I235" i="8" s="1"/>
  <c r="B127" i="8"/>
  <c r="H107" i="8"/>
  <c r="C305" i="8"/>
  <c r="C297" i="8"/>
  <c r="E250" i="8"/>
  <c r="D248" i="8"/>
  <c r="G248" i="8" s="1"/>
  <c r="C135" i="8"/>
  <c r="D108" i="8"/>
  <c r="E108" i="8" s="1"/>
  <c r="AY29" i="8" s="1"/>
  <c r="AV8" i="8"/>
  <c r="C288" i="8"/>
  <c r="D288" i="8" s="1"/>
  <c r="F288" i="8" s="1"/>
  <c r="C287" i="8"/>
  <c r="D287" i="8" s="1"/>
  <c r="F287" i="8" s="1"/>
  <c r="C250" i="8"/>
  <c r="C248" i="8"/>
  <c r="C136" i="8"/>
  <c r="G126" i="8"/>
  <c r="D109" i="8"/>
  <c r="E109" i="8" s="1"/>
  <c r="AY30" i="8" s="1"/>
  <c r="C298" i="8"/>
  <c r="C294" i="8"/>
  <c r="C312" i="8"/>
  <c r="C310" i="8"/>
  <c r="C308" i="8"/>
  <c r="C306" i="8"/>
  <c r="C304" i="8"/>
  <c r="C295" i="8"/>
  <c r="C290" i="8"/>
  <c r="E249" i="8"/>
  <c r="E247" i="8"/>
  <c r="C291" i="8"/>
  <c r="C289" i="8"/>
  <c r="B125" i="8"/>
  <c r="H109" i="8"/>
  <c r="C296" i="8"/>
  <c r="D247" i="8"/>
  <c r="G247" i="8" s="1"/>
  <c r="C137" i="8"/>
  <c r="B129" i="8"/>
  <c r="G109" i="8"/>
  <c r="AB20" i="8"/>
  <c r="AB21" i="8" s="1"/>
  <c r="AV4" i="8"/>
  <c r="C247" i="8"/>
  <c r="G233" i="8"/>
  <c r="I233" i="8" s="1"/>
  <c r="G128" i="8"/>
  <c r="F109" i="8"/>
  <c r="G107" i="8"/>
  <c r="F107" i="8"/>
  <c r="M57" i="8"/>
  <c r="C249" i="8"/>
  <c r="G236" i="8"/>
  <c r="I236" i="8" s="1"/>
  <c r="C138" i="8"/>
  <c r="F10" i="8"/>
  <c r="AV7" i="8"/>
  <c r="D107" i="8"/>
  <c r="E107" i="8" s="1"/>
  <c r="AY28" i="8" s="1"/>
  <c r="AV3" i="8"/>
  <c r="G240" i="8"/>
  <c r="I240" i="8" s="1"/>
  <c r="K137" i="8"/>
  <c r="AV9" i="8"/>
  <c r="AV5" i="8"/>
  <c r="G129" i="8"/>
  <c r="B126" i="8"/>
  <c r="G125" i="8"/>
  <c r="AV6" i="8"/>
  <c r="C292" i="8"/>
  <c r="B128" i="8"/>
  <c r="G127" i="8"/>
  <c r="F108" i="8"/>
  <c r="H108" i="8"/>
  <c r="G108" i="8"/>
  <c r="I8" i="8"/>
  <c r="G239" i="8"/>
  <c r="I239" i="8" s="1"/>
  <c r="G237" i="8"/>
  <c r="I237" i="8" s="1"/>
  <c r="G241" i="8"/>
  <c r="I241" i="8" s="1"/>
  <c r="G238" i="8"/>
  <c r="I238" i="8" s="1"/>
  <c r="G232" i="8"/>
  <c r="I232" i="8" s="1"/>
  <c r="G234" i="8"/>
  <c r="I234" i="8" s="1"/>
  <c r="AB12" i="8"/>
  <c r="H224" i="8"/>
  <c r="AB18" i="8"/>
  <c r="H221" i="8"/>
  <c r="G95" i="8"/>
  <c r="H95" i="8" s="1"/>
  <c r="AY3" i="8" s="1"/>
  <c r="H223" i="8"/>
  <c r="H226" i="8"/>
  <c r="G101" i="8"/>
  <c r="H101" i="8" s="1"/>
  <c r="AY9" i="8" s="1"/>
  <c r="H225" i="8"/>
  <c r="H222" i="8"/>
  <c r="H24" i="6"/>
  <c r="M59" i="5"/>
  <c r="L59" i="5"/>
  <c r="Z59" i="5"/>
  <c r="Y59" i="5"/>
  <c r="K59" i="5"/>
  <c r="J59" i="5"/>
  <c r="L43" i="5"/>
  <c r="K43" i="5"/>
  <c r="J43" i="5"/>
  <c r="Z43" i="5"/>
  <c r="M43" i="5"/>
  <c r="N43" i="5"/>
  <c r="Y43" i="5"/>
  <c r="J64" i="5"/>
  <c r="Z64" i="5"/>
  <c r="Y64" i="5"/>
  <c r="K64" i="5"/>
  <c r="L64" i="5"/>
  <c r="N64" i="5"/>
  <c r="M64" i="5"/>
  <c r="AH25" i="6"/>
  <c r="AO15" i="3"/>
  <c r="M33" i="11"/>
  <c r="N15" i="14"/>
  <c r="AI25" i="6"/>
  <c r="AM25" i="6" s="1"/>
  <c r="L22" i="14"/>
  <c r="AG32" i="6"/>
  <c r="AP22" i="3"/>
  <c r="AM22" i="3"/>
  <c r="M22" i="14" s="1"/>
  <c r="AH22" i="6"/>
  <c r="AL22" i="6" s="1"/>
  <c r="AO12" i="3"/>
  <c r="AH30" i="6"/>
  <c r="AL30" i="6" s="1"/>
  <c r="AO20" i="3"/>
  <c r="AH21" i="6"/>
  <c r="AO11" i="3"/>
  <c r="H26" i="6"/>
  <c r="H37" i="6"/>
  <c r="C47" i="1"/>
  <c r="G36" i="1" s="1"/>
  <c r="G32" i="1"/>
  <c r="G37" i="1"/>
  <c r="C85" i="7"/>
  <c r="E85" i="7" s="1"/>
  <c r="F85" i="7" s="1"/>
  <c r="V120" i="7"/>
  <c r="J22" i="6"/>
  <c r="I22" i="6"/>
  <c r="V116" i="7"/>
  <c r="C81" i="7"/>
  <c r="E81" i="7" s="1"/>
  <c r="F81" i="7" s="1"/>
  <c r="J18" i="6"/>
  <c r="I18" i="6"/>
  <c r="H34" i="6"/>
  <c r="F57" i="5"/>
  <c r="AN25" i="3"/>
  <c r="AF25" i="3"/>
  <c r="G35" i="6"/>
  <c r="AC25" i="3"/>
  <c r="M46" i="5"/>
  <c r="L46" i="5"/>
  <c r="K46" i="5"/>
  <c r="Z46" i="5"/>
  <c r="Y46" i="5"/>
  <c r="J46" i="5"/>
  <c r="J49" i="5"/>
  <c r="Z49" i="5"/>
  <c r="Y49" i="5"/>
  <c r="L49" i="5"/>
  <c r="K49" i="5"/>
  <c r="N49" i="5"/>
  <c r="M49" i="5"/>
  <c r="AH42" i="6"/>
  <c r="AL42" i="6" s="1"/>
  <c r="AO32" i="3"/>
  <c r="G39" i="6"/>
  <c r="AC29" i="3"/>
  <c r="AF29" i="3"/>
  <c r="F61" i="5"/>
  <c r="N61" i="5" s="1"/>
  <c r="AN29" i="3"/>
  <c r="M36" i="11"/>
  <c r="N36" i="11" s="1"/>
  <c r="O36" i="11" s="1"/>
  <c r="Q36" i="11" s="1"/>
  <c r="G37" i="6"/>
  <c r="AC27" i="3"/>
  <c r="AN27" i="3"/>
  <c r="F59" i="5"/>
  <c r="N59" i="5" s="1"/>
  <c r="AF27" i="3"/>
  <c r="H40" i="6"/>
  <c r="AH31" i="6"/>
  <c r="AO21" i="3"/>
  <c r="N18" i="14"/>
  <c r="AI28" i="6"/>
  <c r="AM28" i="6" s="1"/>
  <c r="B41" i="17"/>
  <c r="B36" i="13"/>
  <c r="E36" i="13" s="1"/>
  <c r="O9" i="17"/>
  <c r="G9" i="12"/>
  <c r="B30" i="17"/>
  <c r="D30" i="17" s="1"/>
  <c r="C195" i="7"/>
  <c r="D195" i="7" s="1"/>
  <c r="C30" i="7"/>
  <c r="D10" i="6"/>
  <c r="B11" i="7"/>
  <c r="M44" i="5"/>
  <c r="L44" i="5"/>
  <c r="K44" i="5"/>
  <c r="J44" i="5"/>
  <c r="Z44" i="5"/>
  <c r="Y44" i="5"/>
  <c r="N44" i="5"/>
  <c r="G7" i="12"/>
  <c r="B35" i="2"/>
  <c r="G10" i="12" s="1"/>
  <c r="I67" i="5"/>
  <c r="L37" i="5"/>
  <c r="K37" i="5"/>
  <c r="Z37" i="5"/>
  <c r="J37" i="5"/>
  <c r="V7" i="5"/>
  <c r="Y37" i="5"/>
  <c r="V16" i="5"/>
  <c r="V6" i="5"/>
  <c r="V17" i="5"/>
  <c r="M37" i="5"/>
  <c r="V14" i="5"/>
  <c r="V13" i="5"/>
  <c r="L58" i="5"/>
  <c r="K58" i="5"/>
  <c r="N58" i="5"/>
  <c r="M58" i="5"/>
  <c r="J58" i="5"/>
  <c r="Z58" i="5"/>
  <c r="Y58" i="5"/>
  <c r="Z55" i="5"/>
  <c r="Y55" i="5"/>
  <c r="J55" i="5"/>
  <c r="N55" i="5"/>
  <c r="M55" i="5"/>
  <c r="L55" i="5"/>
  <c r="K55" i="5"/>
  <c r="E119" i="7"/>
  <c r="N28" i="14"/>
  <c r="AI38" i="6"/>
  <c r="AM38" i="6" s="1"/>
  <c r="AH18" i="6"/>
  <c r="AL18" i="6" s="1"/>
  <c r="AO8" i="3"/>
  <c r="F55" i="5"/>
  <c r="AN23" i="3"/>
  <c r="AF23" i="3"/>
  <c r="AC23" i="3"/>
  <c r="G33" i="6"/>
  <c r="L29" i="14"/>
  <c r="AG39" i="6"/>
  <c r="AP29" i="3"/>
  <c r="AM29" i="3"/>
  <c r="M29" i="14" s="1"/>
  <c r="N33" i="11"/>
  <c r="O33" i="11" s="1"/>
  <c r="Q33" i="11" s="1"/>
  <c r="G100" i="8"/>
  <c r="H100" i="8" s="1"/>
  <c r="AY8" i="8" s="1"/>
  <c r="H16" i="6"/>
  <c r="AL25" i="6"/>
  <c r="N11" i="14"/>
  <c r="AI21" i="6"/>
  <c r="AM21" i="6" s="1"/>
  <c r="N8" i="14"/>
  <c r="AI18" i="6"/>
  <c r="AM18" i="6" s="1"/>
  <c r="H35" i="6"/>
  <c r="L38" i="5"/>
  <c r="K38" i="5"/>
  <c r="Z38" i="5"/>
  <c r="J38" i="5"/>
  <c r="Y38" i="5"/>
  <c r="M38" i="5"/>
  <c r="Z53" i="5"/>
  <c r="Y53" i="5"/>
  <c r="N53" i="5"/>
  <c r="M53" i="5"/>
  <c r="L53" i="5"/>
  <c r="K53" i="5"/>
  <c r="J53" i="5"/>
  <c r="Z63" i="5"/>
  <c r="Y63" i="5"/>
  <c r="L63" i="5"/>
  <c r="K63" i="5"/>
  <c r="J63" i="5"/>
  <c r="M63" i="5"/>
  <c r="N63" i="5"/>
  <c r="AL38" i="6"/>
  <c r="L23" i="14"/>
  <c r="AG33" i="6"/>
  <c r="AP23" i="3"/>
  <c r="AM23" i="3"/>
  <c r="M23" i="14" s="1"/>
  <c r="E115" i="7"/>
  <c r="M32" i="11"/>
  <c r="N32" i="11" s="1"/>
  <c r="O32" i="11" s="1"/>
  <c r="Q32" i="11" s="1"/>
  <c r="N33" i="14"/>
  <c r="AI43" i="6"/>
  <c r="AM43" i="6" s="1"/>
  <c r="M38" i="11"/>
  <c r="N38" i="11" s="1"/>
  <c r="O38" i="11" s="1"/>
  <c r="Q38" i="11" s="1"/>
  <c r="H32" i="6"/>
  <c r="F87" i="5"/>
  <c r="C88" i="5"/>
  <c r="M87" i="5"/>
  <c r="C106" i="7"/>
  <c r="E106" i="7" s="1"/>
  <c r="F106" i="7" s="1"/>
  <c r="J43" i="6"/>
  <c r="I43" i="6"/>
  <c r="H19" i="6"/>
  <c r="N35" i="11"/>
  <c r="O35" i="11" s="1"/>
  <c r="Q35" i="11" s="1"/>
  <c r="L25" i="14"/>
  <c r="AP25" i="3"/>
  <c r="AG35" i="6"/>
  <c r="AM25" i="3"/>
  <c r="M25" i="14" s="1"/>
  <c r="G40" i="6"/>
  <c r="F62" i="5"/>
  <c r="N62" i="5" s="1"/>
  <c r="AN30" i="3"/>
  <c r="AF30" i="3"/>
  <c r="AC30" i="3"/>
  <c r="G15" i="6"/>
  <c r="H15" i="6" s="1"/>
  <c r="AF5" i="3"/>
  <c r="AC5" i="3"/>
  <c r="F37" i="5"/>
  <c r="N37" i="5" s="1"/>
  <c r="AN5" i="3"/>
  <c r="AH36" i="6"/>
  <c r="AL36" i="6" s="1"/>
  <c r="AO26" i="3"/>
  <c r="N17" i="14"/>
  <c r="AI27" i="6"/>
  <c r="AM27" i="6" s="1"/>
  <c r="AL29" i="6"/>
  <c r="AL31" i="6"/>
  <c r="G96" i="8"/>
  <c r="H96" i="8" s="1"/>
  <c r="AY4" i="8" s="1"/>
  <c r="L30" i="14"/>
  <c r="AG40" i="6"/>
  <c r="AP30" i="3"/>
  <c r="AM30" i="3"/>
  <c r="M30" i="14" s="1"/>
  <c r="AH28" i="6"/>
  <c r="AL28" i="6" s="1"/>
  <c r="AO18" i="3"/>
  <c r="L5" i="14"/>
  <c r="AG15" i="6"/>
  <c r="AP5" i="3"/>
  <c r="AM5" i="3"/>
  <c r="AL21" i="6"/>
  <c r="G24" i="6"/>
  <c r="AN14" i="3"/>
  <c r="AF14" i="3"/>
  <c r="AC14" i="3"/>
  <c r="F46" i="5"/>
  <c r="N46" i="5" s="1"/>
  <c r="Y62" i="5"/>
  <c r="M62" i="5"/>
  <c r="L62" i="5"/>
  <c r="K62" i="5"/>
  <c r="J62" i="5"/>
  <c r="Z62" i="5"/>
  <c r="Y48" i="5"/>
  <c r="N48" i="5"/>
  <c r="M48" i="5"/>
  <c r="K48" i="5"/>
  <c r="J48" i="5"/>
  <c r="Z48" i="5"/>
  <c r="L48" i="5"/>
  <c r="L39" i="5"/>
  <c r="K39" i="5"/>
  <c r="Z39" i="5"/>
  <c r="J39" i="5"/>
  <c r="Y39" i="5"/>
  <c r="M39" i="5"/>
  <c r="N39" i="5"/>
  <c r="L66" i="5"/>
  <c r="K66" i="5"/>
  <c r="J66" i="5"/>
  <c r="N66" i="5"/>
  <c r="M66" i="5"/>
  <c r="Y66" i="5"/>
  <c r="Z66" i="5"/>
  <c r="K57" i="5"/>
  <c r="J57" i="5"/>
  <c r="Z57" i="5"/>
  <c r="Y57" i="5"/>
  <c r="N57" i="5"/>
  <c r="M57" i="5"/>
  <c r="L57" i="5"/>
  <c r="H39" i="6"/>
  <c r="AL43" i="6"/>
  <c r="G98" i="8"/>
  <c r="H98" i="8" s="1"/>
  <c r="AY6" i="8" s="1"/>
  <c r="E114" i="7"/>
  <c r="G20" i="6"/>
  <c r="H20" i="6" s="1"/>
  <c r="AF10" i="3"/>
  <c r="F42" i="5"/>
  <c r="N42" i="5" s="1"/>
  <c r="AN10" i="3"/>
  <c r="AC10" i="3"/>
  <c r="M257" i="8"/>
  <c r="M260" i="8" s="1"/>
  <c r="M258" i="8"/>
  <c r="M259" i="8" s="1"/>
  <c r="B23" i="10"/>
  <c r="B27" i="10"/>
  <c r="F26" i="8" s="1"/>
  <c r="BA288" i="8" l="1"/>
  <c r="AZ288" i="8"/>
  <c r="B47" i="18"/>
  <c r="B46" i="18"/>
  <c r="B48" i="18" s="1"/>
  <c r="S32" i="11"/>
  <c r="R32" i="11"/>
  <c r="N67" i="5"/>
  <c r="Q32" i="5"/>
  <c r="V118" i="7"/>
  <c r="C83" i="7"/>
  <c r="E83" i="7" s="1"/>
  <c r="F83" i="7" s="1"/>
  <c r="J20" i="6"/>
  <c r="I20" i="6"/>
  <c r="S36" i="11"/>
  <c r="R36" i="11"/>
  <c r="V113" i="7"/>
  <c r="C78" i="7"/>
  <c r="E78" i="7" s="1"/>
  <c r="F78" i="7" s="1"/>
  <c r="J15" i="6"/>
  <c r="I15" i="6"/>
  <c r="S33" i="11"/>
  <c r="R33" i="11"/>
  <c r="S35" i="11"/>
  <c r="R35" i="11"/>
  <c r="S38" i="11"/>
  <c r="R38" i="11"/>
  <c r="E87" i="5"/>
  <c r="L87" i="5"/>
  <c r="G87" i="5"/>
  <c r="N29" i="14"/>
  <c r="AI39" i="6"/>
  <c r="AM39" i="6" s="1"/>
  <c r="L67" i="5"/>
  <c r="Q26" i="5"/>
  <c r="AT14" i="8"/>
  <c r="C126" i="8"/>
  <c r="E137" i="8"/>
  <c r="D137" i="8"/>
  <c r="F137" i="8"/>
  <c r="H137" i="8" s="1"/>
  <c r="G137" i="8"/>
  <c r="D26" i="7"/>
  <c r="M12" i="7"/>
  <c r="E80" i="7"/>
  <c r="F80" i="7" s="1"/>
  <c r="F178" i="7"/>
  <c r="AH19" i="6"/>
  <c r="AO9" i="3"/>
  <c r="N24" i="14"/>
  <c r="AI34" i="6"/>
  <c r="AM34" i="6" s="1"/>
  <c r="E91" i="7"/>
  <c r="F91" i="7" s="1"/>
  <c r="E94" i="7"/>
  <c r="F94" i="7" s="1"/>
  <c r="N5" i="14"/>
  <c r="AI15" i="6"/>
  <c r="AM15" i="6" s="1"/>
  <c r="J67" i="5"/>
  <c r="V124" i="7"/>
  <c r="C89" i="7"/>
  <c r="E89" i="7" s="1"/>
  <c r="F89" i="7" s="1"/>
  <c r="J26" i="6"/>
  <c r="K133" i="7"/>
  <c r="M133" i="7" s="1"/>
  <c r="M134" i="7" s="1"/>
  <c r="I26" i="6"/>
  <c r="N22" i="14"/>
  <c r="AI32" i="6"/>
  <c r="AM32" i="6" s="1"/>
  <c r="N30" i="14"/>
  <c r="AI40" i="6"/>
  <c r="AM40" i="6" s="1"/>
  <c r="M5" i="14"/>
  <c r="D8" i="6"/>
  <c r="B8" i="6"/>
  <c r="AL40" i="6"/>
  <c r="AH40" i="6"/>
  <c r="AO30" i="3"/>
  <c r="V117" i="7"/>
  <c r="C82" i="7"/>
  <c r="E82" i="7" s="1"/>
  <c r="F82" i="7" s="1"/>
  <c r="J19" i="6"/>
  <c r="I19" i="6"/>
  <c r="C95" i="7"/>
  <c r="E95" i="7" s="1"/>
  <c r="F95" i="7" s="1"/>
  <c r="J32" i="6"/>
  <c r="K132" i="7"/>
  <c r="M132" i="7" s="1"/>
  <c r="I32" i="6"/>
  <c r="V18" i="5"/>
  <c r="B18" i="12"/>
  <c r="D18" i="12" s="1"/>
  <c r="G27" i="1"/>
  <c r="G38" i="1" s="1"/>
  <c r="C103" i="7"/>
  <c r="E103" i="7" s="1"/>
  <c r="F103" i="7" s="1"/>
  <c r="J40" i="6"/>
  <c r="Q40" i="6" s="1"/>
  <c r="G103" i="7" s="1"/>
  <c r="I40" i="6"/>
  <c r="H23" i="9"/>
  <c r="G24" i="9"/>
  <c r="G26" i="9"/>
  <c r="H25" i="9"/>
  <c r="H24" i="9"/>
  <c r="G23" i="9"/>
  <c r="H22" i="9"/>
  <c r="H26" i="9"/>
  <c r="G25" i="9"/>
  <c r="G22" i="9"/>
  <c r="L232" i="8"/>
  <c r="C127" i="8"/>
  <c r="AT15" i="8"/>
  <c r="N6" i="14"/>
  <c r="AI16" i="6"/>
  <c r="AM16" i="6" s="1"/>
  <c r="N9" i="14"/>
  <c r="P11" i="14" s="1"/>
  <c r="AK21" i="6" s="1"/>
  <c r="AI19" i="6"/>
  <c r="AM19" i="6" s="1"/>
  <c r="AL34" i="6"/>
  <c r="D99" i="7"/>
  <c r="S36" i="6"/>
  <c r="S44" i="6"/>
  <c r="D107" i="7"/>
  <c r="X44" i="6"/>
  <c r="L61" i="7"/>
  <c r="F138" i="8"/>
  <c r="H138" i="8" s="1"/>
  <c r="E138" i="8"/>
  <c r="G138" i="8"/>
  <c r="D138" i="8"/>
  <c r="AL19" i="6"/>
  <c r="AH26" i="6"/>
  <c r="AL26" i="6" s="1"/>
  <c r="AO16" i="3"/>
  <c r="J33" i="6"/>
  <c r="C96" i="7"/>
  <c r="E96" i="7" s="1"/>
  <c r="F96" i="7" s="1"/>
  <c r="I33" i="6"/>
  <c r="AH34" i="6"/>
  <c r="AO24" i="3"/>
  <c r="S41" i="6"/>
  <c r="X41" i="6"/>
  <c r="D104" i="7"/>
  <c r="B290" i="8"/>
  <c r="E289" i="8"/>
  <c r="AV25" i="8"/>
  <c r="D289" i="8"/>
  <c r="F289" i="8" s="1"/>
  <c r="B20" i="12"/>
  <c r="D20" i="12" s="1"/>
  <c r="H13" i="12"/>
  <c r="AH15" i="6"/>
  <c r="AO5" i="3"/>
  <c r="AL15" i="6"/>
  <c r="S48" i="5"/>
  <c r="S28" i="5" s="1"/>
  <c r="D106" i="7"/>
  <c r="S43" i="6"/>
  <c r="X43" i="6"/>
  <c r="V114" i="7"/>
  <c r="C79" i="7"/>
  <c r="E79" i="7" s="1"/>
  <c r="F79" i="7" s="1"/>
  <c r="J16" i="6"/>
  <c r="I16" i="6"/>
  <c r="D85" i="7"/>
  <c r="S22" i="6"/>
  <c r="AT16" i="8"/>
  <c r="C128" i="8"/>
  <c r="E304" i="8"/>
  <c r="D304" i="8"/>
  <c r="F304" i="8"/>
  <c r="G135" i="8"/>
  <c r="F135" i="8"/>
  <c r="H135" i="8" s="1"/>
  <c r="E135" i="8"/>
  <c r="D135" i="8"/>
  <c r="X42" i="6"/>
  <c r="S42" i="6"/>
  <c r="D105" i="7"/>
  <c r="M57" i="18"/>
  <c r="S51" i="5"/>
  <c r="H87" i="5" s="1"/>
  <c r="J87" i="5" s="1"/>
  <c r="N87" i="5" s="1"/>
  <c r="C74" i="5"/>
  <c r="C76" i="5" s="1"/>
  <c r="C77" i="5" s="1"/>
  <c r="B74" i="5"/>
  <c r="B76" i="5" s="1"/>
  <c r="B77" i="5" s="1"/>
  <c r="D74" i="5"/>
  <c r="D76" i="5" s="1"/>
  <c r="D77" i="5" s="1"/>
  <c r="S27" i="5"/>
  <c r="D92" i="7"/>
  <c r="S29" i="6"/>
  <c r="X29" i="6"/>
  <c r="B21" i="12"/>
  <c r="D21" i="12" s="1"/>
  <c r="B74" i="18"/>
  <c r="H73" i="18" s="1"/>
  <c r="G29" i="1"/>
  <c r="C45" i="1"/>
  <c r="C46" i="1" s="1"/>
  <c r="G34" i="1" s="1"/>
  <c r="B45" i="1"/>
  <c r="B46" i="1" s="1"/>
  <c r="G33" i="1" s="1"/>
  <c r="G89" i="18"/>
  <c r="I89" i="18" s="1"/>
  <c r="G84" i="18"/>
  <c r="I84" i="18" s="1"/>
  <c r="G81" i="18"/>
  <c r="I81" i="18" s="1"/>
  <c r="G82" i="18"/>
  <c r="I82" i="18" s="1"/>
  <c r="G86" i="18"/>
  <c r="I86" i="18" s="1"/>
  <c r="G87" i="18"/>
  <c r="I87" i="18" s="1"/>
  <c r="G90" i="18"/>
  <c r="I90" i="18" s="1"/>
  <c r="G91" i="18"/>
  <c r="I91" i="18" s="1"/>
  <c r="G83" i="18"/>
  <c r="I83" i="18" s="1"/>
  <c r="G85" i="18"/>
  <c r="I85" i="18" s="1"/>
  <c r="G88" i="18"/>
  <c r="I88" i="18" s="1"/>
  <c r="N16" i="17"/>
  <c r="AH39" i="6"/>
  <c r="AL39" i="6" s="1"/>
  <c r="AO29" i="3"/>
  <c r="AH35" i="6"/>
  <c r="AO25" i="3"/>
  <c r="F24" i="8"/>
  <c r="B26" i="10"/>
  <c r="F25" i="8" s="1"/>
  <c r="N23" i="14"/>
  <c r="AI33" i="6"/>
  <c r="AM33" i="6" s="1"/>
  <c r="AH37" i="6"/>
  <c r="AL37" i="6" s="1"/>
  <c r="AO27" i="3"/>
  <c r="C97" i="7"/>
  <c r="E97" i="7" s="1"/>
  <c r="F97" i="7" s="1"/>
  <c r="J34" i="6"/>
  <c r="I34" i="6"/>
  <c r="C100" i="7"/>
  <c r="E100" i="7" s="1"/>
  <c r="F100" i="7" s="1"/>
  <c r="J37" i="6"/>
  <c r="I37" i="6"/>
  <c r="AT13" i="8"/>
  <c r="C125" i="8"/>
  <c r="D306" i="8"/>
  <c r="E306" i="8"/>
  <c r="F306" i="8"/>
  <c r="D136" i="8"/>
  <c r="F136" i="8"/>
  <c r="H136" i="8" s="1"/>
  <c r="E136" i="8"/>
  <c r="G136" i="8"/>
  <c r="B24" i="10"/>
  <c r="AH32" i="6"/>
  <c r="AO22" i="3"/>
  <c r="N27" i="14"/>
  <c r="AI37" i="6"/>
  <c r="AM37" i="6" s="1"/>
  <c r="N14" i="14"/>
  <c r="P14" i="14" s="1"/>
  <c r="AK24" i="6" s="1"/>
  <c r="AI24" i="6"/>
  <c r="AM24" i="6" s="1"/>
  <c r="N10" i="14"/>
  <c r="AI20" i="6"/>
  <c r="AM20" i="6" s="1"/>
  <c r="AH16" i="6"/>
  <c r="AL16" i="6" s="1"/>
  <c r="AO6" i="3"/>
  <c r="AL20" i="6"/>
  <c r="D84" i="7"/>
  <c r="S21" i="6"/>
  <c r="D90" i="7"/>
  <c r="S27" i="6"/>
  <c r="X27" i="6"/>
  <c r="C87" i="7"/>
  <c r="E87" i="7" s="1"/>
  <c r="F87" i="7" s="1"/>
  <c r="V122" i="7"/>
  <c r="J24" i="6"/>
  <c r="Q29" i="6" s="1"/>
  <c r="G92" i="7" s="1"/>
  <c r="I24" i="6"/>
  <c r="G309" i="8"/>
  <c r="G305" i="8"/>
  <c r="G310" i="8"/>
  <c r="G307" i="8"/>
  <c r="G304" i="8"/>
  <c r="G312" i="8"/>
  <c r="K109" i="8"/>
  <c r="L109" i="8" s="1"/>
  <c r="K108" i="8"/>
  <c r="L108" i="8" s="1"/>
  <c r="G308" i="8"/>
  <c r="G306" i="8"/>
  <c r="G311" i="8"/>
  <c r="AP13" i="8"/>
  <c r="AP14" i="8"/>
  <c r="AP18" i="8"/>
  <c r="AP17" i="8"/>
  <c r="AP16" i="8"/>
  <c r="AP15" i="8"/>
  <c r="AP19" i="8"/>
  <c r="AB19" i="8"/>
  <c r="F17" i="8"/>
  <c r="I12" i="8"/>
  <c r="K110" i="8"/>
  <c r="B29" i="10"/>
  <c r="F19" i="8"/>
  <c r="E308" i="8"/>
  <c r="D308" i="8"/>
  <c r="F308" i="8"/>
  <c r="D309" i="8"/>
  <c r="E309" i="8"/>
  <c r="F309" i="8"/>
  <c r="B9" i="6"/>
  <c r="AH33" i="6"/>
  <c r="AO23" i="3"/>
  <c r="Q30" i="5"/>
  <c r="M67" i="5"/>
  <c r="Q29" i="5"/>
  <c r="C19" i="15"/>
  <c r="B5" i="16"/>
  <c r="N16" i="14"/>
  <c r="AI26" i="6"/>
  <c r="AM26" i="6" s="1"/>
  <c r="E101" i="7"/>
  <c r="F101" i="7" s="1"/>
  <c r="S28" i="6"/>
  <c r="X28" i="6"/>
  <c r="D91" i="7"/>
  <c r="D94" i="7"/>
  <c r="X31" i="6"/>
  <c r="S31" i="6"/>
  <c r="AH24" i="6"/>
  <c r="AL24" i="6" s="1"/>
  <c r="AO14" i="3"/>
  <c r="AL35" i="6"/>
  <c r="AL33" i="6"/>
  <c r="C98" i="7"/>
  <c r="E98" i="7" s="1"/>
  <c r="F98" i="7" s="1"/>
  <c r="J35" i="6"/>
  <c r="I35" i="6"/>
  <c r="C102" i="7"/>
  <c r="E102" i="7" s="1"/>
  <c r="F102" i="7" s="1"/>
  <c r="J39" i="6"/>
  <c r="I39" i="6"/>
  <c r="N25" i="14"/>
  <c r="AI35" i="6"/>
  <c r="AM35" i="6" s="1"/>
  <c r="D81" i="7"/>
  <c r="S18" i="6"/>
  <c r="AL32" i="6"/>
  <c r="I10" i="8"/>
  <c r="H43" i="9" s="1"/>
  <c r="I9" i="8"/>
  <c r="H42" i="9" s="1"/>
  <c r="I11" i="8"/>
  <c r="H44" i="9" s="1"/>
  <c r="E310" i="8"/>
  <c r="D310" i="8"/>
  <c r="F310" i="8"/>
  <c r="E307" i="8"/>
  <c r="D307" i="8"/>
  <c r="F307" i="8"/>
  <c r="X30" i="6"/>
  <c r="D93" i="7"/>
  <c r="S30" i="6"/>
  <c r="AH20" i="6"/>
  <c r="AO10" i="3"/>
  <c r="F88" i="5"/>
  <c r="M88" i="5"/>
  <c r="C89" i="5"/>
  <c r="B21" i="17"/>
  <c r="B24" i="13"/>
  <c r="K67" i="5"/>
  <c r="Q25" i="5"/>
  <c r="Q18" i="6"/>
  <c r="G81" i="7" s="1"/>
  <c r="B58" i="9"/>
  <c r="F11" i="8"/>
  <c r="AT17" i="8"/>
  <c r="C129" i="8"/>
  <c r="E312" i="8"/>
  <c r="D312" i="8"/>
  <c r="F312" i="8"/>
  <c r="AZ287" i="8"/>
  <c r="BA287" i="8"/>
  <c r="G287" i="8"/>
  <c r="D305" i="8"/>
  <c r="E305" i="8"/>
  <c r="F305" i="8"/>
  <c r="D311" i="8"/>
  <c r="E311" i="8"/>
  <c r="F311" i="8"/>
  <c r="D80" i="7"/>
  <c r="S17" i="6"/>
  <c r="D88" i="7"/>
  <c r="S25" i="6"/>
  <c r="E84" i="7"/>
  <c r="F84" i="7" s="1"/>
  <c r="D101" i="7"/>
  <c r="S38" i="6"/>
  <c r="Q28" i="6"/>
  <c r="G91" i="7" s="1"/>
  <c r="D86" i="7"/>
  <c r="S23" i="6"/>
  <c r="X23" i="6"/>
  <c r="E90" i="7"/>
  <c r="F90" i="7" s="1"/>
  <c r="G139" i="7" l="1"/>
  <c r="G137" i="7"/>
  <c r="P5" i="14"/>
  <c r="AK15" i="6" s="1"/>
  <c r="F179" i="7"/>
  <c r="P29" i="14"/>
  <c r="AK39" i="6" s="1"/>
  <c r="B33" i="13"/>
  <c r="E33" i="13" s="1"/>
  <c r="G5" i="17"/>
  <c r="N19" i="17" s="1"/>
  <c r="B19" i="17"/>
  <c r="B11" i="9"/>
  <c r="M15" i="7"/>
  <c r="E63" i="6"/>
  <c r="F63" i="6" s="1"/>
  <c r="E56" i="6"/>
  <c r="H56" i="6" s="1"/>
  <c r="V95" i="7"/>
  <c r="F58" i="7"/>
  <c r="E52" i="6"/>
  <c r="H52" i="6" s="1"/>
  <c r="V96" i="7"/>
  <c r="K116" i="7"/>
  <c r="V97" i="7"/>
  <c r="M13" i="7"/>
  <c r="L18" i="7" s="1"/>
  <c r="B72" i="6"/>
  <c r="V98" i="7"/>
  <c r="M14" i="7"/>
  <c r="M16" i="7" s="1"/>
  <c r="E55" i="6"/>
  <c r="H55" i="6" s="1"/>
  <c r="V100" i="7"/>
  <c r="B16" i="7"/>
  <c r="E57" i="6"/>
  <c r="H57" i="6" s="1"/>
  <c r="V99" i="7"/>
  <c r="E60" i="6"/>
  <c r="H60" i="6" s="1"/>
  <c r="E53" i="6"/>
  <c r="H53" i="6" s="1"/>
  <c r="E51" i="6"/>
  <c r="H51" i="6" s="1"/>
  <c r="E54" i="6"/>
  <c r="H54" i="6" s="1"/>
  <c r="B132" i="7"/>
  <c r="B133" i="7" s="1"/>
  <c r="V101" i="7"/>
  <c r="Q37" i="5"/>
  <c r="Q38" i="5" s="1"/>
  <c r="G12" i="12"/>
  <c r="H12" i="12" s="1"/>
  <c r="E8" i="7"/>
  <c r="E10" i="7"/>
  <c r="Q34" i="5"/>
  <c r="Q35" i="5"/>
  <c r="P15" i="14"/>
  <c r="AK25" i="6" s="1"/>
  <c r="P21" i="14"/>
  <c r="AK31" i="6" s="1"/>
  <c r="P19" i="14"/>
  <c r="AK29" i="6" s="1"/>
  <c r="D82" i="7"/>
  <c r="S19" i="6"/>
  <c r="D89" i="7"/>
  <c r="X26" i="6"/>
  <c r="S26" i="6"/>
  <c r="B9" i="16"/>
  <c r="B8" i="16"/>
  <c r="AZ289" i="8"/>
  <c r="BA289" i="8"/>
  <c r="P26" i="14"/>
  <c r="AK36" i="6" s="1"/>
  <c r="P32" i="14"/>
  <c r="AK42" i="6" s="1"/>
  <c r="D126" i="8"/>
  <c r="AS14" i="8" s="1"/>
  <c r="F126" i="8"/>
  <c r="G88" i="5"/>
  <c r="E88" i="5"/>
  <c r="H88" i="5"/>
  <c r="J88" i="5" s="1"/>
  <c r="N88" i="5" s="1"/>
  <c r="L88" i="5"/>
  <c r="D102" i="7"/>
  <c r="S39" i="6"/>
  <c r="S24" i="6"/>
  <c r="D87" i="7"/>
  <c r="Q27" i="5"/>
  <c r="Q28" i="5"/>
  <c r="P17" i="14"/>
  <c r="AK27" i="6" s="1"/>
  <c r="Q39" i="6"/>
  <c r="G102" i="7" s="1"/>
  <c r="Q24" i="6"/>
  <c r="G87" i="7" s="1"/>
  <c r="P12" i="14"/>
  <c r="AK22" i="6" s="1"/>
  <c r="D83" i="7"/>
  <c r="S20" i="6"/>
  <c r="B52" i="18"/>
  <c r="M32" i="18"/>
  <c r="M48" i="18"/>
  <c r="M49" i="18" s="1"/>
  <c r="D27" i="18"/>
  <c r="B50" i="18"/>
  <c r="B57" i="18" s="1"/>
  <c r="B60" i="18" s="1"/>
  <c r="M45" i="18"/>
  <c r="M50" i="18"/>
  <c r="D100" i="7"/>
  <c r="S37" i="6"/>
  <c r="C5" i="16"/>
  <c r="C20" i="15"/>
  <c r="D19" i="15"/>
  <c r="P27" i="14"/>
  <c r="AK37" i="6" s="1"/>
  <c r="Q37" i="6"/>
  <c r="G100" i="7" s="1"/>
  <c r="P23" i="14"/>
  <c r="AK33" i="6" s="1"/>
  <c r="H63" i="6"/>
  <c r="Q39" i="5"/>
  <c r="E62" i="6"/>
  <c r="F62" i="6" s="1"/>
  <c r="E58" i="6"/>
  <c r="H62" i="6"/>
  <c r="E61" i="6"/>
  <c r="H84" i="5"/>
  <c r="J84" i="5" s="1"/>
  <c r="H85" i="5"/>
  <c r="J85" i="5" s="1"/>
  <c r="N85" i="5" s="1"/>
  <c r="H86" i="5"/>
  <c r="J86" i="5" s="1"/>
  <c r="N86" i="5" s="1"/>
  <c r="P28" i="14"/>
  <c r="AK38" i="6" s="1"/>
  <c r="P9" i="14"/>
  <c r="AK19" i="6" s="1"/>
  <c r="Q19" i="6"/>
  <c r="G82" i="7" s="1"/>
  <c r="P18" i="14"/>
  <c r="AK28" i="6" s="1"/>
  <c r="Q27" i="6"/>
  <c r="G90" i="7" s="1"/>
  <c r="P20" i="14"/>
  <c r="AK30" i="6" s="1"/>
  <c r="P24" i="14"/>
  <c r="AK34" i="6" s="1"/>
  <c r="Q31" i="6"/>
  <c r="G94" i="7" s="1"/>
  <c r="G19" i="17"/>
  <c r="D98" i="7"/>
  <c r="S35" i="6"/>
  <c r="X35" i="6"/>
  <c r="P34" i="14"/>
  <c r="AK44" i="6" s="1"/>
  <c r="I41" i="9"/>
  <c r="B28" i="10"/>
  <c r="I13" i="8"/>
  <c r="F18" i="8"/>
  <c r="F21" i="8"/>
  <c r="D5" i="6"/>
  <c r="B5" i="6"/>
  <c r="B291" i="8"/>
  <c r="E290" i="8"/>
  <c r="D290" i="8"/>
  <c r="AV26" i="8"/>
  <c r="P6" i="14"/>
  <c r="AK16" i="6" s="1"/>
  <c r="P30" i="14"/>
  <c r="AK40" i="6" s="1"/>
  <c r="Q26" i="6"/>
  <c r="G89" i="7" s="1"/>
  <c r="S40" i="6"/>
  <c r="D103" i="7"/>
  <c r="X40" i="6"/>
  <c r="D129" i="8"/>
  <c r="AS17" i="8" s="1"/>
  <c r="F129" i="8"/>
  <c r="P33" i="14"/>
  <c r="AK43" i="6" s="1"/>
  <c r="P7" i="14"/>
  <c r="AK17" i="6" s="1"/>
  <c r="Q34" i="6"/>
  <c r="G97" i="7" s="1"/>
  <c r="D79" i="7"/>
  <c r="S16" i="6"/>
  <c r="O42" i="6"/>
  <c r="O38" i="6"/>
  <c r="O34" i="6"/>
  <c r="O30" i="6"/>
  <c r="O26" i="6"/>
  <c r="P40" i="6"/>
  <c r="O39" i="6"/>
  <c r="P42" i="6"/>
  <c r="O44" i="6"/>
  <c r="O41" i="6"/>
  <c r="P35" i="6"/>
  <c r="P32" i="6"/>
  <c r="O31" i="6"/>
  <c r="O25" i="6"/>
  <c r="O21" i="6"/>
  <c r="O17" i="6"/>
  <c r="S15" i="6"/>
  <c r="P37" i="6"/>
  <c r="O35" i="6"/>
  <c r="P33" i="6"/>
  <c r="O32" i="6"/>
  <c r="P26" i="6"/>
  <c r="P20" i="6"/>
  <c r="P16" i="6"/>
  <c r="O40" i="6"/>
  <c r="O37" i="6"/>
  <c r="O33" i="6"/>
  <c r="P27" i="6"/>
  <c r="O20" i="6"/>
  <c r="O16" i="6"/>
  <c r="P44" i="6"/>
  <c r="P41" i="6"/>
  <c r="P39" i="6"/>
  <c r="P31" i="6"/>
  <c r="P25" i="6"/>
  <c r="O24" i="6"/>
  <c r="O36" i="6"/>
  <c r="P34" i="6"/>
  <c r="P30" i="6"/>
  <c r="P22" i="6"/>
  <c r="O22" i="6"/>
  <c r="P38" i="6"/>
  <c r="P29" i="6"/>
  <c r="P21" i="6"/>
  <c r="O29" i="6"/>
  <c r="P23" i="6"/>
  <c r="P19" i="6"/>
  <c r="P18" i="6"/>
  <c r="P36" i="6"/>
  <c r="O27" i="6"/>
  <c r="P24" i="6"/>
  <c r="O23" i="6"/>
  <c r="P17" i="6"/>
  <c r="P43" i="6"/>
  <c r="O19" i="6"/>
  <c r="O43" i="6"/>
  <c r="D78" i="7"/>
  <c r="P15" i="6"/>
  <c r="P28" i="6"/>
  <c r="O28" i="6"/>
  <c r="O15" i="6"/>
  <c r="O18" i="6"/>
  <c r="Q17" i="6"/>
  <c r="G80" i="7" s="1"/>
  <c r="Q38" i="6"/>
  <c r="G101" i="7" s="1"/>
  <c r="Q42" i="6"/>
  <c r="G105" i="7" s="1"/>
  <c r="Q30" i="6"/>
  <c r="G93" i="7" s="1"/>
  <c r="Q22" i="6"/>
  <c r="G85" i="7" s="1"/>
  <c r="Q43" i="6"/>
  <c r="G106" i="7" s="1"/>
  <c r="Q44" i="6"/>
  <c r="G107" i="7" s="1"/>
  <c r="Q36" i="6"/>
  <c r="G99" i="7" s="1"/>
  <c r="Q25" i="6"/>
  <c r="G88" i="7" s="1"/>
  <c r="Q23" i="6"/>
  <c r="G86" i="7" s="1"/>
  <c r="Q20" i="6"/>
  <c r="G83" i="7" s="1"/>
  <c r="D26" i="18"/>
  <c r="M31" i="18"/>
  <c r="P8" i="14"/>
  <c r="AK18" i="6" s="1"/>
  <c r="Q35" i="6"/>
  <c r="G98" i="7" s="1"/>
  <c r="D5" i="17"/>
  <c r="B32" i="13"/>
  <c r="E32" i="13" s="1"/>
  <c r="G165" i="7"/>
  <c r="B13" i="7"/>
  <c r="G164" i="7"/>
  <c r="G163" i="7"/>
  <c r="G166" i="7"/>
  <c r="Q31" i="5"/>
  <c r="S9" i="17" s="1"/>
  <c r="G162" i="7"/>
  <c r="Q33" i="5"/>
  <c r="B29" i="17" s="1"/>
  <c r="D29" i="17" s="1"/>
  <c r="G11" i="12"/>
  <c r="H11" i="12" s="1"/>
  <c r="B27" i="16"/>
  <c r="B13" i="15"/>
  <c r="D18" i="15" s="1"/>
  <c r="P31" i="14"/>
  <c r="AK41" i="6" s="1"/>
  <c r="P10" i="14"/>
  <c r="AK20" i="6" s="1"/>
  <c r="D45" i="10"/>
  <c r="D48" i="10"/>
  <c r="D46" i="10"/>
  <c r="D44" i="10"/>
  <c r="D47" i="10"/>
  <c r="D43" i="10"/>
  <c r="B30" i="10"/>
  <c r="D125" i="8"/>
  <c r="AS13" i="8" s="1"/>
  <c r="D97" i="7"/>
  <c r="X34" i="6"/>
  <c r="S34" i="6"/>
  <c r="Q16" i="6"/>
  <c r="G79" i="7" s="1"/>
  <c r="P13" i="14"/>
  <c r="AK23" i="6" s="1"/>
  <c r="D96" i="7"/>
  <c r="S33" i="6"/>
  <c r="Q32" i="6"/>
  <c r="G95" i="7" s="1"/>
  <c r="H287" i="8"/>
  <c r="AS23" i="8"/>
  <c r="G288" i="8"/>
  <c r="F89" i="5"/>
  <c r="C90" i="5"/>
  <c r="M89" i="5"/>
  <c r="P25" i="14"/>
  <c r="AK35" i="6" s="1"/>
  <c r="P16" i="14"/>
  <c r="AK26" i="6" s="1"/>
  <c r="Q41" i="6"/>
  <c r="G104" i="7" s="1"/>
  <c r="D128" i="8"/>
  <c r="AS16" i="8" s="1"/>
  <c r="Q33" i="6"/>
  <c r="G96" i="7" s="1"/>
  <c r="D127" i="8"/>
  <c r="AS15" i="8" s="1"/>
  <c r="F127" i="8"/>
  <c r="D95" i="7"/>
  <c r="S32" i="6"/>
  <c r="X32" i="6"/>
  <c r="P22" i="14"/>
  <c r="AK32" i="6" s="1"/>
  <c r="D6" i="6"/>
  <c r="B6" i="6"/>
  <c r="A11" i="6" s="1"/>
  <c r="Q21" i="6"/>
  <c r="G84" i="7" s="1"/>
  <c r="Q15" i="6"/>
  <c r="G78" i="7" s="1"/>
  <c r="H58" i="6" l="1"/>
  <c r="F58" i="6"/>
  <c r="B55" i="18"/>
  <c r="B61" i="18" s="1"/>
  <c r="M36" i="18"/>
  <c r="S6" i="17"/>
  <c r="B25" i="16"/>
  <c r="B7" i="16" s="1"/>
  <c r="B29" i="16"/>
  <c r="B11" i="16" s="1"/>
  <c r="B14" i="16" s="1"/>
  <c r="B18" i="16" s="1"/>
  <c r="G14" i="13"/>
  <c r="B40" i="17"/>
  <c r="B12" i="15"/>
  <c r="S10" i="17"/>
  <c r="A9" i="17"/>
  <c r="S8" i="17"/>
  <c r="J203" i="7"/>
  <c r="K203" i="7" s="1"/>
  <c r="L203" i="7" s="1"/>
  <c r="G181" i="7"/>
  <c r="G27" i="17"/>
  <c r="H27" i="17" s="1"/>
  <c r="G178" i="7"/>
  <c r="I178" i="7" s="1"/>
  <c r="N178" i="7" s="1"/>
  <c r="L94" i="7"/>
  <c r="J93" i="7"/>
  <c r="P91" i="7"/>
  <c r="O90" i="7"/>
  <c r="N89" i="7"/>
  <c r="M88" i="7"/>
  <c r="K83" i="7"/>
  <c r="K82" i="7"/>
  <c r="K81" i="7"/>
  <c r="K80" i="7"/>
  <c r="K79" i="7"/>
  <c r="K78" i="7"/>
  <c r="D58" i="7"/>
  <c r="J33" i="7"/>
  <c r="I31" i="7"/>
  <c r="J204" i="7"/>
  <c r="K204" i="7" s="1"/>
  <c r="L204" i="7" s="1"/>
  <c r="G185" i="7"/>
  <c r="G182" i="7"/>
  <c r="B163" i="7"/>
  <c r="B165" i="7" s="1"/>
  <c r="O94" i="7"/>
  <c r="K93" i="7"/>
  <c r="P92" i="7"/>
  <c r="M91" i="7"/>
  <c r="J90" i="7"/>
  <c r="P89" i="7"/>
  <c r="L88" i="7"/>
  <c r="M83" i="7"/>
  <c r="J82" i="7"/>
  <c r="Q81" i="7"/>
  <c r="O80" i="7"/>
  <c r="M79" i="7"/>
  <c r="J78" i="7"/>
  <c r="J34" i="7"/>
  <c r="E11" i="7"/>
  <c r="E12" i="7" s="1"/>
  <c r="E13" i="7" s="1"/>
  <c r="G179" i="7"/>
  <c r="N94" i="7"/>
  <c r="O92" i="7"/>
  <c r="L91" i="7"/>
  <c r="O89" i="7"/>
  <c r="K88" i="7"/>
  <c r="L83" i="7"/>
  <c r="V82" i="7"/>
  <c r="P81" i="7"/>
  <c r="N80" i="7"/>
  <c r="L79" i="7"/>
  <c r="V78" i="7"/>
  <c r="M94" i="7"/>
  <c r="N92" i="7"/>
  <c r="K91" i="7"/>
  <c r="M89" i="7"/>
  <c r="J88" i="7"/>
  <c r="J83" i="7"/>
  <c r="Q82" i="7"/>
  <c r="O81" i="7"/>
  <c r="M80" i="7"/>
  <c r="J79" i="7"/>
  <c r="Q78" i="7"/>
  <c r="H34" i="7"/>
  <c r="H31" i="7"/>
  <c r="E4" i="7"/>
  <c r="J205" i="7"/>
  <c r="K205" i="7" s="1"/>
  <c r="L205" i="7" s="1"/>
  <c r="G186" i="7"/>
  <c r="G183" i="7"/>
  <c r="G180" i="7"/>
  <c r="B129" i="7"/>
  <c r="K94" i="7"/>
  <c r="P93" i="7"/>
  <c r="M92" i="7"/>
  <c r="J91" i="7"/>
  <c r="P90" i="7"/>
  <c r="L89" i="7"/>
  <c r="V83" i="7"/>
  <c r="P82" i="7"/>
  <c r="N81" i="7"/>
  <c r="L80" i="7"/>
  <c r="V79" i="7"/>
  <c r="P78" i="7"/>
  <c r="I33" i="7"/>
  <c r="G176" i="7"/>
  <c r="I176" i="7" s="1"/>
  <c r="P94" i="7"/>
  <c r="L93" i="7"/>
  <c r="N91" i="7"/>
  <c r="K90" i="7"/>
  <c r="N88" i="7"/>
  <c r="N83" i="7"/>
  <c r="L82" i="7"/>
  <c r="V81" i="7"/>
  <c r="P80" i="7"/>
  <c r="N79" i="7"/>
  <c r="L78" i="7"/>
  <c r="V77" i="7"/>
  <c r="H35" i="7"/>
  <c r="H32" i="7"/>
  <c r="C28" i="7"/>
  <c r="N93" i="7"/>
  <c r="L90" i="7"/>
  <c r="P83" i="7"/>
  <c r="Q80" i="7"/>
  <c r="D60" i="7"/>
  <c r="B60" i="7" s="1"/>
  <c r="J26" i="7"/>
  <c r="J27" i="7" s="1"/>
  <c r="G184" i="7"/>
  <c r="M93" i="7"/>
  <c r="P88" i="7"/>
  <c r="O83" i="7"/>
  <c r="J80" i="7"/>
  <c r="D59" i="7"/>
  <c r="B59" i="7" s="1"/>
  <c r="J35" i="7"/>
  <c r="I26" i="7"/>
  <c r="I27" i="7" s="1"/>
  <c r="O91" i="7"/>
  <c r="O88" i="7"/>
  <c r="O78" i="7"/>
  <c r="I35" i="7"/>
  <c r="H26" i="7"/>
  <c r="H27" i="7" s="1"/>
  <c r="O93" i="7"/>
  <c r="J92" i="7"/>
  <c r="M90" i="7"/>
  <c r="Q83" i="7"/>
  <c r="M82" i="7"/>
  <c r="V80" i="7"/>
  <c r="J31" i="7"/>
  <c r="N90" i="7"/>
  <c r="Q79" i="7"/>
  <c r="O82" i="7"/>
  <c r="P79" i="7"/>
  <c r="G177" i="7"/>
  <c r="I177" i="7" s="1"/>
  <c r="N177" i="7" s="1"/>
  <c r="K89" i="7"/>
  <c r="N82" i="7"/>
  <c r="O79" i="7"/>
  <c r="I34" i="7"/>
  <c r="L92" i="7"/>
  <c r="J89" i="7"/>
  <c r="M81" i="7"/>
  <c r="N78" i="7"/>
  <c r="H33" i="7"/>
  <c r="G187" i="7"/>
  <c r="J94" i="7"/>
  <c r="J81" i="7"/>
  <c r="I32" i="7"/>
  <c r="M78" i="7"/>
  <c r="K92" i="7"/>
  <c r="V84" i="7"/>
  <c r="B14" i="7"/>
  <c r="L81" i="7"/>
  <c r="J32" i="7"/>
  <c r="L62" i="7"/>
  <c r="L63" i="7" s="1"/>
  <c r="D62" i="7" s="1"/>
  <c r="B62" i="7" s="1"/>
  <c r="F115" i="7"/>
  <c r="V88" i="7"/>
  <c r="F114" i="7"/>
  <c r="F119" i="7"/>
  <c r="V87" i="7"/>
  <c r="F113" i="7"/>
  <c r="F116" i="7"/>
  <c r="F118" i="7"/>
  <c r="V92" i="7"/>
  <c r="C9" i="17"/>
  <c r="V90" i="7"/>
  <c r="F117" i="7"/>
  <c r="V89" i="7"/>
  <c r="V91" i="7"/>
  <c r="K122" i="7"/>
  <c r="V145" i="7"/>
  <c r="G46" i="10"/>
  <c r="F46" i="10"/>
  <c r="K165" i="7"/>
  <c r="J165" i="7"/>
  <c r="L165" i="7" s="1"/>
  <c r="I165" i="7"/>
  <c r="H165" i="7"/>
  <c r="M165" i="7" s="1"/>
  <c r="B292" i="8"/>
  <c r="D291" i="8"/>
  <c r="F291" i="8" s="1"/>
  <c r="E291" i="8"/>
  <c r="AV27" i="8"/>
  <c r="N84" i="5"/>
  <c r="K84" i="5"/>
  <c r="D55" i="6"/>
  <c r="K118" i="7"/>
  <c r="D60" i="6"/>
  <c r="K115" i="7"/>
  <c r="D57" i="6"/>
  <c r="D53" i="6"/>
  <c r="V128" i="7"/>
  <c r="D63" i="6"/>
  <c r="D51" i="6"/>
  <c r="B71" i="6"/>
  <c r="B12" i="7"/>
  <c r="D54" i="6"/>
  <c r="D52" i="6"/>
  <c r="D56" i="6"/>
  <c r="B24" i="16"/>
  <c r="B6" i="16" s="1"/>
  <c r="S5" i="17"/>
  <c r="G44" i="10"/>
  <c r="F44" i="10"/>
  <c r="T43" i="6"/>
  <c r="T42" i="6"/>
  <c r="T34" i="6"/>
  <c r="T28" i="6"/>
  <c r="T38" i="6"/>
  <c r="T29" i="6"/>
  <c r="T23" i="6"/>
  <c r="T22" i="6"/>
  <c r="T18" i="6"/>
  <c r="T36" i="6"/>
  <c r="T30" i="6"/>
  <c r="T40" i="6"/>
  <c r="T41" i="6"/>
  <c r="T37" i="6"/>
  <c r="T33" i="6"/>
  <c r="T31" i="6"/>
  <c r="T26" i="6"/>
  <c r="T20" i="6"/>
  <c r="T19" i="6"/>
  <c r="T17" i="6"/>
  <c r="T16" i="6"/>
  <c r="T25" i="6"/>
  <c r="T32" i="6"/>
  <c r="T27" i="6"/>
  <c r="T24" i="6"/>
  <c r="T15" i="6"/>
  <c r="T44" i="6"/>
  <c r="T35" i="6"/>
  <c r="T21" i="6"/>
  <c r="T39" i="6"/>
  <c r="G48" i="10"/>
  <c r="F48" i="10"/>
  <c r="H61" i="6"/>
  <c r="F61" i="6"/>
  <c r="F125" i="8"/>
  <c r="G45" i="10"/>
  <c r="F45" i="10"/>
  <c r="J162" i="7"/>
  <c r="K162" i="7"/>
  <c r="I162" i="7"/>
  <c r="H162" i="7"/>
  <c r="M162" i="7" s="1"/>
  <c r="B49" i="18"/>
  <c r="B56" i="18" s="1"/>
  <c r="E49" i="7"/>
  <c r="I63" i="6"/>
  <c r="G63" i="6"/>
  <c r="F180" i="7"/>
  <c r="I179" i="7"/>
  <c r="N179" i="7" s="1"/>
  <c r="B15" i="16"/>
  <c r="B12" i="16"/>
  <c r="B38" i="13"/>
  <c r="E38" i="13" s="1"/>
  <c r="G29" i="17"/>
  <c r="H29" i="17" s="1"/>
  <c r="B43" i="17"/>
  <c r="B20" i="17"/>
  <c r="J5" i="17"/>
  <c r="B17" i="9"/>
  <c r="B31" i="17"/>
  <c r="D31" i="17" s="1"/>
  <c r="F57" i="6"/>
  <c r="E51" i="7"/>
  <c r="F60" i="6"/>
  <c r="F56" i="6"/>
  <c r="E50" i="7"/>
  <c r="G36" i="9"/>
  <c r="I36" i="9" s="1"/>
  <c r="F52" i="6"/>
  <c r="F55" i="6"/>
  <c r="B18" i="7"/>
  <c r="B19" i="7" s="1"/>
  <c r="F53" i="6"/>
  <c r="F54" i="6"/>
  <c r="F51" i="6"/>
  <c r="E53" i="7"/>
  <c r="B74" i="6"/>
  <c r="E52" i="7"/>
  <c r="B41" i="9"/>
  <c r="K166" i="7"/>
  <c r="H166" i="7"/>
  <c r="M166" i="7" s="1"/>
  <c r="J166" i="7"/>
  <c r="L166" i="7" s="1"/>
  <c r="I166" i="7"/>
  <c r="E48" i="7"/>
  <c r="G62" i="6"/>
  <c r="I62" i="6"/>
  <c r="D5" i="16"/>
  <c r="D20" i="15"/>
  <c r="C21" i="15"/>
  <c r="F20" i="15"/>
  <c r="H20" i="15" s="1"/>
  <c r="G89" i="5"/>
  <c r="E89" i="5"/>
  <c r="H89" i="5"/>
  <c r="J89" i="5" s="1"/>
  <c r="N89" i="5" s="1"/>
  <c r="L89" i="5"/>
  <c r="J163" i="7"/>
  <c r="L163" i="7" s="1"/>
  <c r="K163" i="7"/>
  <c r="I163" i="7"/>
  <c r="H163" i="7"/>
  <c r="M163" i="7" s="1"/>
  <c r="C39" i="17"/>
  <c r="B15" i="17"/>
  <c r="B18" i="17" s="1"/>
  <c r="B12" i="9"/>
  <c r="D9" i="6"/>
  <c r="Q42" i="5"/>
  <c r="B20" i="7"/>
  <c r="Q40" i="5"/>
  <c r="Q41" i="5"/>
  <c r="B23" i="12"/>
  <c r="D23" i="12" s="1"/>
  <c r="C11" i="16"/>
  <c r="C14" i="16" s="1"/>
  <c r="C18" i="16" s="1"/>
  <c r="C9" i="16"/>
  <c r="C7" i="16"/>
  <c r="C8" i="16"/>
  <c r="J59" i="18"/>
  <c r="M53" i="18"/>
  <c r="M55" i="18" s="1"/>
  <c r="M37" i="18"/>
  <c r="D32" i="18"/>
  <c r="F90" i="5"/>
  <c r="M90" i="5"/>
  <c r="C91" i="5"/>
  <c r="G43" i="10"/>
  <c r="F43" i="10"/>
  <c r="F128" i="8"/>
  <c r="AS24" i="8"/>
  <c r="H288" i="8"/>
  <c r="G289" i="8"/>
  <c r="G47" i="10"/>
  <c r="F47" i="10"/>
  <c r="B28" i="16"/>
  <c r="B10" i="16" s="1"/>
  <c r="K164" i="7"/>
  <c r="I164" i="7"/>
  <c r="H164" i="7"/>
  <c r="M164" i="7" s="1"/>
  <c r="J164" i="7"/>
  <c r="L164" i="7" s="1"/>
  <c r="F290" i="8"/>
  <c r="E9" i="17"/>
  <c r="K119" i="7"/>
  <c r="B73" i="6"/>
  <c r="B130" i="7"/>
  <c r="B15" i="7"/>
  <c r="G90" i="5" l="1"/>
  <c r="E90" i="5"/>
  <c r="H90" i="5"/>
  <c r="J90" i="5" s="1"/>
  <c r="N90" i="5" s="1"/>
  <c r="L90" i="5"/>
  <c r="D48" i="7"/>
  <c r="AB222" i="7"/>
  <c r="AF222" i="7" s="1"/>
  <c r="E41" i="7"/>
  <c r="I55" i="6"/>
  <c r="G55" i="6"/>
  <c r="Q127" i="7"/>
  <c r="AF15" i="6"/>
  <c r="AE15" i="6"/>
  <c r="AD15" i="6"/>
  <c r="Q132" i="7"/>
  <c r="P132" i="7" s="1"/>
  <c r="AF20" i="6"/>
  <c r="AE20" i="6"/>
  <c r="AD20" i="6"/>
  <c r="AE36" i="6"/>
  <c r="Q148" i="7"/>
  <c r="P148" i="7" s="1"/>
  <c r="AF36" i="6"/>
  <c r="AD36" i="6"/>
  <c r="AF42" i="6"/>
  <c r="AD42" i="6"/>
  <c r="Q154" i="7"/>
  <c r="P154" i="7" s="1"/>
  <c r="AE42" i="6"/>
  <c r="AZ291" i="8"/>
  <c r="BA291" i="8"/>
  <c r="G15" i="17"/>
  <c r="G28" i="17"/>
  <c r="H28" i="17" s="1"/>
  <c r="N15" i="17"/>
  <c r="J29" i="7"/>
  <c r="J28" i="7"/>
  <c r="J30" i="7"/>
  <c r="E38" i="7"/>
  <c r="I52" i="6"/>
  <c r="G52" i="6"/>
  <c r="Q136" i="7"/>
  <c r="P136" i="7" s="1"/>
  <c r="AF24" i="6"/>
  <c r="AE24" i="6"/>
  <c r="AD24" i="6"/>
  <c r="AF26" i="6"/>
  <c r="Q138" i="7"/>
  <c r="P138" i="7" s="1"/>
  <c r="AE26" i="6"/>
  <c r="AD26" i="6"/>
  <c r="Q130" i="7"/>
  <c r="P130" i="7" s="1"/>
  <c r="AD18" i="6"/>
  <c r="AF18" i="6"/>
  <c r="AE18" i="6"/>
  <c r="AD43" i="6"/>
  <c r="Q155" i="7"/>
  <c r="P155" i="7" s="1"/>
  <c r="AE43" i="6"/>
  <c r="AF43" i="6"/>
  <c r="D292" i="8"/>
  <c r="F292" i="8" s="1"/>
  <c r="B293" i="8"/>
  <c r="AV28" i="8"/>
  <c r="E292" i="8"/>
  <c r="G115" i="7"/>
  <c r="V106" i="7" s="1"/>
  <c r="H115" i="7"/>
  <c r="F59" i="7"/>
  <c r="V146" i="7" s="1"/>
  <c r="G59" i="7"/>
  <c r="G60" i="7"/>
  <c r="F60" i="7"/>
  <c r="V147" i="7" s="1"/>
  <c r="B170" i="7"/>
  <c r="B167" i="7"/>
  <c r="B168" i="7"/>
  <c r="B169" i="7" s="1"/>
  <c r="B171" i="7" s="1"/>
  <c r="B166" i="7"/>
  <c r="G21" i="17"/>
  <c r="N21" i="17"/>
  <c r="G16" i="17"/>
  <c r="I180" i="7"/>
  <c r="N180" i="7" s="1"/>
  <c r="F181" i="7"/>
  <c r="L162" i="7"/>
  <c r="Q139" i="7"/>
  <c r="P139" i="7" s="1"/>
  <c r="AD27" i="6"/>
  <c r="AE27" i="6"/>
  <c r="AF27" i="6"/>
  <c r="AD31" i="6"/>
  <c r="Q143" i="7"/>
  <c r="P143" i="7" s="1"/>
  <c r="AF31" i="6"/>
  <c r="AE31" i="6"/>
  <c r="AF22" i="6"/>
  <c r="AD22" i="6"/>
  <c r="Q134" i="7"/>
  <c r="P134" i="7" s="1"/>
  <c r="AE22" i="6"/>
  <c r="G118" i="7"/>
  <c r="V109" i="7" s="1"/>
  <c r="H118" i="7"/>
  <c r="G62" i="7"/>
  <c r="F62" i="7"/>
  <c r="V149" i="7" s="1"/>
  <c r="H30" i="7"/>
  <c r="H28" i="7"/>
  <c r="H29" i="7"/>
  <c r="D27" i="7"/>
  <c r="E15" i="7"/>
  <c r="M56" i="18"/>
  <c r="B67" i="18"/>
  <c r="H72" i="18" s="1"/>
  <c r="Q144" i="7"/>
  <c r="P144" i="7" s="1"/>
  <c r="AD32" i="6"/>
  <c r="AE32" i="6"/>
  <c r="AF32" i="6"/>
  <c r="Q145" i="7"/>
  <c r="P145" i="7" s="1"/>
  <c r="AF33" i="6"/>
  <c r="AE33" i="6"/>
  <c r="AD33" i="6"/>
  <c r="Q135" i="7"/>
  <c r="P135" i="7" s="1"/>
  <c r="AD23" i="6"/>
  <c r="AE23" i="6"/>
  <c r="AF23" i="6"/>
  <c r="G116" i="7"/>
  <c r="V107" i="7" s="1"/>
  <c r="H116" i="7"/>
  <c r="G113" i="7"/>
  <c r="V104" i="7" s="1"/>
  <c r="H113" i="7"/>
  <c r="G6" i="15"/>
  <c r="F18" i="15"/>
  <c r="F19" i="15"/>
  <c r="E42" i="7"/>
  <c r="I56" i="6"/>
  <c r="G56" i="6"/>
  <c r="K85" i="5"/>
  <c r="O84" i="5"/>
  <c r="E40" i="7"/>
  <c r="I54" i="6"/>
  <c r="E39" i="7"/>
  <c r="G54" i="6"/>
  <c r="Q153" i="7"/>
  <c r="P153" i="7" s="1"/>
  <c r="AD41" i="6"/>
  <c r="AF41" i="6"/>
  <c r="AE41" i="6"/>
  <c r="N176" i="7"/>
  <c r="J176" i="7"/>
  <c r="E44" i="7"/>
  <c r="I58" i="6"/>
  <c r="G58" i="6"/>
  <c r="C15" i="16"/>
  <c r="C12" i="16"/>
  <c r="I51" i="6"/>
  <c r="E37" i="7"/>
  <c r="G51" i="6"/>
  <c r="AB223" i="7"/>
  <c r="AF223" i="7" s="1"/>
  <c r="D49" i="7"/>
  <c r="AD39" i="6"/>
  <c r="AF39" i="6"/>
  <c r="AE39" i="6"/>
  <c r="Q151" i="7"/>
  <c r="P151" i="7" s="1"/>
  <c r="Q137" i="7"/>
  <c r="P137" i="7" s="1"/>
  <c r="AF25" i="6"/>
  <c r="AE25" i="6"/>
  <c r="AD25" i="6"/>
  <c r="AF37" i="6"/>
  <c r="Q149" i="7"/>
  <c r="P149" i="7" s="1"/>
  <c r="AE37" i="6"/>
  <c r="AD37" i="6"/>
  <c r="Q141" i="7"/>
  <c r="P141" i="7" s="1"/>
  <c r="AE29" i="6"/>
  <c r="AD29" i="6"/>
  <c r="AF29" i="6"/>
  <c r="F91" i="5"/>
  <c r="C92" i="5"/>
  <c r="M91" i="5"/>
  <c r="C10" i="16"/>
  <c r="B13" i="9"/>
  <c r="B21" i="7"/>
  <c r="B16" i="17"/>
  <c r="B17" i="17" s="1"/>
  <c r="E5" i="16"/>
  <c r="C22" i="15"/>
  <c r="D21" i="15"/>
  <c r="F21" i="15"/>
  <c r="H21" i="15" s="1"/>
  <c r="E46" i="7"/>
  <c r="I60" i="6"/>
  <c r="G60" i="6"/>
  <c r="Q133" i="7"/>
  <c r="P133" i="7" s="1"/>
  <c r="AF21" i="6"/>
  <c r="AE21" i="6"/>
  <c r="AD21" i="6"/>
  <c r="AF16" i="6"/>
  <c r="Q128" i="7"/>
  <c r="P128" i="7" s="1"/>
  <c r="AE16" i="6"/>
  <c r="AD16" i="6"/>
  <c r="AF38" i="6"/>
  <c r="Q150" i="7"/>
  <c r="P150" i="7" s="1"/>
  <c r="AD38" i="6"/>
  <c r="AE38" i="6"/>
  <c r="BA290" i="8"/>
  <c r="AZ290" i="8"/>
  <c r="G290" i="8"/>
  <c r="H289" i="8"/>
  <c r="AS25" i="8"/>
  <c r="C6" i="16"/>
  <c r="E20" i="15"/>
  <c r="I53" i="6"/>
  <c r="AB213" i="7" s="1"/>
  <c r="AF213" i="7" s="1"/>
  <c r="G53" i="6"/>
  <c r="AD35" i="6"/>
  <c r="Q147" i="7"/>
  <c r="P147" i="7" s="1"/>
  <c r="AE35" i="6"/>
  <c r="AF35" i="6"/>
  <c r="Q129" i="7"/>
  <c r="P129" i="7" s="1"/>
  <c r="AF17" i="6"/>
  <c r="AE17" i="6"/>
  <c r="AD17" i="6"/>
  <c r="Q152" i="7"/>
  <c r="P152" i="7" s="1"/>
  <c r="AE40" i="6"/>
  <c r="AD40" i="6"/>
  <c r="AF40" i="6"/>
  <c r="Q140" i="7"/>
  <c r="P140" i="7" s="1"/>
  <c r="AD28" i="6"/>
  <c r="AE28" i="6"/>
  <c r="AF28" i="6"/>
  <c r="G117" i="7"/>
  <c r="V108" i="7" s="1"/>
  <c r="H117" i="7"/>
  <c r="G119" i="7"/>
  <c r="V110" i="7" s="1"/>
  <c r="H119" i="7"/>
  <c r="B22" i="13"/>
  <c r="D22" i="13" s="1"/>
  <c r="B17" i="13"/>
  <c r="B19" i="13"/>
  <c r="D19" i="13" s="1"/>
  <c r="B18" i="13"/>
  <c r="B20" i="13"/>
  <c r="D11" i="16"/>
  <c r="D14" i="16" s="1"/>
  <c r="D18" i="16" s="1"/>
  <c r="D9" i="16"/>
  <c r="D8" i="16"/>
  <c r="D6" i="16"/>
  <c r="D7" i="16"/>
  <c r="D10" i="16"/>
  <c r="I57" i="6"/>
  <c r="E43" i="7"/>
  <c r="G57" i="6"/>
  <c r="I61" i="6"/>
  <c r="E47" i="7"/>
  <c r="G61" i="6"/>
  <c r="AF44" i="6"/>
  <c r="Q156" i="7"/>
  <c r="P156" i="7" s="1"/>
  <c r="AE44" i="6"/>
  <c r="AD44" i="6"/>
  <c r="Q131" i="7"/>
  <c r="P131" i="7" s="1"/>
  <c r="AF19" i="6"/>
  <c r="AE19" i="6"/>
  <c r="AD19" i="6"/>
  <c r="AF30" i="6"/>
  <c r="Q142" i="7"/>
  <c r="P142" i="7" s="1"/>
  <c r="AE30" i="6"/>
  <c r="AD30" i="6"/>
  <c r="AF34" i="6"/>
  <c r="AE34" i="6"/>
  <c r="AD34" i="6"/>
  <c r="Q146" i="7"/>
  <c r="P146" i="7" s="1"/>
  <c r="G114" i="7"/>
  <c r="V105" i="7" s="1"/>
  <c r="H114" i="7"/>
  <c r="I29" i="7"/>
  <c r="I30" i="7"/>
  <c r="I28" i="7"/>
  <c r="B70" i="18" l="1"/>
  <c r="B71" i="18" s="1"/>
  <c r="H290" i="8"/>
  <c r="G291" i="8"/>
  <c r="AS26" i="8"/>
  <c r="D46" i="7"/>
  <c r="AB220" i="7"/>
  <c r="AF220" i="7" s="1"/>
  <c r="F22" i="15"/>
  <c r="H22" i="15" s="1"/>
  <c r="D22" i="15"/>
  <c r="E22" i="15" s="1"/>
  <c r="C23" i="15"/>
  <c r="F5" i="16"/>
  <c r="H91" i="5"/>
  <c r="J91" i="5" s="1"/>
  <c r="N91" i="5" s="1"/>
  <c r="G91" i="5"/>
  <c r="E91" i="5"/>
  <c r="L91" i="5"/>
  <c r="B75" i="18"/>
  <c r="B73" i="18"/>
  <c r="B72" i="18"/>
  <c r="H60" i="18"/>
  <c r="H61" i="18" s="1"/>
  <c r="H69" i="18"/>
  <c r="B294" i="8"/>
  <c r="D293" i="8"/>
  <c r="E293" i="8"/>
  <c r="AV29" i="8"/>
  <c r="E7" i="16"/>
  <c r="E8" i="16"/>
  <c r="E11" i="16"/>
  <c r="E14" i="16" s="1"/>
  <c r="E18" i="16" s="1"/>
  <c r="E6" i="16"/>
  <c r="E10" i="16"/>
  <c r="E9" i="16"/>
  <c r="D44" i="7"/>
  <c r="AB218" i="7"/>
  <c r="AF218" i="7" s="1"/>
  <c r="BA292" i="8"/>
  <c r="AZ292" i="8"/>
  <c r="AB216" i="7"/>
  <c r="AF216" i="7" s="1"/>
  <c r="D42" i="7"/>
  <c r="AB221" i="7"/>
  <c r="AF221" i="7" s="1"/>
  <c r="D47" i="7"/>
  <c r="D15" i="16"/>
  <c r="D12" i="16"/>
  <c r="K176" i="7"/>
  <c r="J177" i="7"/>
  <c r="V131" i="7"/>
  <c r="H19" i="15"/>
  <c r="E19" i="15"/>
  <c r="D38" i="7"/>
  <c r="AB212" i="7"/>
  <c r="AF212" i="7" s="1"/>
  <c r="C69" i="6"/>
  <c r="C70" i="6"/>
  <c r="C72" i="6"/>
  <c r="E59" i="6"/>
  <c r="D59" i="6"/>
  <c r="C71" i="6"/>
  <c r="H18" i="15"/>
  <c r="K18" i="15" s="1"/>
  <c r="E18" i="15"/>
  <c r="D129" i="7"/>
  <c r="D128" i="7"/>
  <c r="D127" i="7"/>
  <c r="P127" i="7"/>
  <c r="I9" i="17"/>
  <c r="B23" i="13"/>
  <c r="D23" i="13" s="1"/>
  <c r="D20" i="13"/>
  <c r="L36" i="13"/>
  <c r="B15" i="9"/>
  <c r="B21" i="13"/>
  <c r="AB217" i="7"/>
  <c r="AF217" i="7" s="1"/>
  <c r="D43" i="7"/>
  <c r="L35" i="13"/>
  <c r="D18" i="13"/>
  <c r="AB214" i="7"/>
  <c r="AF214" i="7" s="1"/>
  <c r="D39" i="7"/>
  <c r="D40" i="7"/>
  <c r="D37" i="7"/>
  <c r="AB211" i="7"/>
  <c r="AF211" i="7" s="1"/>
  <c r="I6" i="15"/>
  <c r="G7" i="15"/>
  <c r="I7" i="15" s="1"/>
  <c r="AB215" i="7"/>
  <c r="AF215" i="7" s="1"/>
  <c r="D41" i="7"/>
  <c r="B25" i="13"/>
  <c r="D25" i="13" s="1"/>
  <c r="D17" i="13"/>
  <c r="D24" i="13"/>
  <c r="E21" i="15"/>
  <c r="F92" i="5"/>
  <c r="M92" i="5"/>
  <c r="C93" i="5"/>
  <c r="O85" i="5"/>
  <c r="K86" i="5"/>
  <c r="F182" i="7"/>
  <c r="I181" i="7"/>
  <c r="N181" i="7" s="1"/>
  <c r="B76" i="18" l="1"/>
  <c r="H70" i="18"/>
  <c r="H75" i="18"/>
  <c r="C73" i="6"/>
  <c r="D73" i="6" s="1"/>
  <c r="D70" i="6"/>
  <c r="D69" i="6"/>
  <c r="B63" i="7"/>
  <c r="E15" i="16"/>
  <c r="E12" i="16"/>
  <c r="F293" i="8"/>
  <c r="C61" i="7"/>
  <c r="D71" i="6"/>
  <c r="E294" i="8"/>
  <c r="D294" i="8"/>
  <c r="AV30" i="8"/>
  <c r="B295" i="8"/>
  <c r="C127" i="7"/>
  <c r="C129" i="7"/>
  <c r="C128" i="7"/>
  <c r="H291" i="8"/>
  <c r="G292" i="8"/>
  <c r="AS27" i="8"/>
  <c r="G92" i="5"/>
  <c r="E92" i="5"/>
  <c r="H92" i="5"/>
  <c r="J92" i="5" s="1"/>
  <c r="N92" i="5" s="1"/>
  <c r="L92" i="5"/>
  <c r="B19" i="16"/>
  <c r="B19" i="15"/>
  <c r="K19" i="15" s="1"/>
  <c r="L18" i="15"/>
  <c r="F183" i="7"/>
  <c r="I182" i="7"/>
  <c r="N182" i="7" s="1"/>
  <c r="K87" i="5"/>
  <c r="O86" i="5"/>
  <c r="H59" i="6"/>
  <c r="F59" i="6"/>
  <c r="F10" i="16"/>
  <c r="F8" i="16"/>
  <c r="F7" i="16"/>
  <c r="F6" i="16"/>
  <c r="F9" i="16"/>
  <c r="F11" i="16"/>
  <c r="F14" i="16" s="1"/>
  <c r="F18" i="16" s="1"/>
  <c r="F93" i="5"/>
  <c r="C94" i="5"/>
  <c r="M93" i="5"/>
  <c r="G30" i="17"/>
  <c r="H30" i="17" s="1"/>
  <c r="K9" i="17"/>
  <c r="B42" i="17"/>
  <c r="D21" i="13"/>
  <c r="D130" i="7"/>
  <c r="D131" i="7"/>
  <c r="D132" i="7" s="1"/>
  <c r="D133" i="7" s="1"/>
  <c r="D72" i="6"/>
  <c r="D61" i="7"/>
  <c r="B61" i="7" s="1"/>
  <c r="D28" i="7"/>
  <c r="C74" i="6"/>
  <c r="D74" i="6" s="1"/>
  <c r="D63" i="7"/>
  <c r="K177" i="7"/>
  <c r="V132" i="7"/>
  <c r="J178" i="7"/>
  <c r="H63" i="18"/>
  <c r="H64" i="18" s="1"/>
  <c r="H71" i="18"/>
  <c r="C24" i="15"/>
  <c r="F23" i="15"/>
  <c r="H23" i="15" s="1"/>
  <c r="D23" i="15"/>
  <c r="E23" i="15" s="1"/>
  <c r="G5" i="16"/>
  <c r="F294" i="8" l="1"/>
  <c r="C130" i="7"/>
  <c r="C131" i="7"/>
  <c r="C132" i="7" s="1"/>
  <c r="C133" i="7" s="1"/>
  <c r="AZ293" i="8"/>
  <c r="BA293" i="8"/>
  <c r="G10" i="16"/>
  <c r="G8" i="16"/>
  <c r="G6" i="16"/>
  <c r="G7" i="16"/>
  <c r="G9" i="16"/>
  <c r="G11" i="16"/>
  <c r="G14" i="16" s="1"/>
  <c r="G18" i="16" s="1"/>
  <c r="F12" i="16"/>
  <c r="F15" i="16"/>
  <c r="O87" i="5"/>
  <c r="K88" i="5"/>
  <c r="N17" i="17"/>
  <c r="G18" i="17"/>
  <c r="N18" i="17"/>
  <c r="G17" i="17"/>
  <c r="I183" i="7"/>
  <c r="N183" i="7" s="1"/>
  <c r="F184" i="7"/>
  <c r="F24" i="15"/>
  <c r="H24" i="15" s="1"/>
  <c r="H5" i="16"/>
  <c r="C25" i="15"/>
  <c r="D24" i="15"/>
  <c r="E24" i="15" s="1"/>
  <c r="F61" i="7"/>
  <c r="V148" i="7" s="1"/>
  <c r="G61" i="7"/>
  <c r="C19" i="16"/>
  <c r="L19" i="15"/>
  <c r="B20" i="15"/>
  <c r="K20" i="15" s="1"/>
  <c r="F94" i="5"/>
  <c r="M94" i="5"/>
  <c r="C95" i="5"/>
  <c r="I59" i="6"/>
  <c r="E45" i="7"/>
  <c r="G59" i="6"/>
  <c r="G293" i="8"/>
  <c r="H292" i="8"/>
  <c r="AS28" i="8"/>
  <c r="E295" i="8"/>
  <c r="B296" i="8"/>
  <c r="D295" i="8"/>
  <c r="AV31" i="8"/>
  <c r="V133" i="7"/>
  <c r="K178" i="7"/>
  <c r="J179" i="7"/>
  <c r="L93" i="5"/>
  <c r="H93" i="5"/>
  <c r="J93" i="5" s="1"/>
  <c r="N93" i="5" s="1"/>
  <c r="G93" i="5"/>
  <c r="E93" i="5"/>
  <c r="G63" i="7"/>
  <c r="F63" i="7"/>
  <c r="F295" i="8" l="1"/>
  <c r="D45" i="7"/>
  <c r="AB219" i="7"/>
  <c r="AF219" i="7" s="1"/>
  <c r="B10" i="6"/>
  <c r="B297" i="8"/>
  <c r="E296" i="8"/>
  <c r="D296" i="8"/>
  <c r="AV32" i="8"/>
  <c r="M95" i="5"/>
  <c r="F95" i="5"/>
  <c r="G12" i="16"/>
  <c r="G15" i="16"/>
  <c r="G94" i="5"/>
  <c r="E94" i="5"/>
  <c r="H94" i="5"/>
  <c r="J94" i="5" s="1"/>
  <c r="N94" i="5" s="1"/>
  <c r="L94" i="5"/>
  <c r="BA294" i="8"/>
  <c r="AZ294" i="8"/>
  <c r="V134" i="7"/>
  <c r="J180" i="7"/>
  <c r="K179" i="7"/>
  <c r="G294" i="8"/>
  <c r="H293" i="8"/>
  <c r="AS29" i="8"/>
  <c r="H6" i="16"/>
  <c r="H9" i="16"/>
  <c r="H8" i="16"/>
  <c r="H7" i="16"/>
  <c r="H11" i="16"/>
  <c r="H14" i="16" s="1"/>
  <c r="H18" i="16" s="1"/>
  <c r="H10" i="16"/>
  <c r="K89" i="5"/>
  <c r="O88" i="5"/>
  <c r="V150" i="7"/>
  <c r="B65" i="7"/>
  <c r="A230" i="7" s="1"/>
  <c r="L20" i="15"/>
  <c r="D19" i="16"/>
  <c r="B21" i="15"/>
  <c r="K21" i="15" s="1"/>
  <c r="C26" i="15"/>
  <c r="I5" i="16"/>
  <c r="D25" i="15"/>
  <c r="F25" i="15"/>
  <c r="H25" i="15" s="1"/>
  <c r="F185" i="7"/>
  <c r="I184" i="7"/>
  <c r="N184" i="7" s="1"/>
  <c r="F296" i="8" l="1"/>
  <c r="B298" i="8"/>
  <c r="E297" i="8"/>
  <c r="D297" i="8"/>
  <c r="F297" i="8" s="1"/>
  <c r="AV33" i="8"/>
  <c r="F186" i="7"/>
  <c r="I185" i="7"/>
  <c r="N185" i="7" s="1"/>
  <c r="K180" i="7"/>
  <c r="V135" i="7"/>
  <c r="J181" i="7"/>
  <c r="H12" i="16"/>
  <c r="H15" i="16"/>
  <c r="C216" i="7"/>
  <c r="C212" i="7"/>
  <c r="F215" i="7"/>
  <c r="B215" i="7"/>
  <c r="E216" i="7"/>
  <c r="E215" i="7"/>
  <c r="C215" i="7"/>
  <c r="E214" i="7"/>
  <c r="B212" i="7"/>
  <c r="D216" i="7"/>
  <c r="D215" i="7"/>
  <c r="F213" i="7"/>
  <c r="F216" i="7"/>
  <c r="E212" i="7"/>
  <c r="C213" i="7"/>
  <c r="F214" i="7"/>
  <c r="B216" i="7"/>
  <c r="F212" i="7"/>
  <c r="B214" i="7"/>
  <c r="D214" i="7"/>
  <c r="D213" i="7"/>
  <c r="B213" i="7"/>
  <c r="D212" i="7"/>
  <c r="E213" i="7"/>
  <c r="C214" i="7"/>
  <c r="G295" i="8"/>
  <c r="AS30" i="8"/>
  <c r="H294" i="8"/>
  <c r="L95" i="5"/>
  <c r="H95" i="5"/>
  <c r="J95" i="5" s="1"/>
  <c r="N95" i="5" s="1"/>
  <c r="Q84" i="5" s="1"/>
  <c r="G95" i="5"/>
  <c r="E95" i="5"/>
  <c r="E25" i="15"/>
  <c r="I9" i="16"/>
  <c r="I8" i="16"/>
  <c r="I10" i="16"/>
  <c r="I11" i="16"/>
  <c r="I14" i="16" s="1"/>
  <c r="I18" i="16" s="1"/>
  <c r="I6" i="16"/>
  <c r="I7" i="16"/>
  <c r="AZ295" i="8"/>
  <c r="BA295" i="8"/>
  <c r="E19" i="16"/>
  <c r="B22" i="15"/>
  <c r="K22" i="15" s="1"/>
  <c r="L21" i="15"/>
  <c r="J5" i="16"/>
  <c r="C27" i="15"/>
  <c r="F26" i="15"/>
  <c r="H26" i="15" s="1"/>
  <c r="D26" i="15"/>
  <c r="E26" i="15" s="1"/>
  <c r="O89" i="5"/>
  <c r="K90" i="5"/>
  <c r="I12" i="16" l="1"/>
  <c r="I15" i="16"/>
  <c r="J11" i="16"/>
  <c r="J14" i="16" s="1"/>
  <c r="J18" i="16" s="1"/>
  <c r="J9" i="16"/>
  <c r="J7" i="16"/>
  <c r="J10" i="16"/>
  <c r="J8" i="16"/>
  <c r="J6" i="16"/>
  <c r="K5" i="16"/>
  <c r="C28" i="15"/>
  <c r="D27" i="15"/>
  <c r="F27" i="15"/>
  <c r="H27" i="15" s="1"/>
  <c r="H295" i="8"/>
  <c r="G296" i="8"/>
  <c r="AS31" i="8"/>
  <c r="F187" i="7"/>
  <c r="I187" i="7" s="1"/>
  <c r="N187" i="7" s="1"/>
  <c r="M177" i="7" s="1"/>
  <c r="I186" i="7"/>
  <c r="N186" i="7" s="1"/>
  <c r="BA297" i="8"/>
  <c r="AZ297" i="8"/>
  <c r="F19" i="16"/>
  <c r="L22" i="15"/>
  <c r="B23" i="15"/>
  <c r="K23" i="15" s="1"/>
  <c r="K91" i="5"/>
  <c r="O90" i="5"/>
  <c r="K181" i="7"/>
  <c r="V136" i="7"/>
  <c r="J182" i="7"/>
  <c r="E298" i="8"/>
  <c r="D298" i="8"/>
  <c r="AV34" i="8"/>
  <c r="AZ296" i="8"/>
  <c r="BA296" i="8"/>
  <c r="F298" i="8" l="1"/>
  <c r="G19" i="16"/>
  <c r="B24" i="15"/>
  <c r="K24" i="15" s="1"/>
  <c r="L23" i="15"/>
  <c r="G297" i="8"/>
  <c r="H296" i="8"/>
  <c r="AS32" i="8"/>
  <c r="K11" i="16"/>
  <c r="K14" i="16" s="1"/>
  <c r="K18" i="16" s="1"/>
  <c r="K9" i="16"/>
  <c r="K7" i="16"/>
  <c r="K10" i="16"/>
  <c r="K6" i="16"/>
  <c r="K8" i="16"/>
  <c r="V137" i="7"/>
  <c r="J183" i="7"/>
  <c r="K182" i="7"/>
  <c r="J15" i="16"/>
  <c r="J12" i="16"/>
  <c r="E27" i="15"/>
  <c r="D28" i="15"/>
  <c r="C29" i="15"/>
  <c r="F28" i="15"/>
  <c r="H28" i="15" s="1"/>
  <c r="L5" i="16"/>
  <c r="O91" i="5"/>
  <c r="K92" i="5"/>
  <c r="E28" i="15" l="1"/>
  <c r="G298" i="8"/>
  <c r="H297" i="8"/>
  <c r="AS33" i="8"/>
  <c r="C30" i="15"/>
  <c r="D29" i="15"/>
  <c r="F29" i="15"/>
  <c r="H29" i="15" s="1"/>
  <c r="M5" i="16"/>
  <c r="K15" i="16"/>
  <c r="K12" i="16"/>
  <c r="BA298" i="8"/>
  <c r="K290" i="8" s="1"/>
  <c r="AZ298" i="8"/>
  <c r="K289" i="8" s="1"/>
  <c r="L24" i="15"/>
  <c r="H19" i="16"/>
  <c r="B25" i="15"/>
  <c r="K25" i="15" s="1"/>
  <c r="K93" i="5"/>
  <c r="O92" i="5"/>
  <c r="L11" i="16"/>
  <c r="L14" i="16" s="1"/>
  <c r="L18" i="16" s="1"/>
  <c r="L10" i="16"/>
  <c r="L9" i="16"/>
  <c r="L7" i="16"/>
  <c r="L6" i="16"/>
  <c r="L8" i="16"/>
  <c r="J184" i="7"/>
  <c r="K183" i="7"/>
  <c r="V138" i="7"/>
  <c r="V139" i="7" l="1"/>
  <c r="J185" i="7"/>
  <c r="K184" i="7"/>
  <c r="K94" i="5"/>
  <c r="O93" i="5"/>
  <c r="M11" i="16"/>
  <c r="M14" i="16" s="1"/>
  <c r="M18" i="16" s="1"/>
  <c r="M9" i="16"/>
  <c r="M8" i="16"/>
  <c r="M10" i="16"/>
  <c r="M6" i="16"/>
  <c r="M7" i="16"/>
  <c r="I19" i="16"/>
  <c r="B26" i="15"/>
  <c r="K26" i="15" s="1"/>
  <c r="L25" i="15"/>
  <c r="E29" i="15"/>
  <c r="L15" i="16"/>
  <c r="L12" i="16"/>
  <c r="F30" i="15"/>
  <c r="H30" i="15" s="1"/>
  <c r="D30" i="15"/>
  <c r="E30" i="15" s="1"/>
  <c r="C31" i="15"/>
  <c r="K288" i="8"/>
  <c r="H298" i="8"/>
  <c r="F20" i="8" s="1"/>
  <c r="AS34" i="8"/>
  <c r="K291" i="8"/>
  <c r="M12" i="16" l="1"/>
  <c r="M15" i="16"/>
  <c r="C32" i="15"/>
  <c r="F31" i="15"/>
  <c r="H31" i="15" s="1"/>
  <c r="D31" i="15"/>
  <c r="E31" i="15" s="1"/>
  <c r="J19" i="16"/>
  <c r="B27" i="15"/>
  <c r="K27" i="15" s="1"/>
  <c r="L26" i="15"/>
  <c r="K95" i="5"/>
  <c r="O95" i="5" s="1"/>
  <c r="O94" i="5"/>
  <c r="K185" i="7"/>
  <c r="J186" i="7"/>
  <c r="V140" i="7"/>
  <c r="K19" i="16" l="1"/>
  <c r="L27" i="15"/>
  <c r="B28" i="15"/>
  <c r="K28" i="15" s="1"/>
  <c r="V141" i="7"/>
  <c r="J187" i="7"/>
  <c r="K186" i="7"/>
  <c r="F32" i="15"/>
  <c r="H32" i="15" s="1"/>
  <c r="C33" i="15"/>
  <c r="D32" i="15"/>
  <c r="Q85" i="5"/>
  <c r="C34" i="15" l="1"/>
  <c r="D33" i="15"/>
  <c r="F33" i="15"/>
  <c r="H33" i="15" s="1"/>
  <c r="K187" i="7"/>
  <c r="M176" i="7" s="1"/>
  <c r="M178" i="7"/>
  <c r="V142" i="7"/>
  <c r="M179" i="7"/>
  <c r="L28" i="15"/>
  <c r="L19" i="16"/>
  <c r="B29" i="15"/>
  <c r="K29" i="15" s="1"/>
  <c r="E32" i="15"/>
  <c r="E33" i="15" l="1"/>
  <c r="G11" i="15"/>
  <c r="I11" i="15" s="1"/>
  <c r="B30" i="15"/>
  <c r="K30" i="15" s="1"/>
  <c r="L29" i="15"/>
  <c r="M19" i="16"/>
  <c r="C35" i="15"/>
  <c r="F34" i="15"/>
  <c r="H34" i="15" s="1"/>
  <c r="D34" i="15"/>
  <c r="E34" i="15" s="1"/>
  <c r="L30" i="15" l="1"/>
  <c r="B31" i="15"/>
  <c r="K31" i="15" s="1"/>
  <c r="D35" i="15"/>
  <c r="F35" i="15"/>
  <c r="H35" i="15" s="1"/>
  <c r="E35" i="15" l="1"/>
  <c r="B32" i="15"/>
  <c r="K32" i="15" s="1"/>
  <c r="L31" i="15"/>
  <c r="L32" i="15" l="1"/>
  <c r="B33" i="15"/>
  <c r="K33" i="15" s="1"/>
  <c r="B34" i="15" l="1"/>
  <c r="K34" i="15" s="1"/>
  <c r="L33" i="15"/>
  <c r="B35" i="15" l="1"/>
  <c r="K35" i="15" s="1"/>
  <c r="L34" i="15"/>
  <c r="L35" i="15" l="1"/>
  <c r="G10" i="15"/>
  <c r="I10" i="15" s="1"/>
  <c r="G8" i="15" l="1"/>
  <c r="G9" i="15"/>
  <c r="I9" i="15" s="1"/>
  <c r="I8" i="15" l="1"/>
  <c r="M5" i="17"/>
  <c r="B32" i="17"/>
  <c r="D32" i="17" s="1"/>
  <c r="B34" i="17" s="1"/>
  <c r="B42" i="9" s="1"/>
  <c r="B43" i="9"/>
  <c r="G22" i="17"/>
</calcChain>
</file>

<file path=xl/sharedStrings.xml><?xml version="1.0" encoding="utf-8"?>
<sst xmlns="http://schemas.openxmlformats.org/spreadsheetml/2006/main" count="3976" uniqueCount="2413">
  <si>
    <t>NivrāaCare — Global Unit Economics Inputs</t>
  </si>
  <si>
    <t>Input</t>
  </si>
  <si>
    <t>Value</t>
  </si>
  <si>
    <t>Unit</t>
  </si>
  <si>
    <t>Source / Note</t>
  </si>
  <si>
    <t>₹ / hour</t>
  </si>
  <si>
    <t>Angel cost per hour</t>
  </si>
  <si>
    <t>₹ / Angel hour</t>
  </si>
  <si>
    <t>Founder working assumption: ₹700 ÷ 4 hours</t>
  </si>
  <si>
    <t xml:space="preserve">When we are keeping 3 Angels on payroll, then we do not have to pay them on per hour basis, so I have made per hour cost as ZERO.Angel payment 14K Per month </t>
  </si>
  <si>
    <t>GST on care service</t>
  </si>
  <si>
    <t>%</t>
  </si>
  <si>
    <t>Illustrative assumption; confirm with CA</t>
  </si>
  <si>
    <t>Payment platform fee</t>
  </si>
  <si>
    <t>% of customer collection</t>
  </si>
  <si>
    <t>Editable payment gateway assumption</t>
  </si>
  <si>
    <t>Payment platform fixed fee</t>
  </si>
  <si>
    <t>₹ / transaction</t>
  </si>
  <si>
    <t>Editable</t>
  </si>
  <si>
    <t>Ops / support allocation</t>
  </si>
  <si>
    <t>₹ / journey</t>
  </si>
  <si>
    <t>Founder working assumption</t>
  </si>
  <si>
    <t>Insurance / risk reserve</t>
  </si>
  <si>
    <t>WhatsApp / SMS / communication</t>
  </si>
  <si>
    <t>BGV + training allocation</t>
  </si>
  <si>
    <t>Refund / service recovery reserve</t>
  </si>
  <si>
    <t>Average third-party cab actual</t>
  </si>
  <si>
    <t>Founder working assumption for Case 2</t>
  </si>
  <si>
    <t>Transport coordination fee</t>
  </si>
  <si>
    <t>GST on transport coordination fee</t>
  </si>
  <si>
    <t>Set to applicable rate after CA confirmation</t>
  </si>
  <si>
    <t>Transport ops / booking support</t>
  </si>
  <si>
    <t>New customer acquisition cost (sensitivity only)</t>
  </si>
  <si>
    <t>₹ / new family</t>
  </si>
  <si>
    <t>Illustrative founder assumption for repeat-rate sensitivity</t>
  </si>
  <si>
    <t>Base package hours (sensitivity only)</t>
  </si>
  <si>
    <t>hours</t>
  </si>
  <si>
    <t>Used only in additional-hour sensitivity</t>
  </si>
  <si>
    <t>Service</t>
  </si>
  <si>
    <t>Category</t>
  </si>
  <si>
    <t>Hours</t>
  </si>
  <si>
    <t>Rate Multiplier</t>
  </si>
  <si>
    <t>Fixed Premium / Fee</t>
  </si>
  <si>
    <t>No. of Angels</t>
  </si>
  <si>
    <t>Angel Cost/Hr Override</t>
  </si>
  <si>
    <t>Cab Cost Override</t>
  </si>
  <si>
    <t>Coord. Fee Override</t>
  </si>
  <si>
    <t>Net Service Revenue</t>
  </si>
  <si>
    <t>Effective Angel Cost/Hr</t>
  </si>
  <si>
    <t>Angel Cost</t>
  </si>
  <si>
    <t>Payment Platform Cost</t>
  </si>
  <si>
    <t>Other Variable Care Cost</t>
  </si>
  <si>
    <t>Effective 3P Cab Cost</t>
  </si>
  <si>
    <t>Effective Coordination Fee</t>
  </si>
  <si>
    <t>Customer Transport Charge</t>
  </si>
  <si>
    <t>Transport Payment Cost</t>
  </si>
  <si>
    <t>Transport Ops Cost</t>
  </si>
  <si>
    <t>CASE 2 Total Customer Outflow</t>
  </si>
  <si>
    <t>CASE 2 Profit Uplift</t>
  </si>
  <si>
    <t>Hospital Visit</t>
  </si>
  <si>
    <t>Medical Visit</t>
  </si>
  <si>
    <t>Clinic Visit</t>
  </si>
  <si>
    <t>Diagnostic Center Visit</t>
  </si>
  <si>
    <t>Health Check-up Concierge</t>
  </si>
  <si>
    <t>Hospital Admission Concierge</t>
  </si>
  <si>
    <t>Hospital Support</t>
  </si>
  <si>
    <t>Hospital Discharge Concierge</t>
  </si>
  <si>
    <t>Overnight Hospital Concierge</t>
  </si>
  <si>
    <t>Multi-Day Hospital Concierge (per 12h shift)</t>
  </si>
  <si>
    <t>Day Surgery / Procedure Concierge</t>
  </si>
  <si>
    <t>Procedure &amp; Treatment</t>
  </si>
  <si>
    <t>Pre-Surgery Concierge</t>
  </si>
  <si>
    <t>Post-Surgery Follow-up</t>
  </si>
  <si>
    <t>Dialysis Visit Concierge</t>
  </si>
  <si>
    <t>Recurring Treatment</t>
  </si>
  <si>
    <t>Chemotherapy Visit Concierge</t>
  </si>
  <si>
    <t>Radiation Therapy Concierge</t>
  </si>
  <si>
    <t>Physiotherapy / Rehab Visit</t>
  </si>
  <si>
    <t>Chronic Care Follow-up</t>
  </si>
  <si>
    <t>Continuing Care</t>
  </si>
  <si>
    <t>NRI Parent Medical Concierge</t>
  </si>
  <si>
    <t>Second Opinion Concierge</t>
  </si>
  <si>
    <t>Medical Coordination</t>
  </si>
  <si>
    <t>Teleconsultation Concierge</t>
  </si>
  <si>
    <t>Medical Records Concierge</t>
  </si>
  <si>
    <t>Insurance / TPA Desk Concierge</t>
  </si>
  <si>
    <t>Hospital Transfer Concierge</t>
  </si>
  <si>
    <t>Rehab / Nursing Facility Transfer</t>
  </si>
  <si>
    <t>24×7 Urgent Care Coordination</t>
  </si>
  <si>
    <t>Urgent Coordination</t>
  </si>
  <si>
    <t>Doctor-at-Home Coordination</t>
  </si>
  <si>
    <t>Nurse-at-Home Coordination</t>
  </si>
  <si>
    <t>Pharmacy / Prescription Coordination</t>
  </si>
  <si>
    <t>Family Medical Update Concierge</t>
  </si>
  <si>
    <t>NivrāaCare — Medical Concierge Service Catalogue</t>
  </si>
  <si>
    <t>Typical Concierge Scope</t>
  </si>
  <si>
    <t>Clinical Boundary</t>
  </si>
  <si>
    <t>Accompany patient, navigate registration/queues, coordinate visit, family updates, return handover.</t>
  </si>
  <si>
    <t>NivrāaCare concierge does not diagnose, prescribe, administer clinical treatment, or replace licensed medical professionals.</t>
  </si>
  <si>
    <t>Specialist Consultation</t>
  </si>
  <si>
    <t>Admission/discharge/overnight non-clinical presence, logistics, documents, family communication.</t>
  </si>
  <si>
    <t>Pre/post procedure logistics, waiting coordination, non-clinical accompaniment and handover.</t>
  </si>
  <si>
    <t>Repeat appointment coordination, accompaniment, timeline updates and safe return.</t>
  </si>
  <si>
    <t>Ongoing family coordination, scheduled follow-ups, authorised updates and continuity.</t>
  </si>
  <si>
    <t>Coordinate appointments, records, providers, transfers, TPA/pharmacy/equipment logistics.</t>
  </si>
  <si>
    <t>Rapid non-clinical coordination of family, hospital, transport/ambulance and handover.</t>
  </si>
  <si>
    <t>Medical Equipment Coordination</t>
  </si>
  <si>
    <t>NivrāaCare — Whitefield Monthly Revenue &amp; Profit Projection</t>
  </si>
  <si>
    <t>Selected Scenario</t>
  </si>
  <si>
    <t>Conservative</t>
  </si>
  <si>
    <t>Scenario Driver</t>
  </si>
  <si>
    <t>Base</t>
  </si>
  <si>
    <t>Aggressive</t>
  </si>
  <si>
    <t>Selected</t>
  </si>
  <si>
    <t>Selected Scenario — Monthly Summary</t>
  </si>
  <si>
    <t>Variable Cost Breakdown</t>
  </si>
  <si>
    <t>Operating Input</t>
  </si>
  <si>
    <t>Active Angels</t>
  </si>
  <si>
    <t>Demand</t>
  </si>
  <si>
    <t>Variable Cost</t>
  </si>
  <si>
    <t>Monthly ₹</t>
  </si>
  <si>
    <t>Driver</t>
  </si>
  <si>
    <t>Leads / day</t>
  </si>
  <si>
    <t>Leads / month</t>
  </si>
  <si>
    <t>Angel payouts</t>
  </si>
  <si>
    <t>Hours × Angel cost</t>
  </si>
  <si>
    <t>Operating days / month</t>
  </si>
  <si>
    <t>Booking conversion</t>
  </si>
  <si>
    <t>Confirmed journeys</t>
  </si>
  <si>
    <t>Payment platform — care service</t>
  </si>
  <si>
    <t>Service collections × fee</t>
  </si>
  <si>
    <t>Max working hours / Angel / day</t>
  </si>
  <si>
    <t>Cancellation</t>
  </si>
  <si>
    <t>Cancelled journeys</t>
  </si>
  <si>
    <t>Per completed journey</t>
  </si>
  <si>
    <t>Target Angel utilization</t>
  </si>
  <si>
    <t>No-show / refund</t>
  </si>
  <si>
    <t>No-show / refund journeys</t>
  </si>
  <si>
    <t>Avg journeys / Angel / day cap</t>
  </si>
  <si>
    <t>Target utilization</t>
  </si>
  <si>
    <t>Demand-completed journeys</t>
  </si>
  <si>
    <t>WhatsApp / SMS</t>
  </si>
  <si>
    <t>Customer leads / enquiries per day</t>
  </si>
  <si>
    <t>Case 2 transport mix</t>
  </si>
  <si>
    <t>Booking conversion rate</t>
  </si>
  <si>
    <t>Repeat journey mix</t>
  </si>
  <si>
    <t>Capacity</t>
  </si>
  <si>
    <t>Cancellation rate</t>
  </si>
  <si>
    <t>Total Angel hours available</t>
  </si>
  <si>
    <t>Third-party cab actual</t>
  </si>
  <si>
    <t>Case 2 journeys</t>
  </si>
  <si>
    <t>No-show / refund rate</t>
  </si>
  <si>
    <t>Productive Angel hours</t>
  </si>
  <si>
    <t>Transport payment cost</t>
  </si>
  <si>
    <t>Case 2 transport collections</t>
  </si>
  <si>
    <t>Case 1 mix — patient arranges transport</t>
  </si>
  <si>
    <t>Weighted avg service hours</t>
  </si>
  <si>
    <t>Case 2 mix — NivrāaCare arranges 3P cab</t>
  </si>
  <si>
    <t>Max journeys by Angel hours</t>
  </si>
  <si>
    <t>Repeat customer journey mix</t>
  </si>
  <si>
    <t>Max journeys by daily journey cap</t>
  </si>
  <si>
    <t>New customer journey mix</t>
  </si>
  <si>
    <t>Maximum journeys possible</t>
  </si>
  <si>
    <t>Avg journeys / repeat family / month</t>
  </si>
  <si>
    <t>Completed journeys (actual)</t>
  </si>
  <si>
    <t>Unmet demand</t>
  </si>
  <si>
    <t>Editable Monthly Fixed Costs</t>
  </si>
  <si>
    <t>Actual Angel utilization</t>
  </si>
  <si>
    <t>Fixed Cost</t>
  </si>
  <si>
    <t>Comment</t>
  </si>
  <si>
    <t>Capacity surplus / (shortage) hours</t>
  </si>
  <si>
    <t>Ops Manager / Care Operations</t>
  </si>
  <si>
    <t>Initial Whitefield operating lead</t>
  </si>
  <si>
    <t>Customer Support</t>
  </si>
  <si>
    <t>Customer + family support</t>
  </si>
  <si>
    <t>Revenue &amp; Profitability</t>
  </si>
  <si>
    <t>Transport Mix / Contribution</t>
  </si>
  <si>
    <t>Technology / Cloud / Tools</t>
  </si>
  <si>
    <t>Cloud, monitoring, software</t>
  </si>
  <si>
    <t>Gross customer service revenue</t>
  </si>
  <si>
    <t>Case 1 completed journeys</t>
  </si>
  <si>
    <t>Marketing</t>
  </si>
  <si>
    <t>Pilot acquisition budget</t>
  </si>
  <si>
    <t>Transport customer collections</t>
  </si>
  <si>
    <t>Case 2 completed journeys</t>
  </si>
  <si>
    <t>Office / Admin</t>
  </si>
  <si>
    <t>Admin, travel, supplies</t>
  </si>
  <si>
    <t>Total customer collections</t>
  </si>
  <si>
    <t>Case 1 contribution</t>
  </si>
  <si>
    <t>Legal / CA / Compliance</t>
  </si>
  <si>
    <t>Monthly allocation</t>
  </si>
  <si>
    <t>Illustrative GST on care service</t>
  </si>
  <si>
    <t>Case 2 contribution</t>
  </si>
  <si>
    <t>Fixed Insurance</t>
  </si>
  <si>
    <t>Illustrative fixed component</t>
  </si>
  <si>
    <t>Illustrative GST on coordination fee</t>
  </si>
  <si>
    <t>Mix check</t>
  </si>
  <si>
    <t>Founders / Core Team Salary</t>
  </si>
  <si>
    <t>Keep editable for founder discussion</t>
  </si>
  <si>
    <t>Net operating revenue</t>
  </si>
  <si>
    <t>Miscellaneous</t>
  </si>
  <si>
    <t>Contingency / other fixed costs</t>
  </si>
  <si>
    <t>Total variable costs</t>
  </si>
  <si>
    <t>TOTAL FIXED COSTS</t>
  </si>
  <si>
    <t>Contribution margin</t>
  </si>
  <si>
    <t>Contribution / completed journey</t>
  </si>
  <si>
    <t>Whitefield Service Mix — Editable Demand Mix</t>
  </si>
  <si>
    <t>Contribution / Angel hour used</t>
  </si>
  <si>
    <t>Customer Service Price</t>
  </si>
  <si>
    <t>Service Mix %</t>
  </si>
  <si>
    <t>Other Variable Cost/Journey</t>
  </si>
  <si>
    <t>Completed Journeys</t>
  </si>
  <si>
    <t>Required Angel Hours</t>
  </si>
  <si>
    <t>Gross Service Revenue</t>
  </si>
  <si>
    <t>Transport Collections</t>
  </si>
  <si>
    <t>Net Operating Revenue</t>
  </si>
  <si>
    <t>Monthly fixed costs</t>
  </si>
  <si>
    <t>Transport Helper</t>
  </si>
  <si>
    <t>Net Service Rev Helper</t>
  </si>
  <si>
    <t>Coord GST Helper</t>
  </si>
  <si>
    <t>Operating margin</t>
  </si>
  <si>
    <t>Break-even journeys / month</t>
  </si>
  <si>
    <t>Break-even journeys / day</t>
  </si>
  <si>
    <t>Break-even customer collections</t>
  </si>
  <si>
    <t>Angels required at break-even</t>
  </si>
  <si>
    <t>Portfolio Averages / Helpers</t>
  </si>
  <si>
    <t>Weighted avg service price</t>
  </si>
  <si>
    <t>Weighted avg Case 1 contribution</t>
  </si>
  <si>
    <t>Weighted avg Case 2 contribution</t>
  </si>
  <si>
    <t>Weighted avg transport collection</t>
  </si>
  <si>
    <t>Weighted avg other variable cost</t>
  </si>
  <si>
    <t>Blended contribution / journey</t>
  </si>
  <si>
    <t>Blended customer collection / journey</t>
  </si>
  <si>
    <t>TOTAL / WEIGHTED</t>
  </si>
  <si>
    <t>Scenario Planning — Side-by-Side</t>
  </si>
  <si>
    <t>Metric</t>
  </si>
  <si>
    <t>Journeys / month</t>
  </si>
  <si>
    <t>Revenue / customer collections</t>
  </si>
  <si>
    <t>Contribution</t>
  </si>
  <si>
    <t>Operating Profit</t>
  </si>
  <si>
    <t>Operating Margin</t>
  </si>
  <si>
    <t>Angels Required for Demand</t>
  </si>
  <si>
    <t>12-Month Whitefield Ramp-Up</t>
  </si>
  <si>
    <t>Month</t>
  </si>
  <si>
    <t>Demand Growth %</t>
  </si>
  <si>
    <t>Leads / Day</t>
  </si>
  <si>
    <t>Estimated Customers</t>
  </si>
  <si>
    <t>Customer Collections</t>
  </si>
  <si>
    <t>Profit / (Loss)</t>
  </si>
  <si>
    <t>Cumulative P/L</t>
  </si>
  <si>
    <t>Angel Utilization</t>
  </si>
  <si>
    <t>Angels Required</t>
  </si>
  <si>
    <t>Break-even?</t>
  </si>
  <si>
    <t>Ramp KPI</t>
  </si>
  <si>
    <t>Month 1</t>
  </si>
  <si>
    <t>Operational break-even month</t>
  </si>
  <si>
    <t>Month 2</t>
  </si>
  <si>
    <t>Cumulative cash break-even month</t>
  </si>
  <si>
    <t>Month 3</t>
  </si>
  <si>
    <t>Month 4</t>
  </si>
  <si>
    <t>Month 5</t>
  </si>
  <si>
    <t>Month 6</t>
  </si>
  <si>
    <t>Month 7</t>
  </si>
  <si>
    <t>Month 8</t>
  </si>
  <si>
    <t>Month 9</t>
  </si>
  <si>
    <t>Month 10</t>
  </si>
  <si>
    <t>Month 11</t>
  </si>
  <si>
    <t>Month 12</t>
  </si>
  <si>
    <t>Model note: Whitefield demand, conversion, utilization, repeat rate and fixed costs are founder assumptions for planning, not verified market data. Transport is modeled as Case 1 (patient-arranged) or Case 2 (NivrāaCare-arranged third-party cab). Accounting/GST treatment of cab pass-through and coordination fee should be validated with the CA.</t>
  </si>
  <si>
    <t>CFO Insights — Dynamic</t>
  </si>
  <si>
    <t>Recommended transport mix</t>
  </si>
  <si>
    <t>Current break-even volume</t>
  </si>
  <si>
    <t>Biggest profit lever</t>
  </si>
  <si>
    <t>Biggest unit-economics risk</t>
  </si>
  <si>
    <t>Customer Price</t>
  </si>
  <si>
    <t>Revenue / Angel Hr</t>
  </si>
  <si>
    <t>Case 1 Contribution</t>
  </si>
  <si>
    <t>Case 2 Contribution</t>
  </si>
  <si>
    <t>Blended Contribution / Journey</t>
  </si>
  <si>
    <t>Contribution Margin</t>
  </si>
  <si>
    <t>Contribution / Angel Hr</t>
  </si>
  <si>
    <t>Repeat Potential (1-5)</t>
  </si>
  <si>
    <t>Operational Complexity (1-5)</t>
  </si>
  <si>
    <t>Transport Dependency (1-5)</t>
  </si>
  <si>
    <t>Strategic Weight (0.5-1.5)</t>
  </si>
  <si>
    <t>Capacity Efficiency Score</t>
  </si>
  <si>
    <t>Recommended Priority</t>
  </si>
  <si>
    <t>Current Mix %</t>
  </si>
  <si>
    <t>Optimization Score</t>
  </si>
  <si>
    <t>Recurring Service?</t>
  </si>
  <si>
    <t>Fixed Premium</t>
  </si>
  <si>
    <t>Recurring Profit/Hr</t>
  </si>
  <si>
    <t>Price Sensitivity Weight</t>
  </si>
  <si>
    <t>Angel Hr Weight</t>
  </si>
  <si>
    <t>Min Booking Test Price</t>
  </si>
  <si>
    <t>Addl-Hour Test Price</t>
  </si>
  <si>
    <t>Current Collection/Journey</t>
  </si>
  <si>
    <t>Optimized Collection Weight</t>
  </si>
  <si>
    <t>Optimized Contribution Weight</t>
  </si>
  <si>
    <t>Optimized Hours Weight</t>
  </si>
  <si>
    <t>No</t>
  </si>
  <si>
    <t>Yes</t>
  </si>
  <si>
    <t>Profit Optimization Levers — One-Variable Sensitivity (All Else Equal)</t>
  </si>
  <si>
    <t>Lever</t>
  </si>
  <si>
    <t>Current Value</t>
  </si>
  <si>
    <t>Test Value</t>
  </si>
  <si>
    <t>Monthly Revenue</t>
  </si>
  <si>
    <t>Profit / Angel</t>
  </si>
  <si>
    <t>Break-even Journeys</t>
  </si>
  <si>
    <t>Δ Operating Profit</t>
  </si>
  <si>
    <t>Base price / hour</t>
  </si>
  <si>
    <t>Angel cost / hour</t>
  </si>
  <si>
    <t>Minimum booking hours</t>
  </si>
  <si>
    <t>Cab cost</t>
  </si>
  <si>
    <t>Angel utilization</t>
  </si>
  <si>
    <t>Service mix</t>
  </si>
  <si>
    <t>Current Mix</t>
  </si>
  <si>
    <t>Optimized Mix</t>
  </si>
  <si>
    <t>Repeat booking rate</t>
  </si>
  <si>
    <t>Customer leads / day</t>
  </si>
  <si>
    <t>Fixed monthly cost</t>
  </si>
  <si>
    <t>Whitefield Portfolio — Current Mix vs Profit-Optimized Mix</t>
  </si>
  <si>
    <t>Current / Default Mix</t>
  </si>
  <si>
    <t>Profit-Optimized Mix</t>
  </si>
  <si>
    <t>Improvement</t>
  </si>
  <si>
    <t>Monthly journeys</t>
  </si>
  <si>
    <t>Customer collections</t>
  </si>
  <si>
    <t>Monthly contribution</t>
  </si>
  <si>
    <t>Contribution / Angel hour</t>
  </si>
  <si>
    <t>Monthly operating profit</t>
  </si>
  <si>
    <t>Profit Maximizer note: the optimized mix is intentionally weighted heavily toward contribution per Angel hour, while retaining 20% of the current portfolio mix so the model does not collapse into a single service. Founder judgement inputs remain editable.</t>
  </si>
  <si>
    <t>Target Monthly Operating Profit</t>
  </si>
  <si>
    <t>Profitability Status</t>
  </si>
  <si>
    <t>Recommended Operating Model</t>
  </si>
  <si>
    <t>1. Current Business Position — Whitefield Base Case</t>
  </si>
  <si>
    <t>2. Lean MVP vs Full Team — Profitability Engine</t>
  </si>
  <si>
    <t>Current</t>
  </si>
  <si>
    <t>Profit Target Math</t>
  </si>
  <si>
    <t>Editable Thresholds</t>
  </si>
  <si>
    <t>Ultra-Lean max</t>
  </si>
  <si>
    <t>Lean MVP max</t>
  </si>
  <si>
    <t>Auto-Recommendation</t>
  </si>
  <si>
    <t>Completed journeys / month</t>
  </si>
  <si>
    <t>Current profitability gap</t>
  </si>
  <si>
    <t>Monthly journey thresholds</t>
  </si>
  <si>
    <t>Founder planning assumptions; editable</t>
  </si>
  <si>
    <t>Current monthly journeys</t>
  </si>
  <si>
    <t>Journeys / day</t>
  </si>
  <si>
    <t>Required monthly contribution</t>
  </si>
  <si>
    <t>Recommended operating model</t>
  </si>
  <si>
    <t>Additional contribution required</t>
  </si>
  <si>
    <t>Monthly Fixed Cost Component</t>
  </si>
  <si>
    <t>Ultra-Lean Pilot</t>
  </si>
  <si>
    <t>Lean MVP</t>
  </si>
  <si>
    <t>Full Team</t>
  </si>
  <si>
    <t>Note</t>
  </si>
  <si>
    <t>Current fixed costs</t>
  </si>
  <si>
    <t>Current contribution / journey</t>
  </si>
  <si>
    <t>Ops / Care Operations</t>
  </si>
  <si>
    <t>Founder-led → coordinator → full ops</t>
  </si>
  <si>
    <t>Recommended fixed-cost ceiling</t>
  </si>
  <si>
    <t>Required journeys / month at current unit economics</t>
  </si>
  <si>
    <t>Shared / part-time initially</t>
  </si>
  <si>
    <t>Potential monthly saving</t>
  </si>
  <si>
    <t>Required journeys / day</t>
  </si>
  <si>
    <t>Lean SaaS stack</t>
  </si>
  <si>
    <t>Profit after restructuring</t>
  </si>
  <si>
    <t>Contribution / journey</t>
  </si>
  <si>
    <t>Current journeys / day</t>
  </si>
  <si>
    <t>Whitefield-focused acquisition</t>
  </si>
  <si>
    <t>Sustainable fixed cost at break-even</t>
  </si>
  <si>
    <t>Journey gap / day</t>
  </si>
  <si>
    <t>No office in pilot</t>
  </si>
  <si>
    <t>Sustainable fixed cost at selected target</t>
  </si>
  <si>
    <t>Required compliance only</t>
  </si>
  <si>
    <t>Required fixed-cost reduction for target</t>
  </si>
  <si>
    <t>Illustrative planning allocation</t>
  </si>
  <si>
    <t>Editable; initially zero</t>
  </si>
  <si>
    <t>Current monthly loss</t>
  </si>
  <si>
    <t>Contingency</t>
  </si>
  <si>
    <t>TOTAL FIXED COST</t>
  </si>
  <si>
    <t>Operating Model Comparison</t>
  </si>
  <si>
    <t>3. CFO Action Plan — What Must Change First</t>
  </si>
  <si>
    <t>Priority</t>
  </si>
  <si>
    <t>Dynamic Action</t>
  </si>
  <si>
    <t>Target / Recommendation</t>
  </si>
  <si>
    <t>Why</t>
  </si>
  <si>
    <t>Keep fixed costs aligned to current demand</t>
  </si>
  <si>
    <t>At ~current journey density, the full-team cost base absorbs too much contribution.</t>
  </si>
  <si>
    <t>Increase completed journeys / day</t>
  </si>
  <si>
    <t>Fixed costs need more contribution volume unless the cost base is reduced.</t>
  </si>
  <si>
    <t>Increase blended contribution / journey</t>
  </si>
  <si>
    <t>Higher contribution per Angel hour reduces the journey volume needed to break even.</t>
  </si>
  <si>
    <t>Increase repeat / recurring journey share</t>
  </si>
  <si>
    <t>Recurring medical journeys reduce dependence on one-time acquisition.</t>
  </si>
  <si>
    <t>Raise price carefully where value is strongest</t>
  </si>
  <si>
    <t>A moderate rate increase can improve contribution without requiring a full demand reset.</t>
  </si>
  <si>
    <t>Monthly profit at 3 journeys/day</t>
  </si>
  <si>
    <t>Keep transport asset-light</t>
  </si>
  <si>
    <t>Use third-party transport coordination; do not carry vehicle depreciation in MVP.</t>
  </si>
  <si>
    <t>Monthly profit at 5 journeys/day</t>
  </si>
  <si>
    <t>Monthly profit at 8 journeys/day</t>
  </si>
  <si>
    <t>Monthly profit at 10 journeys/day</t>
  </si>
  <si>
    <t>4. Profit Bridge — Major Levers</t>
  </si>
  <si>
    <t>Monthly profit at 15 journeys/day</t>
  </si>
  <si>
    <t>Incremental Monthly Profit</t>
  </si>
  <si>
    <t>New Monthly Operating Profit</t>
  </si>
  <si>
    <t>Difficulty</t>
  </si>
  <si>
    <t>Medium</t>
  </si>
  <si>
    <t>Test ₹499/hour on new customers / premium services.</t>
  </si>
  <si>
    <t>Negotiate gig payout bands without compromising Angel quality.</t>
  </si>
  <si>
    <t>Low</t>
  </si>
  <si>
    <t>Charge long hospital waits appropriately.</t>
  </si>
  <si>
    <t>Keep transport coordination fee transparent.</t>
  </si>
  <si>
    <t>Negotiate preferred cab / mobility rates; avoid owning vehicles.</t>
  </si>
  <si>
    <t>Reduce payment leakage with better gateway pricing / payment mix.</t>
  </si>
  <si>
    <t>Do not add Angels until demand fills available hours.</t>
  </si>
  <si>
    <t>Push services with higher contribution per Angel hour.</t>
  </si>
  <si>
    <t>Build subscription / recurring-parent journey behavior.</t>
  </si>
  <si>
    <t>Reduce avoidable cancellations with reminders and confirmation.</t>
  </si>
  <si>
    <t>Concentrate GTM inside Whitefield to increase journey density.</t>
  </si>
  <si>
    <t>High</t>
  </si>
  <si>
    <t>Keep MVP cost base lean until journey density proves itself.</t>
  </si>
  <si>
    <t>Urgent request premium</t>
  </si>
  <si>
    <t>Use a transparent urgent coordination premium.</t>
  </si>
  <si>
    <t>Overnight premium</t>
  </si>
  <si>
    <t>Price overnight inconvenience and late-hour staffing separately.</t>
  </si>
  <si>
    <t>NRI Parent premium</t>
  </si>
  <si>
    <t>Charge for higher-touch family communication and coordination.</t>
  </si>
  <si>
    <t>Weekend / holiday premium</t>
  </si>
  <si>
    <t>Apply only during defined premium windows; keep transparent.</t>
  </si>
  <si>
    <t>5. Fastest Path to Profitability — Strategy Comparison</t>
  </si>
  <si>
    <t>Strategy</t>
  </si>
  <si>
    <t>Journeys / Day</t>
  </si>
  <si>
    <t>Avg Service Price</t>
  </si>
  <si>
    <t>Contribution / Journey</t>
  </si>
  <si>
    <t>Monthly Profit</t>
  </si>
  <si>
    <t>Angels Needed</t>
  </si>
  <si>
    <t>What Changes</t>
  </si>
  <si>
    <t>A — Lean MVP</t>
  </si>
  <si>
    <t>Current demand; cut fixed cost</t>
  </si>
  <si>
    <t>Repeat Engine Helper</t>
  </si>
  <si>
    <t>B — Volume Growth</t>
  </si>
  <si>
    <t>Keep economics; grow to target</t>
  </si>
  <si>
    <t>Current repeat share</t>
  </si>
  <si>
    <t>C — Pricing Improvement</t>
  </si>
  <si>
    <t>Increase base rate to ₹499/hour</t>
  </si>
  <si>
    <t>Target repeat share</t>
  </si>
  <si>
    <t>D — Better Service Mix</t>
  </si>
  <si>
    <t>Push high contribution / Angel-hour services</t>
  </si>
  <si>
    <t>Recurring avg contrib / journey</t>
  </si>
  <si>
    <t>E — Repeat Customer Engine</t>
  </si>
  <si>
    <t>Raise recurring / repeat journey share</t>
  </si>
  <si>
    <t>Implied non-recurring contrib / journey</t>
  </si>
  <si>
    <t>F — Hybrid</t>
  </si>
  <si>
    <t>Lean cost + better price + better mix + denser demand</t>
  </si>
  <si>
    <t>Target blended contrib / journey</t>
  </si>
  <si>
    <t>Recommended Path</t>
  </si>
  <si>
    <t>Hybrid Assumption</t>
  </si>
  <si>
    <t>Optimized-mix blend</t>
  </si>
  <si>
    <t>6. Break-even Journey Calculator — By Medical Concierge Service</t>
  </si>
  <si>
    <t>7. Price vs Volume — Monthly Operating Profit</t>
  </si>
  <si>
    <t>Monthly Operating Profit</t>
  </si>
  <si>
    <t>Break-even Journeys / Month</t>
  </si>
  <si>
    <t>Break-even Journeys / Day</t>
  </si>
  <si>
    <t>Avg Service Price / Journeys per Day</t>
  </si>
  <si>
    <t>8. Fixed Cost vs Journey Density — Monthly Operating Profit</t>
  </si>
  <si>
    <t>Monthly Fixed Cost / Journeys per Day</t>
  </si>
  <si>
    <t>Monthly Fixed Cost</t>
  </si>
  <si>
    <t>9. Angel Productivity &amp; Overstaffing Detector</t>
  </si>
  <si>
    <t>Utilization</t>
  </si>
  <si>
    <t>Productive Angel Hours</t>
  </si>
  <si>
    <t>Capacity Journeys / Month</t>
  </si>
  <si>
    <t>Operating Profit (Lean MVP)</t>
  </si>
  <si>
    <t>Contribution / Angel</t>
  </si>
  <si>
    <t>Productivity KPI</t>
  </si>
  <si>
    <t>Available Angel hours</t>
  </si>
  <si>
    <t>Current productive Angel hours</t>
  </si>
  <si>
    <t>Current revenue / Angel</t>
  </si>
  <si>
    <t>Current contribution / Angel</t>
  </si>
  <si>
    <t>Journeys / Angel / day</t>
  </si>
  <si>
    <t>Revenue / Angel hour used</t>
  </si>
  <si>
    <t>Angels required for current demand</t>
  </si>
  <si>
    <t>Excess Angel equivalents</t>
  </si>
  <si>
    <t>Minimum utilization for break-even demand</t>
  </si>
  <si>
    <t>10. Service Mix Optimizer — Current vs Balanced vs Profit-Focused</t>
  </si>
  <si>
    <t>11. Recurring Medical Concierge Revenue Engine</t>
  </si>
  <si>
    <t>Balanced Mix</t>
  </si>
  <si>
    <t>Profit-Focused Mix</t>
  </si>
  <si>
    <t>Recurring Service</t>
  </si>
  <si>
    <t>Customers</t>
  </si>
  <si>
    <t>Journeys / Customer / Month</t>
  </si>
  <si>
    <t>Monthly Journeys</t>
  </si>
  <si>
    <t>Service Price / Journey</t>
  </si>
  <si>
    <t>Monthly Contribution</t>
  </si>
  <si>
    <t>Revenue Type</t>
  </si>
  <si>
    <t>Avg service price / journey</t>
  </si>
  <si>
    <t>Recurring</t>
  </si>
  <si>
    <t>Avg duration (hours)</t>
  </si>
  <si>
    <t>One-time / other</t>
  </si>
  <si>
    <t>Ending Cash</t>
  </si>
  <si>
    <t>Monthly operating profit (Lean MVP)</t>
  </si>
  <si>
    <t>TOTAL</t>
  </si>
  <si>
    <t>Recurring KPI</t>
  </si>
  <si>
    <t>Recurring contribution covers % of Lean MVP fixed cost</t>
  </si>
  <si>
    <t>Recurring journeys as % of current completed journeys</t>
  </si>
  <si>
    <t>Recurring contribution / recurring journey</t>
  </si>
  <si>
    <t>12. Customer Lifetime Economics</t>
  </si>
  <si>
    <t>13. Path to Annual Revenue Scale</t>
  </si>
  <si>
    <t>Input / KPI</t>
  </si>
  <si>
    <t>Annual Net Revenue Target</t>
  </si>
  <si>
    <t>Journeys / Month</t>
  </si>
  <si>
    <t>Active Angels Required</t>
  </si>
  <si>
    <t>Scale Fixed Cost</t>
  </si>
  <si>
    <t>Geography Flag</t>
  </si>
  <si>
    <t>CAC</t>
  </si>
  <si>
    <t>Founder planning assumption; editable in Global Inputs</t>
  </si>
  <si>
    <t>Avg first journey contribution</t>
  </si>
  <si>
    <t>Current blended contribution</t>
  </si>
  <si>
    <t>Avg journeys / customer / month</t>
  </si>
  <si>
    <t>Editable founder assumption</t>
  </si>
  <si>
    <t>Monthly contribution / customer</t>
  </si>
  <si>
    <t>Contribution before fixed overhead</t>
  </si>
  <si>
    <t>3-month LTV</t>
  </si>
  <si>
    <t>Contribution LTV</t>
  </si>
  <si>
    <t>6-month LTV</t>
  </si>
  <si>
    <t>12-month LTV</t>
  </si>
  <si>
    <t>12-month LTV / CAC</t>
  </si>
  <si>
    <t>Healthy typically requires strong headroom</t>
  </si>
  <si>
    <t>CAC payback period (months)</t>
  </si>
  <si>
    <t>Months to recover acquisition cost</t>
  </si>
  <si>
    <t>LTV/CAC status</t>
  </si>
  <si>
    <t>Model indicator</t>
  </si>
  <si>
    <t>14. Cash Runway &amp; Self-Sustainability</t>
  </si>
  <si>
    <t>Runway Input</t>
  </si>
  <si>
    <t>Journeys</t>
  </si>
  <si>
    <t>Monthly Profit / (Loss)</t>
  </si>
  <si>
    <t>Runway KPI</t>
  </si>
  <si>
    <t>Opening cash available</t>
  </si>
  <si>
    <t>Runway in months</t>
  </si>
  <si>
    <t>Additional founder investment</t>
  </si>
  <si>
    <t>First profitable month</t>
  </si>
  <si>
    <t>One-time setup costs</t>
  </si>
  <si>
    <t>Cash at Month 12</t>
  </si>
  <si>
    <t>Runway scenario</t>
  </si>
  <si>
    <t>Current / Lean MVP / Hybrid</t>
  </si>
  <si>
    <t>Self-sustaining?</t>
  </si>
  <si>
    <t>Monthly journey growth</t>
  </si>
  <si>
    <t>15. Hiring Trigger Model</t>
  </si>
  <si>
    <t>First 150 Journeys — Founder Roadmap</t>
  </si>
  <si>
    <t>Role / Capacity</t>
  </si>
  <si>
    <t>Editable Trigger</t>
  </si>
  <si>
    <t>Current Need</t>
  </si>
  <si>
    <t>Recommended Action</t>
  </si>
  <si>
    <t>Monthly Cost Impact</t>
  </si>
  <si>
    <t>Stage</t>
  </si>
  <si>
    <t>Volume</t>
  </si>
  <si>
    <t>Objective</t>
  </si>
  <si>
    <t>Status</t>
  </si>
  <si>
    <t>Key Finance Proof</t>
  </si>
  <si>
    <t>Do Not Do</t>
  </si>
  <si>
    <t>Operations Coordinator</t>
  </si>
  <si>
    <t>Hire when founder-led ops becomes a bottleneck.</t>
  </si>
  <si>
    <t>Stage 1</t>
  </si>
  <si>
    <t>First 25</t>
  </si>
  <si>
    <t>Validate willingness to pay + service quality</t>
  </si>
  <si>
    <t>Price, duration, Angel cost, cab cost, contribution/journey</t>
  </si>
  <si>
    <t>Keep fixed cost extremely low.</t>
  </si>
  <si>
    <t>Dedicated Customer Support</t>
  </si>
  <si>
    <t>Add only when daily conversations / SLA justify fixed payroll.</t>
  </si>
  <si>
    <t>Stage 2</t>
  </si>
  <si>
    <t>25–50 / month</t>
  </si>
  <si>
    <t>Prove repeatability</t>
  </si>
  <si>
    <t>Best services, repeat behavior, workload per journey</t>
  </si>
  <si>
    <t>Do not hire a management layer.</t>
  </si>
  <si>
    <t>Additional Angel</t>
  </si>
  <si>
    <t>Use flexible Angel pool; add capacity after sustained utilization.</t>
  </si>
  <si>
    <t>Stage 3</t>
  </si>
  <si>
    <t>50–100 / month</t>
  </si>
  <si>
    <t>Build Whitefield density</t>
  </si>
  <si>
    <t>Recurring treatments, referrals, utilization</t>
  </si>
  <si>
    <t>Avoid citywide expansion.</t>
  </si>
  <si>
    <t>Full-Time Technology Team</t>
  </si>
  <si>
    <t>Scale fixed tech payroll only when product/reliability needs justify it.</t>
  </si>
  <si>
    <t>Stage 4</t>
  </si>
  <si>
    <t>100–150 / month</t>
  </si>
  <si>
    <t>Prove Whitefield economics</t>
  </si>
  <si>
    <t>Lean fixed-cost coverage + predictable repeat bookings</t>
  </si>
  <si>
    <t>Do not scale fixed overhead ahead of contribution.</t>
  </si>
  <si>
    <t>Stage 5</t>
  </si>
  <si>
    <t>150+ / month</t>
  </si>
  <si>
    <t>Evaluate structured scale</t>
  </si>
  <si>
    <t>Full-team affordability + expansion economics</t>
  </si>
  <si>
    <t>Do not assume Whitefield supports unlimited scale.</t>
  </si>
  <si>
    <t>16. Cost of Premature Scaling</t>
  </si>
  <si>
    <t>Lean Break-even Simulator</t>
  </si>
  <si>
    <t>Period</t>
  </si>
  <si>
    <t>Avoidable Burn</t>
  </si>
  <si>
    <t>Model</t>
  </si>
  <si>
    <t>Break-even / Month</t>
  </si>
  <si>
    <t>Break-even / Day</t>
  </si>
  <si>
    <t>Full-Team fixed cost</t>
  </si>
  <si>
    <t>6 months</t>
  </si>
  <si>
    <t>Ultra-Lean</t>
  </si>
  <si>
    <t>Lean MVP fixed cost</t>
  </si>
  <si>
    <t>12 months</t>
  </si>
  <si>
    <t>Extra burn / month</t>
  </si>
  <si>
    <t>Difference vs Ultra-Lean / month</t>
  </si>
  <si>
    <t>3-month unnecessary burn</t>
  </si>
  <si>
    <t>17. Top Profit Levers — Impact × Ease × Risk</t>
  </si>
  <si>
    <t>Monthly Profit Impact</t>
  </si>
  <si>
    <t>Ease Score</t>
  </si>
  <si>
    <t>Risk Score</t>
  </si>
  <si>
    <t>Time</t>
  </si>
  <si>
    <t>Priority Score</t>
  </si>
  <si>
    <t>Action</t>
  </si>
  <si>
    <t>Ease</t>
  </si>
  <si>
    <t>Risk</t>
  </si>
  <si>
    <t>30 days</t>
  </si>
  <si>
    <t>Immediate</t>
  </si>
  <si>
    <t>90 days</t>
  </si>
  <si>
    <t>18. CFO Principles &amp; Decision Rules</t>
  </si>
  <si>
    <t>• Revenue ≠ Profit. Contribution ≠ Operating Profit.</t>
  </si>
  <si>
    <t>• More Angels do not create profit unless demand fills productive Angel hours.</t>
  </si>
  <si>
    <t>• Fixed costs should grow only after Whitefield demand density is proven.</t>
  </si>
  <si>
    <t>• High contribution per Angel hour matters more than headline price alone.</t>
  </si>
  <si>
    <t>• Recurring medical journeys can reduce acquisition dependence and improve predictability.</t>
  </si>
  <si>
    <t>• Do not own vehicles in MVP solely for perceived control; prove density first.</t>
  </si>
  <si>
    <t>• If contribution / journey is positive but operating profit is negative, the problem is fixed-cost absorption / insufficient density — not automatically a bad core service.</t>
  </si>
  <si>
    <t>MODEL NOTE — All Whitefield demand, pricing, repeat-rate, utilization, hiring-threshold and cost assumptions are planning inputs, not externally verified market facts. The model deliberately separates positive unit economics from fixed-cost absorption. Before acting on GST / transport invoicing assumptions, validate the accounting treatment with NivrāaCare's CA / legal advisers.</t>
  </si>
  <si>
    <t>Hourly Price</t>
  </si>
  <si>
    <t>Conversion</t>
  </si>
  <si>
    <t>FOUNDER INPUT / SELECTOR</t>
  </si>
  <si>
    <t>VALUE</t>
  </si>
  <si>
    <t>NOTE</t>
  </si>
  <si>
    <t>FOUNDER DASHBOARD — CURRENT SELECTED GROWTH STRATEGY</t>
  </si>
  <si>
    <t>SELECTED PRICING HELPER</t>
  </si>
  <si>
    <t>Target monthly operating profit</t>
  </si>
  <si>
    <t>Select break-even through ₹1Cr/month</t>
  </si>
  <si>
    <t>TARGET-PROFIT REQUIREMENT</t>
  </si>
  <si>
    <t>Avg care bill</t>
  </si>
  <si>
    <t>Leads per day</t>
  </si>
  <si>
    <t>Founder planning assumption</t>
  </si>
  <si>
    <t>Target operating profit</t>
  </si>
  <si>
    <t>Net care revenue</t>
  </si>
  <si>
    <t>Whitefield operating assumption</t>
  </si>
  <si>
    <t>Angel cost / journey</t>
  </si>
  <si>
    <t>Current planning assumption</t>
  </si>
  <si>
    <t>Required journeys / month</t>
  </si>
  <si>
    <t>Other variable cost / journey</t>
  </si>
  <si>
    <t>Working hours / Angel / day</t>
  </si>
  <si>
    <t>Capacity assumption</t>
  </si>
  <si>
    <t>Average customer bill</t>
  </si>
  <si>
    <t>Care contribution / journey</t>
  </si>
  <si>
    <t>Productive service + required journey capacity</t>
  </si>
  <si>
    <t>Required Angels</t>
  </si>
  <si>
    <t>Blended transport contribution</t>
  </si>
  <si>
    <t>Average actual journey duration</t>
  </si>
  <si>
    <t>Linked to current Whitefield service mix</t>
  </si>
  <si>
    <t>Required leads / day</t>
  </si>
  <si>
    <t>Total blended contribution / journey</t>
  </si>
  <si>
    <t>True CAC</t>
  </si>
  <si>
    <t>Sustainable fixed-cost ceiling</t>
  </si>
  <si>
    <t>Lifetime Journeys</t>
  </si>
  <si>
    <t>Safe CAC</t>
  </si>
  <si>
    <t>Cumulative Contribution</t>
  </si>
  <si>
    <t>Repeat journey share</t>
  </si>
  <si>
    <t>Profit gap at current selected pricing</t>
  </si>
  <si>
    <t>Current selected conversion</t>
  </si>
  <si>
    <t>Average journeys / customer / month</t>
  </si>
  <si>
    <t>Includes repeat behavior; editable</t>
  </si>
  <si>
    <t>Demand journeys / month</t>
  </si>
  <si>
    <t>Capacity journeys / month</t>
  </si>
  <si>
    <t>Selected fixed cost</t>
  </si>
  <si>
    <t>Completed journeys / day</t>
  </si>
  <si>
    <t>Average service premium</t>
  </si>
  <si>
    <t>Urgent / overnight / premium mix allowance</t>
  </si>
  <si>
    <t>Cash runway</t>
  </si>
  <si>
    <t>Angel payout / service hour</t>
  </si>
  <si>
    <t>Linked to current Global Inputs</t>
  </si>
  <si>
    <t>Profitability status</t>
  </si>
  <si>
    <t>Per-journey non-Angel variable cost</t>
  </si>
  <si>
    <t>Ops + risk + comms + BGV/training + recovery reserve</t>
  </si>
  <si>
    <t>Illustrative; confirm with CA</t>
  </si>
  <si>
    <t>Average total customer outflow</t>
  </si>
  <si>
    <t>Current gateway assumption</t>
  </si>
  <si>
    <t>Angels required for demand</t>
  </si>
  <si>
    <t>% of journeys where NivrāaCare coordinates transport</t>
  </si>
  <si>
    <t>Transport contribution / Case 2 journey</t>
  </si>
  <si>
    <t>Derived from current transport assumptions</t>
  </si>
  <si>
    <t>Selected monthly fixed cost</t>
  </si>
  <si>
    <t>Operating Model</t>
  </si>
  <si>
    <t>Paid marketing CAC</t>
  </si>
  <si>
    <t>Planning assumption per new family</t>
  </si>
  <si>
    <t>First-journey subsidy / discount</t>
  </si>
  <si>
    <t>Treat as CAC</t>
  </si>
  <si>
    <t>Referral reward</t>
  </si>
  <si>
    <t>Scale / Full Team</t>
  </si>
  <si>
    <t>Safe CAC as % of expected LTV</t>
  </si>
  <si>
    <t>Founder risk-control assumption</t>
  </si>
  <si>
    <t>Runway input</t>
  </si>
  <si>
    <t>Additional founder capital</t>
  </si>
  <si>
    <t>One-time launch / setup costs</t>
  </si>
  <si>
    <t>Runway assumption</t>
  </si>
  <si>
    <t>Actual Journey Duration (hrs)</t>
  </si>
  <si>
    <t>Customer Care Bill</t>
  </si>
  <si>
    <t>Net Care Revenue</t>
  </si>
  <si>
    <t>Other Variable Cost</t>
  </si>
  <si>
    <t>Blended Contribution</t>
  </si>
  <si>
    <t>Contribution / Angel Hour</t>
  </si>
  <si>
    <t>TRUE COST / PRICE FLOOR</t>
  </si>
  <si>
    <t>First-hour delivery cost</t>
  </si>
  <si>
    <t>Incremental additional-hour delivery cost</t>
  </si>
  <si>
    <t>Avg delivery cost / hour at selected duration</t>
  </si>
  <si>
    <t>Absolute customer price floor / hr (no contribution)</t>
  </si>
  <si>
    <t>Recommended safe contribution / Angel hr</t>
  </si>
  <si>
    <t>Sustainable hourly price at safe contribution</t>
  </si>
  <si>
    <t>Minimum economically viable duration</t>
  </si>
  <si>
    <t>PRICE DECISION</t>
  </si>
  <si>
    <t>INTERPRETATION</t>
  </si>
  <si>
    <t>5. Price Elasticity Decision Table — Monthly Operating Profit Heatmap</t>
  </si>
  <si>
    <t>Hourly Price / Conversion</t>
  </si>
  <si>
    <t>7. Angel Pay Strategy — Protect Quality, Improve Effective Cost Through Utilization</t>
  </si>
  <si>
    <t>Angel Payout / Service Hr</t>
  </si>
  <si>
    <t>Hourly Price Needed for ₹150 Contrib / Angel Hr</t>
  </si>
  <si>
    <t>Monthly Profit at Current Demand</t>
  </si>
  <si>
    <t>Payout Model</t>
  </si>
  <si>
    <t>Base Commitment</t>
  </si>
  <si>
    <t>Utilization Assumption</t>
  </si>
  <si>
    <t>Effective Cost / Productive Hr</t>
  </si>
  <si>
    <t>Founder Note</t>
  </si>
  <si>
    <t>Pure hourly gig</t>
  </si>
  <si>
    <t>Pay only productive service hours</t>
  </si>
  <si>
    <t>Guaranteed 4-hour block</t>
  </si>
  <si>
    <t>Reliability higher; effective cost rises if block underused</t>
  </si>
  <si>
    <t>Recurring-customer assignment</t>
  </si>
  <si>
    <t>Illustrative recurring block economics</t>
  </si>
  <si>
    <t>Half-day shift</t>
  </si>
  <si>
    <t>4-hour shift; utilization is critical</t>
  </si>
  <si>
    <t>Full-day shift</t>
  </si>
  <si>
    <t>8-hour shift; only for proven density</t>
  </si>
  <si>
    <t>8. Angel Utilization Engine — Capacity, Idle Time &amp; Overstaffing</t>
  </si>
  <si>
    <t>Available Angel Hrs</t>
  </si>
  <si>
    <t>Productive Hrs</t>
  </si>
  <si>
    <t>Idle Hrs</t>
  </si>
  <si>
    <t>Capacity Journeys</t>
  </si>
  <si>
    <t>OVERSTAFFING DETECTOR</t>
  </si>
  <si>
    <t>Angels currently planned</t>
  </si>
  <si>
    <t>Angels required at current selected demand</t>
  </si>
  <si>
    <t>Current utilization</t>
  </si>
  <si>
    <t>Current journeys / Angel / day</t>
  </si>
  <si>
    <t>Capacity warning</t>
  </si>
  <si>
    <t>9. Fixed Cost Strategy — Ultra-Lean → Lean MVP → Scale / Full Team</t>
  </si>
  <si>
    <t>Journey Range</t>
  </si>
  <si>
    <t>Fixed Cost / Month</t>
  </si>
  <si>
    <t>Profit @ 5/day</t>
  </si>
  <si>
    <t>Profit @ 10/day</t>
  </si>
  <si>
    <t>Profit @ 15/day</t>
  </si>
  <si>
    <t>FIXED-COST CEILING</t>
  </si>
  <si>
    <t>CURRENT / RESULT</t>
  </si>
  <si>
    <t>GAP</t>
  </si>
  <si>
    <t>ACTION</t>
  </si>
  <si>
    <t>0–50</t>
  </si>
  <si>
    <t>Current selected fixed cost</t>
  </si>
  <si>
    <t>Current operating assumption</t>
  </si>
  <si>
    <t>51–150</t>
  </si>
  <si>
    <t>Sustainable fixed cost at current demand</t>
  </si>
  <si>
    <t>Maximum at break-even</t>
  </si>
  <si>
    <t>151+</t>
  </si>
  <si>
    <t>Must be ≤ this to hit target without more volume</t>
  </si>
  <si>
    <t>Excess overhead vs break-even</t>
  </si>
  <si>
    <t>Reduce cost or grow contribution</t>
  </si>
  <si>
    <t>11. Customer Acquisition Engine — Treat Discounts as CAC, Not Invisible Loss</t>
  </si>
  <si>
    <t>CAC Component</t>
  </si>
  <si>
    <t>Amount</t>
  </si>
  <si>
    <t>Classification</t>
  </si>
  <si>
    <t>Included in True CAC?</t>
  </si>
  <si>
    <t>Current Result</t>
  </si>
  <si>
    <t>Lead Funnel KPI</t>
  </si>
  <si>
    <t>Formula Driver</t>
  </si>
  <si>
    <t>Target / Comment</t>
  </si>
  <si>
    <t>Monthly leads</t>
  </si>
  <si>
    <t>Leads/day × operating days</t>
  </si>
  <si>
    <t>Grow density before geography</t>
  </si>
  <si>
    <t>First-journey subsidy</t>
  </si>
  <si>
    <t>Acquisition subsidy</t>
  </si>
  <si>
    <t>A discount is still acquisition spend</t>
  </si>
  <si>
    <t>Selected conversion</t>
  </si>
  <si>
    <t>Linked to price-conversion curve</t>
  </si>
  <si>
    <t>Editable assumptions determine this</t>
  </si>
  <si>
    <t>Referral CAC</t>
  </si>
  <si>
    <t>New paying customers / month</t>
  </si>
  <si>
    <t>Leads × conversion</t>
  </si>
  <si>
    <t>Before repeat frequency</t>
  </si>
  <si>
    <t>TRUE CAC</t>
  </si>
  <si>
    <t>Total</t>
  </si>
  <si>
    <t>Monthly completed journeys</t>
  </si>
  <si>
    <t>Demand capped by Angel capacity</t>
  </si>
  <si>
    <t>Core scale metric</t>
  </si>
  <si>
    <t>Average journeys / customer</t>
  </si>
  <si>
    <t>Repeat behavior</t>
  </si>
  <si>
    <t>Increase with trust / recurring care</t>
  </si>
  <si>
    <t>12. Maximum Affordable CAC — Based on Cumulative Customer Contribution</t>
  </si>
  <si>
    <t>Break-even CAC Ceiling</t>
  </si>
  <si>
    <t>Safe CAC Ceiling</t>
  </si>
  <si>
    <t>Current True CAC</t>
  </si>
  <si>
    <t>CAC Status</t>
  </si>
  <si>
    <t>Payback Journeys</t>
  </si>
  <si>
    <t>13. Repeat Customer Engine — The Difference Between a Transaction and a Family Relationship</t>
  </si>
  <si>
    <t>Monthly Revenue / Customer</t>
  </si>
  <si>
    <t>Monthly Contribution / Customer</t>
  </si>
  <si>
    <t>3-Month LTV</t>
  </si>
  <si>
    <t>6-Month LTV</t>
  </si>
  <si>
    <t>12-Month LTV</t>
  </si>
  <si>
    <t>CAC Payback (Months)</t>
  </si>
  <si>
    <t>12M LTV / CAC</t>
  </si>
  <si>
    <t>REPEAT KPI</t>
  </si>
  <si>
    <t>TARGET</t>
  </si>
  <si>
    <t>WHY</t>
  </si>
  <si>
    <t>Current repeat journey share</t>
  </si>
  <si>
    <t>Higher repeat reduces acquisition dependence</t>
  </si>
  <si>
    <t>Measure actual behavior after launch</t>
  </si>
  <si>
    <t>Contribution / repeat customer / month</t>
  </si>
  <si>
    <t>14. Recurring Medical Services — Build Predictable Monthly Contribution</t>
  </si>
  <si>
    <t>Service Hours</t>
  </si>
  <si>
    <t>Selected-Model Customer Bill</t>
  </si>
  <si>
    <t>Fixed Cost Coverage</t>
  </si>
  <si>
    <t>15. Membership Economics — Should NivrāaCare Launch Membership Yet?</t>
  </si>
  <si>
    <t>Monthly Membership Fee</t>
  </si>
  <si>
    <t>Members</t>
  </si>
  <si>
    <t>Hourly Discount</t>
  </si>
  <si>
    <t>Journey Fee Discount</t>
  </si>
  <si>
    <t>Usage Uplift</t>
  </si>
  <si>
    <t>Membership Revenue</t>
  </si>
  <si>
    <t>Discount Cost</t>
  </si>
  <si>
    <t>Net Membership Contribution</t>
  </si>
  <si>
    <t>Recommendation</t>
  </si>
  <si>
    <t>16. Simple Customer-Facing Service Tiers — Keep the Catalogue Easy to Buy</t>
  </si>
  <si>
    <t>Tier</t>
  </si>
  <si>
    <t>Customer Use Case</t>
  </si>
  <si>
    <t>Illustrative 3-Hour Bill</t>
  </si>
  <si>
    <t>Illustrative 4-Hour Bill</t>
  </si>
  <si>
    <t>Positioning</t>
  </si>
  <si>
    <t>Mapped Services</t>
  </si>
  <si>
    <t>BASIC</t>
  </si>
  <si>
    <t>Clinic / diagnostics</t>
  </si>
  <si>
    <t>Entry / simple coordination</t>
  </si>
  <si>
    <t>Clinic, diagnostics, records</t>
  </si>
  <si>
    <t>CARE</t>
  </si>
  <si>
    <t>Hospital visit</t>
  </si>
  <si>
    <t>Core medical concierge</t>
  </si>
  <si>
    <t>Hospital / specialist / health check</t>
  </si>
  <si>
    <t>PLUS</t>
  </si>
  <si>
    <t>Higher coordination / longer visit</t>
  </si>
  <si>
    <t>Complex journey</t>
  </si>
  <si>
    <t>Admission, discharge, procedures</t>
  </si>
  <si>
    <t>PRIORITY</t>
  </si>
  <si>
    <t>Urgent / weekend / short notice</t>
  </si>
  <si>
    <t>Premium access</t>
  </si>
  <si>
    <t>Urgent / short-notice journeys</t>
  </si>
  <si>
    <t>RECURRING CARE</t>
  </si>
  <si>
    <t>Dialysis / chemo / physio</t>
  </si>
  <si>
    <t>Repeat-friendly</t>
  </si>
  <si>
    <t>Dialysis, chemo, radiation, physio</t>
  </si>
  <si>
    <t>NRI FAMILY</t>
  </si>
  <si>
    <t>Higher-touch parent coordination</t>
  </si>
  <si>
    <t>High-touch family coordination</t>
  </si>
  <si>
    <t>NRI parent, chronic / follow-up</t>
  </si>
  <si>
    <t>17. Service Profitability — Contribution per Angel Hour × Repeat Potential</t>
  </si>
  <si>
    <t>Selected-Model Selling Price</t>
  </si>
  <si>
    <t>Repeat Potential</t>
  </si>
  <si>
    <t>Demand Mix %</t>
  </si>
  <si>
    <t>Operational Complexity</t>
  </si>
  <si>
    <t>Profitability Index</t>
  </si>
  <si>
    <t>SERVICE SIGNAL</t>
  </si>
  <si>
    <t>Best profitability index</t>
  </si>
  <si>
    <t>Highest contribution / Angel hr</t>
  </si>
  <si>
    <t>Best recurring-service signal</t>
  </si>
  <si>
    <t>Lowest contribution / Angel hr</t>
  </si>
  <si>
    <t>Founder principle</t>
  </si>
  <si>
    <t>Push contribution per Angel hour + repeatability; do not optimize only headline price.</t>
  </si>
  <si>
    <t>18. Transport Strategy — Asset-Light Coordination Economics</t>
  </si>
  <si>
    <t>Customer Pays Cab To</t>
  </si>
  <si>
    <t>NivrāaCare Collection</t>
  </si>
  <si>
    <t>Cab Cost Paid by NivrāaCare</t>
  </si>
  <si>
    <t>Gateway Leakage</t>
  </si>
  <si>
    <t>Transport Ops</t>
  </si>
  <si>
    <t>Transport Contribution</t>
  </si>
  <si>
    <t>Operational Burden</t>
  </si>
  <si>
    <t>A — NivrāaCare collects cab + fee</t>
  </si>
  <si>
    <t>NivrāaCare</t>
  </si>
  <si>
    <t>Higher</t>
  </si>
  <si>
    <t>B — Customer pays cab provider direct</t>
  </si>
  <si>
    <t>Cab provider</t>
  </si>
  <si>
    <t>Lower</t>
  </si>
  <si>
    <t>Recommended MVP Transport Model</t>
  </si>
  <si>
    <t>Contribution Uplift vs Model A</t>
  </si>
  <si>
    <t>19. Whitefield Density Model — Geography as an Economic Advantage</t>
  </si>
  <si>
    <t>Customers / Day</t>
  </si>
  <si>
    <t>Avg Travel Minutes / Journey</t>
  </si>
  <si>
    <t>Service Hours / Journey</t>
  </si>
  <si>
    <t>Total Angel Hrs Needed / Day</t>
  </si>
  <si>
    <t>Journeys / Angel / Day</t>
  </si>
  <si>
    <t>Effective Utilization</t>
  </si>
  <si>
    <t>Contribution / Total Angel Hour</t>
  </si>
  <si>
    <t>20. Customer Acquisition Channels — Optimize Contribution After CAC, Not Cheap Leads</t>
  </si>
  <si>
    <t>Channel</t>
  </si>
  <si>
    <t>Monthly Leads</t>
  </si>
  <si>
    <t>CAC / New Family</t>
  </si>
  <si>
    <t>Repeat Share</t>
  </si>
  <si>
    <t>New Customers</t>
  </si>
  <si>
    <t>Monthly Contribution Before CAC</t>
  </si>
  <si>
    <t>Acquisition Spend</t>
  </si>
  <si>
    <t>Contribution After CAC</t>
  </si>
  <si>
    <t>CHANNEL SIGNAL</t>
  </si>
  <si>
    <t>Apartment communities</t>
  </si>
  <si>
    <t>Best contribution-after-CAC channel</t>
  </si>
  <si>
    <t>Planning assumptions only — validate with actual cohort data.</t>
  </si>
  <si>
    <t>Hospitals / clinics</t>
  </si>
  <si>
    <t>Lowest CAC channel</t>
  </si>
  <si>
    <t>Low CAC is useful only if contribution and retention are healthy.</t>
  </si>
  <si>
    <t>Diagnostic centers</t>
  </si>
  <si>
    <t>Highest conversion channel</t>
  </si>
  <si>
    <t>Conversion must be measured by channel.</t>
  </si>
  <si>
    <t>Nursing schools / Angel ecosystem</t>
  </si>
  <si>
    <t>Highest repeat-share channel</t>
  </si>
  <si>
    <t>Repeat behavior is a core growth-quality metric.</t>
  </si>
  <si>
    <t>WhatsApp referrals</t>
  </si>
  <si>
    <t>Google search</t>
  </si>
  <si>
    <t>Meta ads</t>
  </si>
  <si>
    <t>NRI communities</t>
  </si>
  <si>
    <t>Corporate employee programs</t>
  </si>
  <si>
    <t>Resident welfare associations</t>
  </si>
  <si>
    <t>21. Customer Referral Engine — Compare Referral CAC with Paid Acquisition</t>
  </si>
  <si>
    <t>Referral Credit</t>
  </si>
  <si>
    <t>Contribution After Referral — 1 Journey</t>
  </si>
  <si>
    <t>Contribution After Referral — 4 Journeys</t>
  </si>
  <si>
    <t>Vs Paid CAC</t>
  </si>
  <si>
    <t>Signal</t>
  </si>
  <si>
    <t>22–23. Target Profit + Lowest-Risk Combination — Price, Volume, Repeat &amp; Cost Together</t>
  </si>
  <si>
    <t>Hourly Rate</t>
  </si>
  <si>
    <t>Journey Fee</t>
  </si>
  <si>
    <t>Avg Journeys / Customer</t>
  </si>
  <si>
    <t>Risk / Complexity</t>
  </si>
  <si>
    <t>RISK-ADJUSTED RECOMMENDATION</t>
  </si>
  <si>
    <t>Low-price / high-volume</t>
  </si>
  <si>
    <t>Recommended lowest-risk strategy</t>
  </si>
  <si>
    <t>Moderate-price / moderate-volume</t>
  </si>
  <si>
    <t>Projected monthly profit</t>
  </si>
  <si>
    <t>Premium / lower-volume</t>
  </si>
  <si>
    <t>Lean-cost strategy</t>
  </si>
  <si>
    <t>Recurring-care strategy</t>
  </si>
  <si>
    <t>Selected target profit gap</t>
  </si>
  <si>
    <t>Hybrid strategy</t>
  </si>
  <si>
    <t>24. 25 → 50 → 100 → 250 → 500 Journey Roadmap</t>
  </si>
  <si>
    <t>Approx Customers</t>
  </si>
  <si>
    <t>Customer Revenue</t>
  </si>
  <si>
    <t>CAC Spend</t>
  </si>
  <si>
    <t>What Must Be Proven</t>
  </si>
  <si>
    <t>Willingness to pay + service quality + actual journey cost</t>
  </si>
  <si>
    <t>Repeatability + first referral behavior</t>
  </si>
  <si>
    <t>Whitefield density + repeat demand + Angel utilization</t>
  </si>
  <si>
    <t>Lean scale economics + structured ops + controlled CAC</t>
  </si>
  <si>
    <t>Cluster expansion readiness + repeatable unit economics</t>
  </si>
  <si>
    <t>25. Hiring Triggers — The Workbook Says HIRE or WAIT</t>
  </si>
  <si>
    <t>Trigger Type</t>
  </si>
  <si>
    <t>Current Metric</t>
  </si>
  <si>
    <t>HIRE / WAIT</t>
  </si>
  <si>
    <t>New Angel Capacity</t>
  </si>
  <si>
    <t>Operations Manager</t>
  </si>
  <si>
    <t>Technology Team</t>
  </si>
  <si>
    <t>26. Cash Runway — Journey Growth, Fixed-Cost Step-Ups &amp; Self-Sustainability</t>
  </si>
  <si>
    <t>Operating Profit / (Loss)</t>
  </si>
  <si>
    <t>RUNWAY KPI</t>
  </si>
  <si>
    <t>UNIT</t>
  </si>
  <si>
    <t>Starting deployable cash</t>
  </si>
  <si>
    <t>₹</t>
  </si>
  <si>
    <t>Opening cash + founder capital - setup</t>
  </si>
  <si>
    <t>Month-12 ending cash</t>
  </si>
  <si>
    <t>Cash after 12 months</t>
  </si>
  <si>
    <t>Month #</t>
  </si>
  <si>
    <t>If exact match not found, target status may appear first</t>
  </si>
  <si>
    <t>First target-profit month</t>
  </si>
  <si>
    <t>Depends on selected target profit</t>
  </si>
  <si>
    <t>Additional capital required</t>
  </si>
  <si>
    <t>Minimum additional cash to avoid negative balance</t>
  </si>
  <si>
    <t>Profit Target Ladder — Break-even → ₹1L → ₹3L → ₹5L → ₹10L → ₹50L → ₹1Cr Monthly Profit</t>
  </si>
  <si>
    <t>Monthly Profit Target</t>
  </si>
  <si>
    <t>Required Monthly Contribution</t>
  </si>
  <si>
    <t>Required Journeys / Month</t>
  </si>
  <si>
    <t>Required Journeys / Day</t>
  </si>
  <si>
    <t>Required Leads / Day</t>
  </si>
  <si>
    <t>Fixed-Cost Ceiling at Current Volume</t>
  </si>
  <si>
    <t>MODEL NOTE — Pricing, conversion, CAC, repeat-rate, channel, membership and density assumptions are founder planning hypotheses, not verified market facts. The workbook deliberately does not force ₹299/hour to win: the recommended price changes only when the editable conversion assumptions justify the lower price. Validate GST, invoicing and transport principal/agent treatment with CA/legal counsel.</t>
  </si>
  <si>
    <t>Decision</t>
  </si>
  <si>
    <t>Why / Rule</t>
  </si>
  <si>
    <t>Top 5 Customer Acquisition Channels</t>
  </si>
  <si>
    <t>Launch Position</t>
  </si>
  <si>
    <t>Founder Rule</t>
  </si>
  <si>
    <t>Core promise; broad customer need</t>
  </si>
  <si>
    <t>Scale only after actual CAC, conversion and repeat cohorts validate the assumption.</t>
  </si>
  <si>
    <t>Simple first-use case; easier customer trial</t>
  </si>
  <si>
    <t>Clinic / Specialist Visit</t>
  </si>
  <si>
    <t>Frequent and understandable</t>
  </si>
  <si>
    <t>BASIC / CARE</t>
  </si>
  <si>
    <t>Naturally recurring journey</t>
  </si>
  <si>
    <t>Repeat frequency can improve LTV</t>
  </si>
  <si>
    <t>High trust and repeat potential</t>
  </si>
  <si>
    <t>Hospital Admission / Discharge</t>
  </si>
  <si>
    <t>High-value family pain point</t>
  </si>
  <si>
    <t>Three Things NOT to Spend Heavily On During MVP</t>
  </si>
  <si>
    <t>Three Scaling Triggers</t>
  </si>
  <si>
    <t>1</t>
  </si>
  <si>
    <t>Owned transport fleet</t>
  </si>
  <si>
    <t>Use asset-light third-party transport until density conclusively supports ownership.</t>
  </si>
  <si>
    <t>Trigger</t>
  </si>
  <si>
    <t>Threshold</t>
  </si>
  <si>
    <t>Scale?</t>
  </si>
  <si>
    <t>2</t>
  </si>
  <si>
    <t>Physical office / prestige overhead</t>
  </si>
  <si>
    <t>Customer trust and operations matter more than office optics in the pilot.</t>
  </si>
  <si>
    <t>3</t>
  </si>
  <si>
    <t>Large permanent management / tech team</t>
  </si>
  <si>
    <t>Keep costs variable until Whitefield repeat demand is proven.</t>
  </si>
  <si>
    <t>Operating profit</t>
  </si>
  <si>
    <t>Next Hire &amp; Expansion Readiness</t>
  </si>
  <si>
    <t>Selected Profit Target — Required Scale</t>
  </si>
  <si>
    <t>Rule</t>
  </si>
  <si>
    <t>Selected Target</t>
  </si>
  <si>
    <t>Required</t>
  </si>
  <si>
    <t>Next permanent hire</t>
  </si>
  <si>
    <t>First hiring row still showing WAIT.</t>
  </si>
  <si>
    <t>Expansion beyond Whitefield</t>
  </si>
  <si>
    <t>Require journey density + repeat + positive economics.</t>
  </si>
  <si>
    <t>Current cash runway</t>
  </si>
  <si>
    <t>Based on current cash and 12-month model.</t>
  </si>
  <si>
    <t>Angels</t>
  </si>
  <si>
    <t>90-Day Founder Execution Plan</t>
  </si>
  <si>
    <t>Phase</t>
  </si>
  <si>
    <t>Pricing</t>
  </si>
  <si>
    <t>Customer</t>
  </si>
  <si>
    <t>Operations</t>
  </si>
  <si>
    <t>Finance</t>
  </si>
  <si>
    <t>Data to Capture</t>
  </si>
  <si>
    <t>Decision Gate</t>
  </si>
  <si>
    <t>Days 1–30</t>
  </si>
  <si>
    <t>Acquire first paying families</t>
  </si>
  <si>
    <t>Use flexible Angels; founder-led ops</t>
  </si>
  <si>
    <t>Measure actual contribution / journey</t>
  </si>
  <si>
    <t>Conversion, duration, Angel hours, cancellations, customer rating</t>
  </si>
  <si>
    <t>Do customers pay and repeat?</t>
  </si>
  <si>
    <t>Do not hire fixed team</t>
  </si>
  <si>
    <t>Days 31–60</t>
  </si>
  <si>
    <t>Optimize repeat + service mix</t>
  </si>
  <si>
    <t>Push referrals + recurring services</t>
  </si>
  <si>
    <t>Increase Whitefield density / reduce dead time</t>
  </si>
  <si>
    <t>Track CAC payback + contribution/Angel hr</t>
  </si>
  <si>
    <t>Repeat %, CAC by channel, recurring journey mix</t>
  </si>
  <si>
    <t>Can Lean MVP fixed costs be supported?</t>
  </si>
  <si>
    <t>Do not expand geography</t>
  </si>
  <si>
    <t>Days 61–90</t>
  </si>
  <si>
    <t>Prove repeatable economics</t>
  </si>
  <si>
    <t>Build NRI / recurring cohorts</t>
  </si>
  <si>
    <t>Add capacity only if utilization requires it</t>
  </si>
  <si>
    <t>Prove break-even trajectory + runway</t>
  </si>
  <si>
    <t>LTV/CAC, monthly contribution, utilization, referral conversion</t>
  </si>
  <si>
    <t>Scale Whitefield or remain ultra-lean?</t>
  </si>
  <si>
    <t>Do not buy vehicles / office</t>
  </si>
  <si>
    <t>Weekly Founder Metrics — Watch These Before Vanity Revenue</t>
  </si>
  <si>
    <t>Current Model</t>
  </si>
  <si>
    <t>Founder Target / Rule</t>
  </si>
  <si>
    <t>Why It Matters</t>
  </si>
  <si>
    <t>Lead → booking conversion</t>
  </si>
  <si>
    <t>&gt;= 35% or improve channel / proposition</t>
  </si>
  <si>
    <t>Shows whether pricing + trust proposition converts</t>
  </si>
  <si>
    <t>&gt;= ₹150 target hypothesis</t>
  </si>
  <si>
    <t>Protects scarce Angel capacity</t>
  </si>
  <si>
    <t>&gt;= 40% before expansion</t>
  </si>
  <si>
    <t>Reduces CAC dependence</t>
  </si>
  <si>
    <t>60–75% before fixed hiring</t>
  </si>
  <si>
    <t>Detects overstaffing / density</t>
  </si>
  <si>
    <t>Contribution after CAC / new family</t>
  </si>
  <si>
    <t>&gt; 0 quickly; improve with repeat</t>
  </si>
  <si>
    <t>Prevents buying unprofitable growth</t>
  </si>
  <si>
    <t>NivrāaCare — Dynamic Unit Economics Dashboard | CFO View</t>
  </si>
  <si>
    <t>Service Selector Source</t>
  </si>
  <si>
    <t>Hour Options</t>
  </si>
  <si>
    <t>Select service + hours. Case 1 = patient arranges transport. Case 2 = NivrāaCare coordinates a third-party cab. Contribution is before fixed costs.</t>
  </si>
  <si>
    <t>Hospital Visit — Concierge at Hospital</t>
  </si>
  <si>
    <t>Selected Service</t>
  </si>
  <si>
    <t>Selected Hours</t>
  </si>
  <si>
    <t>Contribution Before Fixed Costs</t>
  </si>
  <si>
    <t>Case 1 — Patient Transport</t>
  </si>
  <si>
    <t>Case 2 — NivrāaCare 3P Cab</t>
  </si>
  <si>
    <t>Case 1</t>
  </si>
  <si>
    <t>Case 2</t>
  </si>
  <si>
    <t>Service Pricing Multiplier</t>
  </si>
  <si>
    <t>Uplift</t>
  </si>
  <si>
    <t>Customer Care Price (incl. GST)</t>
  </si>
  <si>
    <t>Transport Customer Collection</t>
  </si>
  <si>
    <t>Pass-through Cab Amount</t>
  </si>
  <si>
    <t>Total Customer Outflow</t>
  </si>
  <si>
    <t>Variable Delivery Cost</t>
  </si>
  <si>
    <t>Contribution / Service Hour</t>
  </si>
  <si>
    <t>Contribution Uplift vs Case 1</t>
  </si>
  <si>
    <t>Selected Hours is a dashboard-only scenario override. Minimum billing remains 2 hours. Service multipliers reflect effort/value and remain editable in Service Economics.</t>
  </si>
  <si>
    <t>Selected Journey — Detailed CFO Breakup</t>
  </si>
  <si>
    <t>CFO Formula / Meaning</t>
  </si>
  <si>
    <t>CFO Lens — What the Journey Really Earns</t>
  </si>
  <si>
    <t>See Customer Care Price Build-Up below for the complete tier-by-tier calculation.</t>
  </si>
  <si>
    <t>Current Angel Utilization</t>
  </si>
  <si>
    <t>Less: Embedded GST</t>
  </si>
  <si>
    <t>Customer care price less net care revenue; reflects embedded GST.</t>
  </si>
  <si>
    <t>Target Angel Utilization</t>
  </si>
  <si>
    <t>Care revenue after removing GST.</t>
  </si>
  <si>
    <t>Current Fully Loaded Angel Cost / Hr</t>
  </si>
  <si>
    <t>Medical Tourism — Concierge Package (24 HR Basis)</t>
  </si>
  <si>
    <t>Case 2 = cab reimbursement + transport coordination fee.</t>
  </si>
  <si>
    <t>Target Fully Loaded Angel Cost / Hr</t>
  </si>
  <si>
    <t>Less: Pass-through Cab Amount</t>
  </si>
  <si>
    <t>Cab reimbursement collected and paid onward; not operating revenue.</t>
  </si>
  <si>
    <t>Case 1 Incremental Contribution / Hr</t>
  </si>
  <si>
    <t>Transport Coordination Fee</t>
  </si>
  <si>
    <t>Transport collection less pass-through cab amount.</t>
  </si>
  <si>
    <t>Case 2 Incremental Contribution / Hr</t>
  </si>
  <si>
    <t>Net care revenue + net transport coordination revenue.</t>
  </si>
  <si>
    <t>Case 1 Fully Loaded Contribution — Current</t>
  </si>
  <si>
    <t>Care gateway fee + fixed gateway fee + transport gateway fee where applicable.</t>
  </si>
  <si>
    <t>Case 2 Fully Loaded Contribution — Current</t>
  </si>
  <si>
    <t>Ops / Support Allocation</t>
  </si>
  <si>
    <t>Per-journey operating/support variable allocation.</t>
  </si>
  <si>
    <t>Case 1 Fully Loaded Contribution — Target</t>
  </si>
  <si>
    <t>Insurance / Risk Reserve</t>
  </si>
  <si>
    <t>Per-journey insurance / risk reserve.</t>
  </si>
  <si>
    <t>Case 2 Fully Loaded Contribution — Target</t>
  </si>
  <si>
    <t>WhatsApp / SMS / Communication</t>
  </si>
  <si>
    <t>Per-journey messaging / communication cost.</t>
  </si>
  <si>
    <t>Case 2 Transport Uplift</t>
  </si>
  <si>
    <t>BGV + Training Allocation</t>
  </si>
  <si>
    <t>Per-journey BGV/training allocation.</t>
  </si>
  <si>
    <t>Current Density Status</t>
  </si>
  <si>
    <t>Refund / Service Recovery Reserve</t>
  </si>
  <si>
    <t>Expected refund / service recovery reserve.</t>
  </si>
  <si>
    <t>Expected NC Credits Cost</t>
  </si>
  <si>
    <t>Net care revenue × expected NC loyalty cost rate.</t>
  </si>
  <si>
    <t>CFO interpretation: Contribution Before Fixed Costs is the marginal journey economics. Fully Loaded Contribution additionally allocates salaried Angel payroll. When utilization is low, the same payroll is spread across too few productive hours, so a journey can look highly profitable incrementally while producing much less fully loaded contribution.</t>
  </si>
  <si>
    <t>Incremental Angel Cost</t>
  </si>
  <si>
    <t>Selected hours × no. of Angels × incremental Angel cost/hour.</t>
  </si>
  <si>
    <t>Transport Ops / Booking Support</t>
  </si>
  <si>
    <t>Additional booking / coordination ops cost for Case 2 only.</t>
  </si>
  <si>
    <t>Total Variable Delivery Cost</t>
  </si>
  <si>
    <t>Sum of all variable delivery costs above.</t>
  </si>
  <si>
    <t>Net operating revenue − total variable delivery cost.</t>
  </si>
  <si>
    <t>Fully Loaded Angel Payroll — Current Utilization</t>
  </si>
  <si>
    <t>Selected hours × no. of Angels × current payroll cost/productive hour.</t>
  </si>
  <si>
    <t>Key operating lever: increase journey density and Angel utilization before adding fixed payroll. At target utilization, fully loaded cost/hour falls materially and more of the journey contribution becomes available to cover central fixed costs and EBITDA.</t>
  </si>
  <si>
    <t>Fully Loaded Contribution — Current Utilization</t>
  </si>
  <si>
    <t>Incremental contribution less current fully loaded Angel payroll allocation.</t>
  </si>
  <si>
    <t>Fully Loaded Contribution — Target Utilization</t>
  </si>
  <si>
    <t>Incremental contribution less Angel payroll allocation at target utilization.</t>
  </si>
  <si>
    <t>LEGACY PRICE BREAKOUT — HISTORICAL REFERENCE ONLY</t>
  </si>
  <si>
    <t>Price Component</t>
  </si>
  <si>
    <t>Calculation</t>
  </si>
  <si>
    <t>Why It Exists</t>
  </si>
  <si>
    <t>Live Founder Formula</t>
  </si>
  <si>
    <t>Selected Actual Hours</t>
  </si>
  <si>
    <t>Dashboard scenario input</t>
  </si>
  <si>
    <t>Actual journey duration selected by founder.</t>
  </si>
  <si>
    <t>Minimum Billable Hours</t>
  </si>
  <si>
    <t>MVP-1 assumption</t>
  </si>
  <si>
    <t>Protects minimum journey economics.</t>
  </si>
  <si>
    <t>Billable Hours</t>
  </si>
  <si>
    <t>MAX(Actual Hours, Minimum Hours)</t>
  </si>
  <si>
    <t>Customer is billed at least the minimum.</t>
  </si>
  <si>
    <t>Legacy 4-hour threshold</t>
  </si>
  <si>
    <t>Hours up to this threshold use the base rate.</t>
  </si>
  <si>
    <t>Legacy First 4h Hours</t>
  </si>
  <si>
    <t>Historical split only; not used in active Pricing Engine</t>
  </si>
  <si>
    <t>Number of hours charged at ₹299/hour.</t>
  </si>
  <si>
    <t>Base Hourly Rate</t>
  </si>
  <si>
    <t>Customer-facing rate for the first tier.</t>
  </si>
  <si>
    <t>Pricing rule: every billable hour uses the same effective service rate = ₹299 × service multiplier. The ₹199 Care Coordination Fee is added once and is never multiplied.</t>
  </si>
  <si>
    <t>Legacy First 4h Service Value</t>
  </si>
  <si>
    <t>Historical split only</t>
  </si>
  <si>
    <t>Value of the first 4 billable hours after applying the service-specific rate adjustment.</t>
  </si>
  <si>
    <t>Extended Billable Hours</t>
  </si>
  <si>
    <t>Historical additional-hours split only</t>
  </si>
  <si>
    <t>Only hours above 4 get the lower extended rate.</t>
  </si>
  <si>
    <t>Additional-Hour Effective Rate</t>
  </si>
  <si>
    <t>Base Hourly Rate × Service Multiplier</t>
  </si>
  <si>
    <t>Additional hours continue at the same effective service rate.</t>
  </si>
  <si>
    <t>Additional-Hour Service Value</t>
  </si>
  <si>
    <t>Additional Hours × Effective Rate</t>
  </si>
  <si>
    <t>Value of time beyond hour 4; no separate ₹269 discount is applied.</t>
  </si>
  <si>
    <t>Total Adjusted Hourly Service Value</t>
  </si>
  <si>
    <t>Historical first-4h + additional-hours reference</t>
  </si>
  <si>
    <t>Total hourly service value after the service adjustment.</t>
  </si>
  <si>
    <t>Selected service multiplier</t>
  </si>
  <si>
    <t>Adjusts price for effort, complexity and service scope.</t>
  </si>
  <si>
    <t>Effective Service Rate / Hour</t>
  </si>
  <si>
    <t>Base Rate × Service Multiplier</t>
  </si>
  <si>
    <t>Same effective rate applies to all billable hours.</t>
  </si>
  <si>
    <t>Care Coordination Fee</t>
  </si>
  <si>
    <t>Fixed fee per journey</t>
  </si>
  <si>
    <t>Booking, coordination and journey-level operating overhead.</t>
  </si>
  <si>
    <t>Adjusted Hourly Service Value + Coordination Fee</t>
  </si>
  <si>
    <t>Final customer-facing care price before transport.</t>
  </si>
  <si>
    <t>Embedded GST</t>
  </si>
  <si>
    <t>Customer Price − Net Care Revenue</t>
  </si>
  <si>
    <t>GST embedded inside the customer-facing care price.</t>
  </si>
  <si>
    <t>Customer Price ÷ (1 + GST %)</t>
  </si>
  <si>
    <t>Revenue retained for operating economics before variable costs.</t>
  </si>
  <si>
    <t>Change only blue numbers. Change any input and service profitability updates automatically. NC loyalty assumptions are controlled separately in the 'NC Credits' sheet.</t>
  </si>
  <si>
    <t>Governance</t>
  </si>
  <si>
    <t>Base customer charge per concierge hour</t>
  </si>
  <si>
    <t>Linked to Global Pricing Config — active master base hourly rate</t>
  </si>
  <si>
    <t>Founder Assumption</t>
  </si>
  <si>
    <t>Market Test / CA Confirmation</t>
  </si>
  <si>
    <t>Market Test</t>
  </si>
  <si>
    <t>Legacy extended-hour price (inactive)</t>
  </si>
  <si>
    <t>Historical assumption only. Not used in current MVP pricing engine.</t>
  </si>
  <si>
    <t>Minimum booking hours (MVP1)</t>
  </si>
  <si>
    <t>Linked to MVP1 Pricing &amp; SKU</t>
  </si>
  <si>
    <t>PAYROLL ANGEL ECONOMICS</t>
  </si>
  <si>
    <t>Active payroll Angels</t>
  </si>
  <si>
    <t>Initial payroll team assumption</t>
  </si>
  <si>
    <t>Monthly salary / Angel</t>
  </si>
  <si>
    <t>₹ / Angel / month</t>
  </si>
  <si>
    <t>Based on founder working plan</t>
  </si>
  <si>
    <t>Angel working days / month</t>
  </si>
  <si>
    <t>days</t>
  </si>
  <si>
    <t>Scheduled hours / Angel / day</t>
  </si>
  <si>
    <t>Target productive utilization</t>
  </si>
  <si>
    <t>Planning utilization target</t>
  </si>
  <si>
    <t>Monthly Angel payroll</t>
  </si>
  <si>
    <t>₹ / month</t>
  </si>
  <si>
    <t>Derived Formula</t>
  </si>
  <si>
    <t>Active payroll Angels × salary / Angel</t>
  </si>
  <si>
    <t>Available Angel hours / month</t>
  </si>
  <si>
    <t>hours / month</t>
  </si>
  <si>
    <t>Angels × days × scheduled hours</t>
  </si>
  <si>
    <t>Target productive Angel hours / month</t>
  </si>
  <si>
    <t>Available hours × target utilization</t>
  </si>
  <si>
    <t>Target fully loaded Angel cost / productive hour</t>
  </si>
  <si>
    <t>₹ / productive hour</t>
  </si>
  <si>
    <t>Payroll ÷ target productive hours</t>
  </si>
  <si>
    <t>Current productive Angel hours / month</t>
  </si>
  <si>
    <t>Current completed journeys × weighted avg duration</t>
  </si>
  <si>
    <t>Current fully loaded Angel cost / productive hour</t>
  </si>
  <si>
    <t>Payroll ÷ current productive hours</t>
  </si>
  <si>
    <t>NivrāaCare — Dynamic Service Unit Economics | Incremental vs Fully Loaded Contribution</t>
  </si>
  <si>
    <t>Edit BLUE input cells (hours, service multiplier, fixed premium, Angel count, and optional overrides). MVP-1 pricing is controlled from 'MVP1 Pricing &amp; SKU'; expected NC loyalty cost is controlled from 'NC Credits'. Overnight / very-long-duration rows are marked manual.</t>
  </si>
  <si>
    <t>Effective Service Rate / Hr</t>
  </si>
  <si>
    <t>Customer Service Price
(Incl GST; ₹299 × multiplier × billable hours + ₹199 fee)</t>
  </si>
  <si>
    <t>CASE 1 Variable Delivery Cost</t>
  </si>
  <si>
    <t>CASE 1 Contribution Before Fixed Costs</t>
  </si>
  <si>
    <t>CASE 1 Contribution Margin</t>
  </si>
  <si>
    <t>Net Transport Coordination Contribution</t>
  </si>
  <si>
    <t>CASE 2 Total Direct Cash Cost</t>
  </si>
  <si>
    <t>CASE 2 Contribution Before Fixed Costs</t>
  </si>
  <si>
    <t>CASE 2 Contribution Margin</t>
  </si>
  <si>
    <t>Contribution / Service Hour C1</t>
  </si>
  <si>
    <t>Contribution / Service Hour C2</t>
  </si>
  <si>
    <t>Expected NC Loyalty Cost</t>
  </si>
  <si>
    <t>Pricing Mode</t>
  </si>
  <si>
    <t>Incremental Angel Cost / Hr</t>
  </si>
  <si>
    <t>Target Fully Loaded Angel Cost</t>
  </si>
  <si>
    <t>CASE 1 Fully Loaded Contribution</t>
  </si>
  <si>
    <t>CASE 1 Fully Loaded Margin</t>
  </si>
  <si>
    <t>CASE 2 Fully Loaded Contribution</t>
  </si>
  <si>
    <t>CASE 2 Fully Loaded Margin</t>
  </si>
  <si>
    <t>Fully Loaded Contribution / Angel Hr</t>
  </si>
  <si>
    <t>Recurring / Strategic Potential</t>
  </si>
  <si>
    <t>Multiplier Reason</t>
  </si>
  <si>
    <t>Full journey: home → facility → return / safe handover</t>
  </si>
  <si>
    <t>Hospital-only support; reduced travel and handover responsibility</t>
  </si>
  <si>
    <t>Shorter, lower-complexity outpatient journey</t>
  </si>
  <si>
    <t>Generally simpler navigation / diagnostic-only workflow</t>
  </si>
  <si>
    <t>Structured preventive-care journey; moderate coordination</t>
  </si>
  <si>
    <t>Higher coordination, documentation and handoff complexity</t>
  </si>
  <si>
    <t>Higher coordination and post-discharge handover responsibility</t>
  </si>
  <si>
    <t>Long-duration service; manual pricing should supersede multiplier</t>
  </si>
  <si>
    <t>Long-duration service; manual shift pricing</t>
  </si>
  <si>
    <t>Procedure-day complexity and extended coordination</t>
  </si>
  <si>
    <t>Preparation, records and multi-party coordination</t>
  </si>
  <si>
    <t>Standard follow-up journey with moderate coordination</t>
  </si>
  <si>
    <t>Recurring-service pricing; predictable workflow</t>
  </si>
  <si>
    <t>Recurring but higher emotional / coordination intensity</t>
  </si>
  <si>
    <t>Recurring treatment with relatively standardized workflow</t>
  </si>
  <si>
    <t>Recurring, lower-complexity visit</t>
  </si>
  <si>
    <t>Recurring care; predictable repeat workflow</t>
  </si>
  <si>
    <t>Premium family coordination, updates and trust layer</t>
  </si>
  <si>
    <t>Coordination-heavy but limited physical journey complexity</t>
  </si>
  <si>
    <t>Remote / low travel intensity</t>
  </si>
  <si>
    <t>Administrative coordination; limited physical accompaniment</t>
  </si>
  <si>
    <t>Administrative coordination with moderate complexity</t>
  </si>
  <si>
    <t>Higher coordination and transfer responsibility</t>
  </si>
  <si>
    <t>Transfer coordination with moderate risk and handover</t>
  </si>
  <si>
    <t>Urgent coordination premium; higher operational readiness</t>
  </si>
  <si>
    <t>Coordination service; limited accompaniment</t>
  </si>
  <si>
    <t>Future / manual packaged pricing; not standard MVP hourly logic</t>
  </si>
  <si>
    <t>Low-complexity administrative / fulfilment coordination</t>
  </si>
  <si>
    <t>Communication-focused support; no full physical journey</t>
  </si>
  <si>
    <t>Founder model for Whitefield-only launch. Service revenue flows from the MVP-1 hourly pricing engine: ₹299/hour × service-specific multiplier × billable hours + ₹199 fee, 2h minimum. ₹269 is retained only as a legacy reference and is not used in active pricing.</t>
  </si>
  <si>
    <t>Other service-level variable cost</t>
  </si>
  <si>
    <t>Editable by service</t>
  </si>
  <si>
    <t>NC Credits expected cost</t>
  </si>
  <si>
    <t>Expected loyalty redemption cost</t>
  </si>
  <si>
    <t>TOTAL VARIABLE COST</t>
  </si>
  <si>
    <t>Should reconcile to Net Revenue − Contribution</t>
  </si>
  <si>
    <t>Includes payroll Angel salaries from Global Inputs</t>
  </si>
  <si>
    <t>Monthly contribution before fixed costs</t>
  </si>
  <si>
    <t>Included Angel Payroll (memo)</t>
  </si>
  <si>
    <t>Already included in TOTAL FIXED COSTS above</t>
  </si>
  <si>
    <t>Case 1 Contribution/Journey</t>
  </si>
  <si>
    <t>Case 2 Contribution/Journey</t>
  </si>
  <si>
    <t>Monthly Contribution Before Fixed Costs</t>
  </si>
  <si>
    <t>Monthly EBITDA / operating profit</t>
  </si>
  <si>
    <t>NivrāaCare — Profit Maximizer &amp; CFO Decision Support | Fully Loaded View</t>
  </si>
  <si>
    <t>Ranks modeled economics after payroll allocation while preserving recurring potential and operational complexity. Manual-priced overnight / 24h services are excluded from automatic 'highest' insights.</t>
  </si>
  <si>
    <t>Highest modeled eligible contribution / journey</t>
  </si>
  <si>
    <t>Fully loaded blended contribution</t>
  </si>
  <si>
    <t>Highest modeled eligible contribution / Angel hour</t>
  </si>
  <si>
    <t>Highest recurring strategic potential</t>
  </si>
  <si>
    <t>Potential score</t>
  </si>
  <si>
    <t>Lowest fully loaded margin service</t>
  </si>
  <si>
    <t>Fully loaded margin</t>
  </si>
  <si>
    <t>Service Profitability &amp; Capacity Ranking — Incremental + Fully Loaded Views</t>
  </si>
  <si>
    <t>Model Score</t>
  </si>
  <si>
    <t>Optimized Mix %</t>
  </si>
  <si>
    <t>Case 1 Fully Loaded Contribution</t>
  </si>
  <si>
    <t>Case 2 Fully Loaded Contribution</t>
  </si>
  <si>
    <t>Portfolio</t>
  </si>
  <si>
    <t>Auto-Rank Blended Contribution</t>
  </si>
  <si>
    <t>Auto-Rank Contribution / Angel Hr</t>
  </si>
  <si>
    <t>Portfolio multiplier factor</t>
  </si>
  <si>
    <t>NivrāaCare — Path to Profitability | Whitefield CFO Model</t>
  </si>
  <si>
    <t>Purpose: show the path from validation → fully loaded break-even → operating profit using base hourly pricing, service multipliers, NivrāaCredits and payroll Angel economics.</t>
  </si>
  <si>
    <t>Includes ₹240k full-team overhead + payroll Angel salaries from Global Inputs</t>
  </si>
  <si>
    <t>Hold MVP-1 pricing stable until actual cohort data exists</t>
  </si>
  <si>
    <t>Review after 50–100 completed journeys</t>
  </si>
  <si>
    <t>Avoid changing price based only on modeled sensitivity; conversion and repeat behavior must validate the move.</t>
  </si>
  <si>
    <t>Test only after real conversion data; this is a sensitivity, not an MVP launch recommendation.</t>
  </si>
  <si>
    <t>Portfolio multiplier factor sensitivity</t>
  </si>
  <si>
    <t>Test after 50–100 journeys; do not add extra pricing tiers in MVP-1.</t>
  </si>
  <si>
    <t>NC CREDIT NOTE — Earned NC is modeled as an expected loyalty/retention cost using the redemption assumption in the NC Credits sheet. Welcome/referral NC, if activated later, is treated as CAC rather than ordinary journey contribution cost.</t>
  </si>
  <si>
    <t>NivrāaCare — Growth, Pricing &amp; Profitability Strategy | Founder CFO Decision Engine</t>
  </si>
  <si>
    <t>Objective: optimize Price → Conversion → Customers → Repeat Usage → Monthly Journeys → Angel Utilization → Contribution → Fixed-Cost Coverage → EBITDA → Cash Runway.</t>
  </si>
  <si>
    <t>Selected base hourly rate</t>
  </si>
  <si>
    <t>Journey / coordination fee</t>
  </si>
  <si>
    <t>MVP-1 first 4 hours; central pricing input</t>
  </si>
  <si>
    <t>Care journey activation / coordination fee</t>
  </si>
  <si>
    <t>Minimum billable hours</t>
  </si>
  <si>
    <t>Customer billing minimum</t>
  </si>
  <si>
    <t>Legacy reference only; not used in active pricing.</t>
  </si>
  <si>
    <t>NivrāaCredit earn rate</t>
  </si>
  <si>
    <t>Expected NC cost / journey</t>
  </si>
  <si>
    <t>Monthly expected NC cost</t>
  </si>
  <si>
    <t>NC face value issued / month</t>
  </si>
  <si>
    <t>Lean MVP fixed cost incl. payroll Angel salaries</t>
  </si>
  <si>
    <t>Reference threshold only; all hours use the same base hourly rate × service multiplier.</t>
  </si>
  <si>
    <t>1–2. MVP-1 Base Hourly Pricing + Duration Economics</t>
  </si>
  <si>
    <t>Contribution %</t>
  </si>
  <si>
    <t>3. MVP-1 Pricing Comparison — Planning Sensitivity</t>
  </si>
  <si>
    <t>Scenario</t>
  </si>
  <si>
    <t>Additional-Hour Base Rate</t>
  </si>
  <si>
    <t>Conversion Assumption</t>
  </si>
  <si>
    <t>Avg Customer Care Bill</t>
  </si>
  <si>
    <t>Expected Monthly Profit / (Loss)</t>
  </si>
  <si>
    <t>MVP1 SELECTED SUMMARY</t>
  </si>
  <si>
    <t>₹249 all hours</t>
  </si>
  <si>
    <t>Base hourly rate</t>
  </si>
  <si>
    <t>₹299 all hours — CURRENT</t>
  </si>
  <si>
    <t>Base hourly rate — all hours</t>
  </si>
  <si>
    <t>₹349 all hours</t>
  </si>
  <si>
    <t>Journey fee</t>
  </si>
  <si>
    <t>₹399 all hours</t>
  </si>
  <si>
    <t>₹449 all hours</t>
  </si>
  <si>
    <t>4. Price vs Conversion — Base Hourly Rate Sensitivity</t>
  </si>
  <si>
    <t>Demand Journeys</t>
  </si>
  <si>
    <t>Profit Rank</t>
  </si>
  <si>
    <t>MVP1 selected base hourly rate</t>
  </si>
  <si>
    <t>MVP1 additional-hour base rate</t>
  </si>
  <si>
    <t>MVP1 journey fee</t>
  </si>
  <si>
    <t>Modeled best base hourly rate under current assumptions</t>
  </si>
  <si>
    <t>Interpretation</t>
  </si>
  <si>
    <t>Sensitivity only — do not change MVP-1 pricing until real conversion and repeat data is available.</t>
  </si>
  <si>
    <t>Paid CAC + subsidy + referral + NC promotional credits</t>
  </si>
  <si>
    <t>Welcome NC promotional value</t>
  </si>
  <si>
    <t>Loyalty acquisition</t>
  </si>
  <si>
    <t>Future; 0 at MVP launch</t>
  </si>
  <si>
    <t>Referral NC promotional value</t>
  </si>
  <si>
    <t>NivrāaCare — Founder Playbook | CFO Operating Rules</t>
  </si>
  <si>
    <t>Founder decision page driven by base hourly pricing, service multipliers, NC Credits, Angel payroll economics, Whitefield demand and cash discipline.</t>
  </si>
  <si>
    <t>FOUNDER PLAYBOOK — CFO OPERATING RULES</t>
  </si>
  <si>
    <t>Customer pricing</t>
  </si>
  <si>
    <t>₹299/hour × service multiplier</t>
  </si>
  <si>
    <t>MVP-1 headline pricing. The service multiplier differentiates scope, effort and responsibility.</t>
  </si>
  <si>
    <t>Minimum booking</t>
  </si>
  <si>
    <t>2-hour minimum protects journey-level activation costs.</t>
  </si>
  <si>
    <t>Historical reference only</t>
  </si>
  <si>
    <t>Current active pricing uses the same effective service rate for all billable hours.</t>
  </si>
  <si>
    <t>₹199 helps recover booking-level coordination and fixed journey costs.</t>
  </si>
  <si>
    <t>Additional-hour rule</t>
  </si>
  <si>
    <t>Same effective service rate</t>
  </si>
  <si>
    <t>Additional hours = ₹299 × service multiplier. Do not apply a separate ₹269 discount.</t>
  </si>
  <si>
    <t>Fixed-cost ceiling</t>
  </si>
  <si>
    <t>Current contribution before fixed costs is the maximum fixed-cost ceiling without growth.</t>
  </si>
  <si>
    <t>Current Whitefield break-even volume including Angel payroll in fixed cost.</t>
  </si>
  <si>
    <t>Daily completed-journey requirement at current economics.</t>
  </si>
  <si>
    <t>Repeat target</t>
  </si>
  <si>
    <t>Repeat-rate planning target; validate with cohorts.</t>
  </si>
  <si>
    <t>Maximum safe CAC</t>
  </si>
  <si>
    <t>Safe CAC ceiling = 12-month contribution LTV × founder safety factor; validate with actual payback.</t>
  </si>
  <si>
    <t>Operating structure should follow proven journey density.</t>
  </si>
  <si>
    <t>Lowest-risk strategy</t>
  </si>
  <si>
    <t>Risk posture driven by current EBITDA and utilization.</t>
  </si>
  <si>
    <t>NC Credits program</t>
  </si>
  <si>
    <t>3 NC / ₹100 eligible spend</t>
  </si>
  <si>
    <t>Treat earned NC as retention cost. Keep simple; measure whether NC changes repeat behavior before expanding rewards.</t>
  </si>
  <si>
    <t>SERVICE MULTIPLIER PRINCIPLE — Different services should not all be multiplier 1.00. Price by effort, responsibility, risk and customer value; validate after real journeys.</t>
  </si>
  <si>
    <t>Current Hospital-only Concierge multiplier</t>
  </si>
  <si>
    <t>Lower than full Hospital Visit because home pickup / return / safe-handover responsibility is reduced.</t>
  </si>
  <si>
    <t>Planning assumption</t>
  </si>
  <si>
    <t>Launch ₹299/hour × service multiplier + ₹199 fee; measure conversion, duration and repeat behavior.</t>
  </si>
  <si>
    <t>Keep the launch structure stable unless real data shows a clear issue; avoid extra tiers</t>
  </si>
  <si>
    <t>Use actual 50–100 journey cohorts to decide whether the ₹299 base rate or service multipliers should change.</t>
  </si>
  <si>
    <t>NivrāaCare — NivrāaCredits Loyalty Economics</t>
  </si>
  <si>
    <t>Founder-configurable loyalty model. Credits are earned on eligible NivrāaCare care-service spend, exclude transport/pass-through charges, and are issued only after successful journey completion.</t>
  </si>
  <si>
    <t>NC CREDIT PROGRAM ASSUMPTIONS — EDIT BLUE INPUTS</t>
  </si>
  <si>
    <t>Program enabled (1=ON, 0=OFF)</t>
  </si>
  <si>
    <t>toggle</t>
  </si>
  <si>
    <t>Set to 0 to switch NC economics off without deleting formulas.</t>
  </si>
  <si>
    <t>% of eligible spend</t>
  </si>
  <si>
    <t>₹ value per 1 NivrāaCredit</t>
  </si>
  <si>
    <t>₹ / NC</t>
  </si>
  <si>
    <t>Current planning rule: 1 NivrāaCredit = ₹1 redemption value.</t>
  </si>
  <si>
    <t>Expected redemption rate</t>
  </si>
  <si>
    <t>% of issued value</t>
  </si>
  <si>
    <t>Planning assumption for expected economic cost / breakage.</t>
  </si>
  <si>
    <t>Maximum redemption per booking</t>
  </si>
  <si>
    <t>% of eligible service value</t>
  </si>
  <si>
    <t>Protects contribution; customer cannot fully pay a journey with NC.</t>
  </si>
  <si>
    <t>Credit expiry</t>
  </si>
  <si>
    <t>Planning policy; legal/accounting wording to be finalized before launch.</t>
  </si>
  <si>
    <t>Welcome NC (future)</t>
  </si>
  <si>
    <t>NC / new family</t>
  </si>
  <si>
    <t>Default 0 for MVP. If activated, treated as CAC.</t>
  </si>
  <si>
    <t>Referral NC reward (future)</t>
  </si>
  <si>
    <t>NC / successful referral</t>
  </si>
  <si>
    <t>Eligible spend factor</t>
  </si>
  <si>
    <t>% of eligible care-service spend</t>
  </si>
  <si>
    <t>100% of eligible care-service amount; transport, cab reimbursement and third-party pass-through excluded.</t>
  </si>
  <si>
    <t>Earn trigger</t>
  </si>
  <si>
    <t>Completed journey only</t>
  </si>
  <si>
    <t>policy</t>
  </si>
  <si>
    <t>Issue NC only after successful journey completion / closure.</t>
  </si>
  <si>
    <t>Expected loyalty cost rate</t>
  </si>
  <si>
    <t>₹ expected cost / ₹ eligible net revenue</t>
  </si>
  <si>
    <t>Equivalent expected loyalty cost rate applied to net care revenue. Gross eligible spend × Earn Rate × Expected Redemption.</t>
  </si>
  <si>
    <t>Face-value issuance rate</t>
  </si>
  <si>
    <t>₹ face value / ₹ eligible net revenue</t>
  </si>
  <si>
    <t>Equivalent face-value issuance rate applied to net care revenue. Gross eligible spend × Earn Rate.</t>
  </si>
  <si>
    <t>CURRENT SELECTED MODEL IMPACT — LINKED TO GROWTH &amp; PRICING STRATEGY</t>
  </si>
  <si>
    <t>Average customer care bill (incl. GST)</t>
  </si>
  <si>
    <t>Selected pricing engine gross care bill.</t>
  </si>
  <si>
    <t>Eligible care-service spend (customer billing basis)</t>
  </si>
  <si>
    <t>Care-service customer billing amount used for Credit earning; transport/pass-through excluded.</t>
  </si>
  <si>
    <t>NC earned / journey</t>
  </si>
  <si>
    <t>NC</t>
  </si>
  <si>
    <t>Face-value credits issued after completed journey.</t>
  </si>
  <si>
    <t>Face value issued / journey</t>
  </si>
  <si>
    <t>NC earned × ₹ value per NC.</t>
  </si>
  <si>
    <t>Expected redeemed NC cost / journey</t>
  </si>
  <si>
    <t>Face value × expected redemption rate.</t>
  </si>
  <si>
    <t>Pre-NC blended contribution / journey</t>
  </si>
  <si>
    <t>Contribution before loyalty cost.</t>
  </si>
  <si>
    <t>Post-NC blended contribution / journey</t>
  </si>
  <si>
    <t>Contribution after expected NC cost.</t>
  </si>
  <si>
    <t>Expected redemption cost at current completed journeys.</t>
  </si>
  <si>
    <t>Monthly NC face value issued</t>
  </si>
  <si>
    <t>Nominal NC issued at current completed journeys.</t>
  </si>
  <si>
    <t>Monthly operating profit after NC</t>
  </si>
  <si>
    <t>Linked to the NC-adjusted growth model.</t>
  </si>
  <si>
    <t>Break-even journeys / day after NC</t>
  </si>
  <si>
    <t>journeys / day</t>
  </si>
  <si>
    <t>NC-adjusted break-even.</t>
  </si>
  <si>
    <t>Contribution reduction from NC</t>
  </si>
  <si>
    <t>Expected NC cost ÷ pre-NC contribution.</t>
  </si>
  <si>
    <t>CUSTOMER-FACING EXAMPLE — CURRENT CONFIGURATION</t>
  </si>
  <si>
    <t>Example eligible care-service spend</t>
  </si>
  <si>
    <t>Illustrative Hospital Visit care charge; transport excluded.</t>
  </si>
  <si>
    <t>NivrāaCredits earned</t>
  </si>
  <si>
    <t>Whole Credits only; round down.</t>
  </si>
  <si>
    <t>Maximum NivrāaCredits redeemable on a future eligible booking</t>
  </si>
  <si>
    <t>Based on max-redemption cap.</t>
  </si>
  <si>
    <t>Expected model cost of Credits earned</t>
  </si>
  <si>
    <t>Expected redemption value used in economics.</t>
  </si>
  <si>
    <t>Suggested customer message</t>
  </si>
  <si>
    <t>Earn NC on completed NivrāaCare journeys and use them on future eligible services.</t>
  </si>
  <si>
    <t>NIVRĀACREDIT EARN-RATE SENSITIVITY — CURRENT VOLUME &amp; PRICING</t>
  </si>
  <si>
    <t>Earn Rate</t>
  </si>
  <si>
    <t>Credits / ₹100</t>
  </si>
  <si>
    <t>Expected Cost / Journey</t>
  </si>
  <si>
    <t>Adj. Contribution / Journey</t>
  </si>
  <si>
    <t>Monthly Credit Cost</t>
  </si>
  <si>
    <t>Model note: this is an expected-cost planning model, not an accounting opinion. Confirm loyalty-credit revenue recognition, expiry, GST treatment and liability presentation with the company's CA before launch.</t>
  </si>
  <si>
    <t>NivrāaCare — MVP-1 Duration Pricing, SKU &amp; Unit Economics</t>
  </si>
  <si>
    <t>Founder pricing engine: ₹299/hour × service-specific multiplier × billable hours + ₹199 Care Coordination Fee; 2-hour minimum. Transport is separate. ₹269 is retained only as a legacy/inactive reference.</t>
  </si>
  <si>
    <t>MVP-1 PRICING &amp; ECONOMIC ASSUMPTIONS — EDIT BLUE INPUTS</t>
  </si>
  <si>
    <t>CFO CHECK — PAYROLL ANGELS</t>
  </si>
  <si>
    <t>CUSTOMER-FACING MVP-1 PRICING</t>
  </si>
  <si>
    <t>Founder MVP-1 pricing decision</t>
  </si>
  <si>
    <t>Simple hourly pricing
Base rate: ₹299/hour
× service-specific rate adjustment
Minimum booking: 2 hours
₹199 Care Coordination Fee
Transport charged separately
Additional hours continue at the same effective service rate.</t>
  </si>
  <si>
    <t>Legacy 4-hour threshold (inactive)</t>
  </si>
  <si>
    <t>Historical reference only. Current pricing uses one effective service rate across all billable hours.</t>
  </si>
  <si>
    <t>Historical ₹269 assumption. Not used in current MVP pricing engine.</t>
  </si>
  <si>
    <t>Journey / Care Coordination Fee</t>
  </si>
  <si>
    <t>Separate booking-level fee</t>
  </si>
  <si>
    <t>Linked to Global Inputs</t>
  </si>
  <si>
    <t>Linked to Global Inputs; illustrative until CA confirms</t>
  </si>
  <si>
    <t>Payment gateway fee</t>
  </si>
  <si>
    <t>% of collection</t>
  </si>
  <si>
    <t>PRICING COMPARISON — EDIT CONVERSION ASSUMPTIONS</t>
  </si>
  <si>
    <t>Ops + insurance + communication + BGV/training + recovery reserve</t>
  </si>
  <si>
    <t>Avg Customer Price</t>
  </si>
  <si>
    <t>Linked to NC Credits</t>
  </si>
  <si>
    <t>Expected NC redemption</t>
  </si>
  <si>
    <t>% of journeys</t>
  </si>
  <si>
    <t>Linked to Growth &amp; Pricing Strategy</t>
  </si>
  <si>
    <t>₹ / Case 2 journey</t>
  </si>
  <si>
    <t>Expected NC loyalty cost rate</t>
  </si>
  <si>
    <t>% of eligible net service revenue</t>
  </si>
  <si>
    <t>BASE HOURLY ECONOMIC SAFETY CHECK — 1.00x SERVICE</t>
  </si>
  <si>
    <t>LEGACY SKU LABELS — NOT USED BY PRICING API</t>
  </si>
  <si>
    <t>Base gross revenue / hour</t>
  </si>
  <si>
    <t>SKU</t>
  </si>
  <si>
    <t>Customer Label</t>
  </si>
  <si>
    <t>Duration</t>
  </si>
  <si>
    <t>Pricing Rule</t>
  </si>
  <si>
    <t>Base net revenue / hour</t>
  </si>
  <si>
    <t>NC-C2</t>
  </si>
  <si>
    <t>Standard Care</t>
  </si>
  <si>
    <t>2–4 hours</t>
  </si>
  <si>
    <t>₹299/hour × service multiplier + ₹199 journey fee</t>
  </si>
  <si>
    <t>LEGACY</t>
  </si>
  <si>
    <t>Incremental Angel cost / hour</t>
  </si>
  <si>
    <t>NC-C4+</t>
  </si>
  <si>
    <t>Extended Care</t>
  </si>
  <si>
    <t>&gt;4 hours</t>
  </si>
  <si>
    <t>Same effective hourly rate after hour 4: ₹299 × service multiplier; + ₹199 fee</t>
  </si>
  <si>
    <t>Target fully loaded Angel cost / hour</t>
  </si>
  <si>
    <t>NC-OD</t>
  </si>
  <si>
    <t>Overnight / Long Duration</t>
  </si>
  <si>
    <t>Overnight / very long</t>
  </si>
  <si>
    <t>Separate manual pricing — current hourly formula is not auto-quoted to customers</t>
  </si>
  <si>
    <t>Future / Manual Pricing</t>
  </si>
  <si>
    <t>Gateway cost / hour</t>
  </si>
  <si>
    <t>NC expected cost / hour</t>
  </si>
  <si>
    <t>Other incremental operating cost / hour</t>
  </si>
  <si>
    <t>LEGACY DURATION BREAKOUT — HISTORICAL REFERENCE ONLY</t>
  </si>
  <si>
    <t>Incremental Base-Hour Contribution</t>
  </si>
  <si>
    <t>Actual Duration (hrs)</t>
  </si>
  <si>
    <t>Legacy First 4h Ref</t>
  </si>
  <si>
    <t>Legacy Additional Hours Ref</t>
  </si>
  <si>
    <t>Hourly Service Revenue</t>
  </si>
  <si>
    <t>Gross Customer Service Price</t>
  </si>
  <si>
    <t>GST Embedded</t>
  </si>
  <si>
    <t>Gateway Cost</t>
  </si>
  <si>
    <t>NC Expected Cost</t>
  </si>
  <si>
    <t>Total Variable Cost</t>
  </si>
  <si>
    <t>Contribution Before Transport</t>
  </si>
  <si>
    <t>Fully Loaded Base-Hour Contribution</t>
  </si>
  <si>
    <t>Economic status — fully loaded</t>
  </si>
  <si>
    <t>CFO note</t>
  </si>
  <si>
    <t>₹299 is the master hourly rate. Service-specific economics depend on the multiplier; use the Pricing Engine multiplier safety table for low/high-multiplier services.</t>
  </si>
  <si>
    <t>4-hour price</t>
  </si>
  <si>
    <t>5-hour price</t>
  </si>
  <si>
    <t>6-hour price</t>
  </si>
  <si>
    <t>8-hour price</t>
  </si>
  <si>
    <t>NivrāaCare — Angel Economics | Capacity, Utilization &amp; Fully Loaded Cost</t>
  </si>
  <si>
    <t>Purpose: separate incremental salaried-Angel economics from fully loaded payroll economics so unit margins are not overstated.</t>
  </si>
  <si>
    <t>ANGEL PAYROLL INPUTS</t>
  </si>
  <si>
    <t>CAPACITY &amp; COST ENGINE</t>
  </si>
  <si>
    <t>Target / Sustainable</t>
  </si>
  <si>
    <t>Working days / month</t>
  </si>
  <si>
    <t>Scheduled hours / day</t>
  </si>
  <si>
    <t>Idle Angel hours</t>
  </si>
  <si>
    <t>Incremental salaried Angel cost / hour</t>
  </si>
  <si>
    <t>Fully loaded Angel cost / productive hour</t>
  </si>
  <si>
    <t>Current model completed journeys</t>
  </si>
  <si>
    <t>journeys / month</t>
  </si>
  <si>
    <t>Revenue / Angel</t>
  </si>
  <si>
    <t>Current operational active Angels</t>
  </si>
  <si>
    <t>journeys / Angel / day</t>
  </si>
  <si>
    <t>STAFFING &amp; UTILIZATION DECISION ENGINE</t>
  </si>
  <si>
    <t>PAYROLL DENSITY SENSITIVITY</t>
  </si>
  <si>
    <t>Rule / Threshold</t>
  </si>
  <si>
    <t>Avg Hours / Journey</t>
  </si>
  <si>
    <t>Productive Hours</t>
  </si>
  <si>
    <t>Effective Payroll Cost / Productive Hr</t>
  </si>
  <si>
    <t>60%–75% healthy</t>
  </si>
  <si>
    <t>Idle hours / month</t>
  </si>
  <si>
    <t>&lt;25% of available hours preferred</t>
  </si>
  <si>
    <t>&gt;=1.0 before fixed hiring</t>
  </si>
  <si>
    <t>Current fully loaded cost / productive hour</t>
  </si>
  <si>
    <t>Track downward as density rises</t>
  </si>
  <si>
    <t>Required Angels at current volume</t>
  </si>
  <si>
    <t>Based on target utilization</t>
  </si>
  <si>
    <t>Required Angels at break-even</t>
  </si>
  <si>
    <t>Based on break-even volume</t>
  </si>
  <si>
    <t>Max sustainable journeys / month</t>
  </si>
  <si>
    <t>At target utilization and current avg duration</t>
  </si>
  <si>
    <t>NivrāaCare — Customer Economics | CAC, LTV, Retention &amp; NC Credits</t>
  </si>
  <si>
    <t>All retention and cohort inputs are founder planning assumptions until replaced by actual journey data. Contribution values link to the operating model.</t>
  </si>
  <si>
    <t>CUSTOMER ACQUISITION INPUTS</t>
  </si>
  <si>
    <t>RETENTION &amp; LTV INPUTS</t>
  </si>
  <si>
    <t>Paid CAC</t>
  </si>
  <si>
    <t>₹ / acquired family</t>
  </si>
  <si>
    <t>3-month journeys / acquired family</t>
  </si>
  <si>
    <t>journeys</t>
  </si>
  <si>
    <t>6-month journeys / acquired family</t>
  </si>
  <si>
    <t>Organic CAC</t>
  </si>
  <si>
    <t>12-month journeys / acquired family</t>
  </si>
  <si>
    <t>Paid acquisition mix</t>
  </si>
  <si>
    <t>Repeat rate</t>
  </si>
  <si>
    <t>Referral acquisition mix</t>
  </si>
  <si>
    <t>Second-journey rate</t>
  </si>
  <si>
    <t>Organic acquisition mix</t>
  </si>
  <si>
    <t>Third-journey rate</t>
  </si>
  <si>
    <t>Blended CAC</t>
  </si>
  <si>
    <t>Average days between journeys</t>
  </si>
  <si>
    <t>NRI Parent repeat rate</t>
  </si>
  <si>
    <t>Recurring-treatment repeat rate</t>
  </si>
  <si>
    <t>Sustainable contribution / journey for LTV</t>
  </si>
  <si>
    <t>LTV / CAC OUTPUTS</t>
  </si>
  <si>
    <t>RETENTION OPERATING METRICS</t>
  </si>
  <si>
    <t>Plan</t>
  </si>
  <si>
    <t>Actual</t>
  </si>
  <si>
    <t>Variance</t>
  </si>
  <si>
    <t>First-journey contribution</t>
  </si>
  <si>
    <t>₹ / family</t>
  </si>
  <si>
    <t>Second journey rate</t>
  </si>
  <si>
    <t>Third journey rate</t>
  </si>
  <si>
    <t>Journeys / active family / month</t>
  </si>
  <si>
    <t>x</t>
  </si>
  <si>
    <t>CAC payback journeys</t>
  </si>
  <si>
    <t>Approx CAC payback months</t>
  </si>
  <si>
    <t>months</t>
  </si>
  <si>
    <t>NC expected cost / journey</t>
  </si>
  <si>
    <t>Contribution after CAC — first journey</t>
  </si>
  <si>
    <t>ACTUAL VS PLAN — CUSTOMER ECONOMICS (ENTER ACTUALS WHEN AVAILABLE)</t>
  </si>
  <si>
    <t>DATA ASSUMPTION GOVERNANCE</t>
  </si>
  <si>
    <t>Variance %</t>
  </si>
  <si>
    <t>Type</t>
  </si>
  <si>
    <t>Meaning</t>
  </si>
  <si>
    <t>Observed operating data</t>
  </si>
  <si>
    <t>Planning input; not market fact</t>
  </si>
  <si>
    <t>Hypothesis to validate through customer behavior</t>
  </si>
  <si>
    <t>CAC vs LTV</t>
  </si>
  <si>
    <t>Calculated from model inputs</t>
  </si>
  <si>
    <t>3M LTV</t>
  </si>
  <si>
    <t>12M LTV</t>
  </si>
  <si>
    <t>Fixed cost</t>
  </si>
  <si>
    <t>EBITDA</t>
  </si>
  <si>
    <t>NivrāaCare — Service Portfolio | Pricing Multipliers &amp; Profitability Matrix</t>
  </si>
  <si>
    <t>Multipliers are editable MVP planning assumptions. Portfolio labels combine fully loaded contribution / Angel hour with recurring / strategic potential; they are decision aids, not market facts.</t>
  </si>
  <si>
    <t>SERVICE PRICING MULTIPLIER FRAMEWORK</t>
  </si>
  <si>
    <t>Multiplier</t>
  </si>
  <si>
    <t>Reason</t>
  </si>
  <si>
    <t>Default Duration</t>
  </si>
  <si>
    <t>Net Revenue</t>
  </si>
  <si>
    <t>Incremental Contribution</t>
  </si>
  <si>
    <t>Fully Loaded Contribution</t>
  </si>
  <si>
    <t>Fully Loaded Margin</t>
  </si>
  <si>
    <t>Recurring Potential</t>
  </si>
  <si>
    <t>PORTFOLIO INTERPRETATION</t>
  </si>
  <si>
    <t>MULTIPLIER SENSITIVITY — HOSPITAL-ONLY CONCIERGE | 6-HOUR EXAMPLE</t>
  </si>
  <si>
    <t>Label</t>
  </si>
  <si>
    <t>Founder Action</t>
  </si>
  <si>
    <t>Contribution / Hour</t>
  </si>
  <si>
    <t>Reference</t>
  </si>
  <si>
    <t>Check</t>
  </si>
  <si>
    <t>SCALE</t>
  </si>
  <si>
    <t>High contribution / Angel hour + high recurring/strategic potential</t>
  </si>
  <si>
    <t>Increase demand carefully; protect service quality.</t>
  </si>
  <si>
    <t>Full Hospital Visit 6h</t>
  </si>
  <si>
    <t>Multiplier 1.00</t>
  </si>
  <si>
    <t>RETAIN</t>
  </si>
  <si>
    <t>High economics but lower repeat / strategic score</t>
  </si>
  <si>
    <t>Keep as profitable supporting service.</t>
  </si>
  <si>
    <t>Hospital-only Concierge 6h</t>
  </si>
  <si>
    <t>Multiplier 0.80</t>
  </si>
  <si>
    <t>OPTIMIZE</t>
  </si>
  <si>
    <t>Strategically valuable but below-median fully loaded economics</t>
  </si>
  <si>
    <t>Improve price, workflow, utilization or service design.</t>
  </si>
  <si>
    <t>Price difference</t>
  </si>
  <si>
    <t>Customer savings vs full journey</t>
  </si>
  <si>
    <t>REVIEW</t>
  </si>
  <si>
    <t>Lower economics + lower strategic score</t>
  </si>
  <si>
    <t>Do not automatically remove; validate acquisition / retention role first.</t>
  </si>
  <si>
    <t>0.80 sustainable?</t>
  </si>
  <si>
    <t>Fully loaded contribution &gt; 0</t>
  </si>
  <si>
    <t>NivrāaCare — Cash Runway | 18-Month Founder Financing View</t>
  </si>
  <si>
    <t>Runway is a planning model, not a forecast. Replace founder assumptions with actual collections, payroll, marketing and funding as operating data becomes available.</t>
  </si>
  <si>
    <t>RUNWAY INPUTS</t>
  </si>
  <si>
    <t>RUNWAY SUMMARY</t>
  </si>
  <si>
    <t>Opening cash</t>
  </si>
  <si>
    <t>Deployable opening cash</t>
  </si>
  <si>
    <t>Founder capital / committed funding</t>
  </si>
  <si>
    <t>Current monthly EBITDA at selected cost</t>
  </si>
  <si>
    <t>One-time setup / pre-opening spend</t>
  </si>
  <si>
    <t>Current monthly cash burn</t>
  </si>
  <si>
    <t>Starting monthly journeys</t>
  </si>
  <si>
    <t>Cash-out month</t>
  </si>
  <si>
    <t>month #</t>
  </si>
  <si>
    <t>Operating model</t>
  </si>
  <si>
    <t>selector</t>
  </si>
  <si>
    <t>Founder Decision</t>
  </si>
  <si>
    <t>Additional capital required to avoid negative cash</t>
  </si>
  <si>
    <t>12-month ending cash</t>
  </si>
  <si>
    <t>Net operating revenue / journey</t>
  </si>
  <si>
    <t>Monthly capex / one-off cash spend</t>
  </si>
  <si>
    <t>18-MONTH CASH SCHEDULE</t>
  </si>
  <si>
    <t>Opening Cash</t>
  </si>
  <si>
    <t>Fixed Operating Cost</t>
  </si>
  <si>
    <t>Capex / One-Off</t>
  </si>
  <si>
    <t>Funding</t>
  </si>
  <si>
    <t>Runway Flag</t>
  </si>
  <si>
    <t>NivrāaCare — Monthly P&amp;L | 12-Month Operating View</t>
  </si>
  <si>
    <t>Uses current Whitefield per-journey economics and the selected Cash Runway operating model. Pass-through cab reimbursement is excluded from Net Operating Revenue.</t>
  </si>
  <si>
    <t>P&amp;L Metric</t>
  </si>
  <si>
    <t>M1</t>
  </si>
  <si>
    <t>M2</t>
  </si>
  <si>
    <t>M3</t>
  </si>
  <si>
    <t>M4</t>
  </si>
  <si>
    <t>M5</t>
  </si>
  <si>
    <t>M6</t>
  </si>
  <si>
    <t>M7</t>
  </si>
  <si>
    <t>M8</t>
  </si>
  <si>
    <t>M9</t>
  </si>
  <si>
    <t>M10</t>
  </si>
  <si>
    <t>M11</t>
  </si>
  <si>
    <t>M12</t>
  </si>
  <si>
    <t>Gross Customer Billings</t>
  </si>
  <si>
    <t>Less: GST / Indirect Tax</t>
  </si>
  <si>
    <t>Less: Pass-through Transport</t>
  </si>
  <si>
    <t>Less: Variable Delivery Costs</t>
  </si>
  <si>
    <t>Less: Fixed Operating Costs</t>
  </si>
  <si>
    <t>EBITDA / Operating Profit</t>
  </si>
  <si>
    <t>EBITDA Margin</t>
  </si>
  <si>
    <t>Less: Capex / One-Off Cash Spend</t>
  </si>
  <si>
    <t>Add: Funding</t>
  </si>
  <si>
    <t>Net Cash Movement</t>
  </si>
  <si>
    <t>P&amp;L DRIVER</t>
  </si>
  <si>
    <t>Source</t>
  </si>
  <si>
    <t>Gross customer billings / journey</t>
  </si>
  <si>
    <t>Whitefield current model</t>
  </si>
  <si>
    <t>GST / indirect tax / journey</t>
  </si>
  <si>
    <t>Pass-through cab / journey</t>
  </si>
  <si>
    <t>Case 2 mix × cab reimbursement</t>
  </si>
  <si>
    <t>Variable delivery cost / journey</t>
  </si>
  <si>
    <t>Net revenue − contribution</t>
  </si>
  <si>
    <t>Selected fixed cost / month</t>
  </si>
  <si>
    <t>Cash Runway operating model</t>
  </si>
  <si>
    <t>Monthly capex / one-off</t>
  </si>
  <si>
    <t>Cash Runway input</t>
  </si>
  <si>
    <t>NivrāaCare — Executive CFO Dashboard | Whitefield MVP</t>
  </si>
  <si>
    <t>Founder operating view: unit economics, monthly P&amp;L, Angel capacity, CAC/LTV, cash runway and expansion readiness. Model assumptions are not market facts until validated.</t>
  </si>
  <si>
    <t>Cash Runway</t>
  </si>
  <si>
    <t>Contribution Bridge — Avg Current Journey</t>
  </si>
  <si>
    <t>Gross customer billings</t>
  </si>
  <si>
    <t>GST / indirect tax</t>
  </si>
  <si>
    <t>Pass-through cab reimbursement</t>
  </si>
  <si>
    <t>Fully Loaded Contribution / Journey</t>
  </si>
  <si>
    <t>LTV / CAC</t>
  </si>
  <si>
    <t>Repeat Rate</t>
  </si>
  <si>
    <t>Variable delivery costs</t>
  </si>
  <si>
    <t>Contribution before fixed costs</t>
  </si>
  <si>
    <t>Allocated Angel payroll / journey</t>
  </si>
  <si>
    <t>BREAK-EVEN &amp; SCALE REQUIREMENTS</t>
  </si>
  <si>
    <t>CFO DECISION PANEL</t>
  </si>
  <si>
    <t>Current / Required</t>
  </si>
  <si>
    <t>Financial Test</t>
  </si>
  <si>
    <t>Current Signal</t>
  </si>
  <si>
    <t>Monthly volume required at current contribution / journey</t>
  </si>
  <si>
    <t>Can we afford to reduce price?</t>
  </si>
  <si>
    <t>Fully loaded contribution / journey should remain comfortably positive</t>
  </si>
  <si>
    <t>journeys/day</t>
  </si>
  <si>
    <t>Daily completed-journey requirement</t>
  </si>
  <si>
    <t>Can we hire another Angel?</t>
  </si>
  <si>
    <t>Utilization &gt;=75% and EBITDA &gt;=0 preferred</t>
  </si>
  <si>
    <t>Required leads / day at break-even</t>
  </si>
  <si>
    <t>leads/day</t>
  </si>
  <si>
    <t>Uses current conversion, cancellation and no-show assumptions</t>
  </si>
  <si>
    <t>Can we increase marketing spend?</t>
  </si>
  <si>
    <t>LTV/CAC &gt;=3x and EBITDA non-negative</t>
  </si>
  <si>
    <t>Based on target productive utilization</t>
  </si>
  <si>
    <t>Is current CAC sustainable?</t>
  </si>
  <si>
    <t>12M LTV/CAC</t>
  </si>
  <si>
    <t>Fixed-cost ceiling at current demand</t>
  </si>
  <si>
    <t>Current monthly contribution available to absorb fixed costs</t>
  </si>
  <si>
    <t>Are NC Credits affordable?</t>
  </si>
  <si>
    <t>Monthly NC cost &lt;=5% of contribution preferred</t>
  </si>
  <si>
    <t>Zero if EBITDA is positive</t>
  </si>
  <si>
    <t>Is the ₹299 base hourly pricing safe?</t>
  </si>
  <si>
    <t>1.00x fully loaded base-hour contribution must be positive; low multipliers are checked in Pricing Engine.</t>
  </si>
  <si>
    <t>NC Credits cost / month</t>
  </si>
  <si>
    <t>Current Whitefield journey mix</t>
  </si>
  <si>
    <t>Can we add another fixed employee?</t>
  </si>
  <si>
    <t>Positive EBITDA + sufficient utilization</t>
  </si>
  <si>
    <t>Ready for next Bengaluru cluster?</t>
  </si>
  <si>
    <t>Density + repeat + EBITDA + utilization + runway gates</t>
  </si>
  <si>
    <t>EXPANSION GATE — NEXT BENGALURU CLUSTER</t>
  </si>
  <si>
    <t>FOUNDER CFO SUMMARY</t>
  </si>
  <si>
    <t>Gate</t>
  </si>
  <si>
    <t>Pass?</t>
  </si>
  <si>
    <t>CFO Read</t>
  </si>
  <si>
    <t>Incremental contribution / journey</t>
  </si>
  <si>
    <t>Fully loaded contribution / journey</t>
  </si>
  <si>
    <t>Monthly EBITDA</t>
  </si>
  <si>
    <t>Operational EBITDA</t>
  </si>
  <si>
    <t>₹299 base-hour fully loaded contribution (1.00x)</t>
  </si>
  <si>
    <t>Base-rate safety; service-specific multiplier safety is modeled separately.</t>
  </si>
  <si>
    <t>&gt;=12 months</t>
  </si>
  <si>
    <t>Hospital-only 0.80 multiplier</t>
  </si>
  <si>
    <t>Expansion Ready</t>
  </si>
  <si>
    <t>CFO note: EBITDA uses incremental journey contribution and includes Angel payroll in fixed costs. The 'Fully Loaded Contribution / Journey' KPI allocates current Angel payroll per journey for analytical comparison only — do not subtract Angel payroll again when calculating EBITDA.</t>
  </si>
  <si>
    <t>Chart Metric</t>
  </si>
  <si>
    <t>Break-even / Target</t>
  </si>
  <si>
    <t>NivrāaCare — Dynamic Pricing Engine</t>
  </si>
  <si>
    <t>Select service, hours and transport. The engine calculates the customer quote, detailed price build-up and internal CFO economics from the master model.</t>
  </si>
  <si>
    <t>INPUT — QUOTE SETUP</t>
  </si>
  <si>
    <t>AUTOMATIC SERVICE &amp; PRICING LOOKUP</t>
  </si>
  <si>
    <t>MODEL LEGEND</t>
  </si>
  <si>
    <t>Quote ID</t>
  </si>
  <si>
    <t>NC-Q-0001</t>
  </si>
  <si>
    <t>Optional / editable</t>
  </si>
  <si>
    <t>Service Category</t>
  </si>
  <si>
    <t>Blue text / yellow fill</t>
  </si>
  <si>
    <t>Editable input</t>
  </si>
  <si>
    <t>Quote Date</t>
  </si>
  <si>
    <t>Auto-filled; editable if needed</t>
  </si>
  <si>
    <t>Green text</t>
  </si>
  <si>
    <t>Cross-sheet link</t>
  </si>
  <si>
    <t>Customer Name</t>
  </si>
  <si>
    <t>Optional</t>
  </si>
  <si>
    <t>Service Multiplier</t>
  </si>
  <si>
    <t>Black text</t>
  </si>
  <si>
    <t>Same-sheet formula</t>
  </si>
  <si>
    <t>Patient Name</t>
  </si>
  <si>
    <t>Default Cab Cost</t>
  </si>
  <si>
    <t>Created By</t>
  </si>
  <si>
    <t>Pricing Mode / SKU</t>
  </si>
  <si>
    <t>Expected NC Loyalty Cost Rate</t>
  </si>
  <si>
    <t>Select Service</t>
  </si>
  <si>
    <t>Choose from active service catalogue</t>
  </si>
  <si>
    <t>1.0 to 24.0 hours in 0.5-hour increments</t>
  </si>
  <si>
    <t>Transport Required?</t>
  </si>
  <si>
    <t>Choose who arranges transport</t>
  </si>
  <si>
    <t>Minimum Booking Hours</t>
  </si>
  <si>
    <t>Estimated Cab Fare</t>
  </si>
  <si>
    <t>Defaults to Global Inputs; can be overwritten</t>
  </si>
  <si>
    <t>Founder Price Override (₹)</t>
  </si>
  <si>
    <t>Leave blank to use calculated price</t>
  </si>
  <si>
    <t>Effective Service Rate</t>
  </si>
  <si>
    <t>Override Reason</t>
  </si>
  <si>
    <t>Launch offer / corporate agreement / service recovery / founder-approved discount</t>
  </si>
  <si>
    <t>NivrāaCredit Discount (₹)</t>
  </si>
  <si>
    <t>Rupee discount supplied by the app/backend after converting redeemed NivrāaCredits. 1 NivrāaCredit = current configured ₹ value.</t>
  </si>
  <si>
    <t>Care GST</t>
  </si>
  <si>
    <t>Default Cab Estimate</t>
  </si>
  <si>
    <t>Service Code</t>
  </si>
  <si>
    <t>NIVRĀACARE JOURNEY ESTIMATE</t>
  </si>
  <si>
    <t>PRINTABLE CUSTOMER QUOTE</t>
  </si>
  <si>
    <t>NivrāaCare Service Charge</t>
  </si>
  <si>
    <t>Patient</t>
  </si>
  <si>
    <t>Care Charge Before Credits</t>
  </si>
  <si>
    <t>NivrāaCredit Discount</t>
  </si>
  <si>
    <t>Care Charge After Credits</t>
  </si>
  <si>
    <t>Estimated Duration</t>
  </si>
  <si>
    <t>Third-Party Cab Estimate</t>
  </si>
  <si>
    <t>PRICE SUMMARY</t>
  </si>
  <si>
    <t>Transport Total</t>
  </si>
  <si>
    <t>Care Service Before Credits</t>
  </si>
  <si>
    <t>NivrāaCredit Discount Applied</t>
  </si>
  <si>
    <t>NIVRĀACREDITS EARNED</t>
  </si>
  <si>
    <t>Estimated Third-Party Cab</t>
  </si>
  <si>
    <t>Transport Coordination</t>
  </si>
  <si>
    <t>INTERNAL PRICING CALCULATION — NOT CUSTOMER FACING</t>
  </si>
  <si>
    <t>TOTAL PAYABLE</t>
  </si>
  <si>
    <t>Pricing Component</t>
  </si>
  <si>
    <t>Internal Explanation</t>
  </si>
  <si>
    <t>FOUNDER FORMULA</t>
  </si>
  <si>
    <t>NivrāaCredits Earned</t>
  </si>
  <si>
    <t>Booking input</t>
  </si>
  <si>
    <t>Actual requested journey duration.</t>
  </si>
  <si>
    <t>Billable Hours × Effective Service Rate</t>
  </si>
  <si>
    <t>Hourly service charge before the fixed coordination fee.</t>
  </si>
  <si>
    <t>Master pricing configuration</t>
  </si>
  <si>
    <t>Fixed once per journey.</t>
  </si>
  <si>
    <t>Standard Calculated Care Price</t>
  </si>
  <si>
    <t>Service Charge + Coordination Fee</t>
  </si>
  <si>
    <t>Standard price before override or Credit redemption.</t>
  </si>
  <si>
    <t>Approved override if present; otherwise standard price</t>
  </si>
  <si>
    <t>Price used before redeemed NivrāaCredits.</t>
  </si>
  <si>
    <t>Requested NivrāaCredit Discount</t>
  </si>
  <si>
    <t>Input from app/backend</t>
  </si>
  <si>
    <t>Requested rupee discount after app converts Credits to ₹.</t>
  </si>
  <si>
    <t>Pricing Status</t>
  </si>
  <si>
    <t>Maximum Allowed Credit Discount</t>
  </si>
  <si>
    <t>Care Price × Max Redemption %</t>
  </si>
  <si>
    <t>Founder-configurable redemption cap.</t>
  </si>
  <si>
    <t>NIVRĀACREDITS — CURRENT BILL</t>
  </si>
  <si>
    <t>MIN(Requested, Max Allowed, Care Price)</t>
  </si>
  <si>
    <t>Actual Credit discount used in billing.</t>
  </si>
  <si>
    <t>Eligible Credit-Earning Spend</t>
  </si>
  <si>
    <t>Final Care Charge After Credits</t>
  </si>
  <si>
    <t>Care Price Before Credits − Discount Applied</t>
  </si>
  <si>
    <t>Eligible care-service amount actually paid.</t>
  </si>
  <si>
    <t>Current NivrāaCredit Earn Rate</t>
  </si>
  <si>
    <t>Credit Discount Applied — API Output</t>
  </si>
  <si>
    <t>API response field</t>
  </si>
  <si>
    <t>Explicit API output.</t>
  </si>
  <si>
    <t>Credits Earned per ₹100</t>
  </si>
  <si>
    <t>Final Care Charge — API Output</t>
  </si>
  <si>
    <t>Final customer care amount after Credits.</t>
  </si>
  <si>
    <t>Raw Credits Earned</t>
  </si>
  <si>
    <t>GST Embedded in Final Care Charge</t>
  </si>
  <si>
    <t>Final Care Charge − Net Care Revenue</t>
  </si>
  <si>
    <t>Internal tax view.</t>
  </si>
  <si>
    <t>NivrāaCredits Earned on This Bill</t>
  </si>
  <si>
    <t>Final Care Charge ÷ (1 + GST)</t>
  </si>
  <si>
    <t>Internal revenue view.</t>
  </si>
  <si>
    <t>Loyalty Status</t>
  </si>
  <si>
    <t>Cab Estimate + Transport Coordination Fee</t>
  </si>
  <si>
    <t>Transport is separate from care pricing.</t>
  </si>
  <si>
    <t>Total Customer Payable</t>
  </si>
  <si>
    <t>Final Care Charge + Transport Total</t>
  </si>
  <si>
    <t>Final customer amount.</t>
  </si>
  <si>
    <t>INTERNAL LOYALTY ECONOMICS — NOT CUSTOMER FACING</t>
  </si>
  <si>
    <t>INTERNAL CFO VIEW — NOT CUSTOMER FACING</t>
  </si>
  <si>
    <t>Face Value of Credits Issued</t>
  </si>
  <si>
    <t>CFO Metric</t>
  </si>
  <si>
    <t>Amount / Rate</t>
  </si>
  <si>
    <t>Formula / Interpretation</t>
  </si>
  <si>
    <t>PRICE OVERRIDE &amp; DISCOUNT SAFETY</t>
  </si>
  <si>
    <t>Expected Redemption Rate</t>
  </si>
  <si>
    <t>Final care charge after Credits + transport customer collection.</t>
  </si>
  <si>
    <t>Standard Calculated Price</t>
  </si>
  <si>
    <t>Expected Loyalty Cost</t>
  </si>
  <si>
    <t>GST — Final Care Service</t>
  </si>
  <si>
    <t>GST embedded in final care charge after NivrāaCredit redemption.</t>
  </si>
  <si>
    <t>Override Price</t>
  </si>
  <si>
    <t>Loyalty Cost % of Net Care Revenue</t>
  </si>
  <si>
    <t>Net Care Revenue After Credits</t>
  </si>
  <si>
    <t>Care revenue after NivrāaCredit discount and GST removal.</t>
  </si>
  <si>
    <t>Discount / Premium</t>
  </si>
  <si>
    <t>Redemption Status</t>
  </si>
  <si>
    <t>Transport Coordination Revenue</t>
  </si>
  <si>
    <t>Coordination fee net of any applicable coordination-fee GST.</t>
  </si>
  <si>
    <t>Discount / Premium %</t>
  </si>
  <si>
    <t>Third-party cab reimbursement; not operating revenue.</t>
  </si>
  <si>
    <t>Contribution Before Override</t>
  </si>
  <si>
    <t>Contribution After Override + Credits</t>
  </si>
  <si>
    <t>Payment Gateway Cost</t>
  </si>
  <si>
    <t>Gateway fee on collected customer billings + fixed transaction fee.</t>
  </si>
  <si>
    <t>Contribution Impact vs Standard</t>
  </si>
  <si>
    <t>Per-journey operating/support allocation.</t>
  </si>
  <si>
    <t>Margin Before Override</t>
  </si>
  <si>
    <t>Per-journey risk reserve.</t>
  </si>
  <si>
    <t>Margin After Override + Credits</t>
  </si>
  <si>
    <t>Communication Cost</t>
  </si>
  <si>
    <t>WhatsApp/SMS/communication allocation.</t>
  </si>
  <si>
    <t>Margin Impact vs Standard</t>
  </si>
  <si>
    <t>Discount Safety</t>
  </si>
  <si>
    <t>Refund / Recovery Reserve</t>
  </si>
  <si>
    <t>Expected service recovery reserve.</t>
  </si>
  <si>
    <t>Expected Future NivrāaCredit Cost</t>
  </si>
  <si>
    <t>Credits earned on this bill × ₹ value per Credit × expected redemption rate.</t>
  </si>
  <si>
    <t>PRICING HEALTH CHECK</t>
  </si>
  <si>
    <t>Selected hours × Angels × incremental Angel cost/hour.</t>
  </si>
  <si>
    <t>Additional booking/coordination operations cost.</t>
  </si>
  <si>
    <t>Incremental Contribution / Hour</t>
  </si>
  <si>
    <t>Sum of all variable delivery costs.</t>
  </si>
  <si>
    <t>Fully Loaded Contribution / Hour</t>
  </si>
  <si>
    <t>Net operating revenue − variable delivery cost.</t>
  </si>
  <si>
    <t>Contribution before fixed costs ÷ net operating revenue.</t>
  </si>
  <si>
    <t>NC Credits Cost</t>
  </si>
  <si>
    <t>Contribution before fixed costs ÷ selected hours.</t>
  </si>
  <si>
    <t>Fully Loaded Angel Cost</t>
  </si>
  <si>
    <t>Fully Loaded Angel Payroll</t>
  </si>
  <si>
    <t>Selected hours × Angels × current payroll cost/productive hour.</t>
  </si>
  <si>
    <t>Transport Uplift</t>
  </si>
  <si>
    <t>Contribution before fixed costs − fully loaded Angel payroll allocation.</t>
  </si>
  <si>
    <t>Fully Loaded Contribution Margin</t>
  </si>
  <si>
    <t>Fully loaded contribution ÷ net operating revenue.</t>
  </si>
  <si>
    <t>SERVICE MULTIPLIER SAFETY ANALYSIS — 5-HOUR REFERENCE JOURNEY</t>
  </si>
  <si>
    <t>Shows how service multipliers change the effective customer rate and unit economics. Reference economics use a 5-hour patient-arranged-transport journey, 1 Angel, current variable-cost assumptions and current fully loaded Angel payroll cost.</t>
  </si>
  <si>
    <t>Effective Hourly Rate</t>
  </si>
  <si>
    <t>4h Care Price</t>
  </si>
  <si>
    <t>5h Care Price</t>
  </si>
  <si>
    <t>6h Care Price</t>
  </si>
  <si>
    <t>5h Contribution / Hr</t>
  </si>
  <si>
    <t>5h Fully Loaded Contribution / Hr</t>
  </si>
  <si>
    <t>Financial Status</t>
  </si>
  <si>
    <t>NivrāaCare — NivrāCredit Earning Matrix</t>
  </si>
  <si>
    <t>2h Care Price</t>
  </si>
  <si>
    <t>2h Credits</t>
  </si>
  <si>
    <t>3h Care Price</t>
  </si>
  <si>
    <t>3h Credits</t>
  </si>
  <si>
    <t>4h Credits</t>
  </si>
  <si>
    <t>5h Credits</t>
  </si>
  <si>
    <t>6h Credits</t>
  </si>
  <si>
    <t>8h Care Price</t>
  </si>
  <si>
    <t>8h Credits</t>
  </si>
  <si>
    <t>10h Care Price</t>
  </si>
  <si>
    <t>10h Credits</t>
  </si>
  <si>
    <t>12h Care Price</t>
  </si>
  <si>
    <t>12h Credits</t>
  </si>
  <si>
    <t>Manual / overnight services show MANUAL until an approved care price is supplied. Reference matrix assumes no Credit redemption; the live Pricing Engine calculates Credits on the final care charge after any redeemed NivrāaCredit discount.</t>
  </si>
  <si>
    <t>NivrāaCare — Global Pricing Config</t>
  </si>
  <si>
    <t>Canonical business configuration for the Pricing API. Change blue inputs here; operational pricing sheets link back to this source.</t>
  </si>
  <si>
    <t>Config Key</t>
  </si>
  <si>
    <t>Customer/Internal</t>
  </si>
  <si>
    <t>Current Purpose</t>
  </si>
  <si>
    <t>base_hourly_rate</t>
  </si>
  <si>
    <t>Internal</t>
  </si>
  <si>
    <t>Base rate before service multiplier</t>
  </si>
  <si>
    <t>Founder</t>
  </si>
  <si>
    <t>minimum_billable_hours</t>
  </si>
  <si>
    <t>Minimum chargeable journey duration</t>
  </si>
  <si>
    <t>care_coordination_fee</t>
  </si>
  <si>
    <t>Customer-safe output</t>
  </si>
  <si>
    <t>Fixed journey coordination fee</t>
  </si>
  <si>
    <t>care_gst_rate</t>
  </si>
  <si>
    <t>Care-service GST assumption; confirm with CA</t>
  </si>
  <si>
    <t>CA / Founder</t>
  </si>
  <si>
    <t>transport_coordination_fee</t>
  </si>
  <si>
    <t>Transport booking/coordination fee</t>
  </si>
  <si>
    <t>default_cab_estimate</t>
  </si>
  <si>
    <t>Internal default</t>
  </si>
  <si>
    <t>Editable quote default only</t>
  </si>
  <si>
    <t>credit_program_enabled</t>
  </si>
  <si>
    <t>1/0</t>
  </si>
  <si>
    <t>Master NivrāaCredits switch</t>
  </si>
  <si>
    <t>credit_earn_rate</t>
  </si>
  <si>
    <t>Internal config</t>
  </si>
  <si>
    <t>Founder-configurable loyalty earn rate</t>
  </si>
  <si>
    <t>credit_value_rupees</t>
  </si>
  <si>
    <t>₹ / Credit</t>
  </si>
  <si>
    <t>1 Credit redemption value</t>
  </si>
  <si>
    <t>credit_max_redemption_percentage</t>
  </si>
  <si>
    <t>% of eligible care price</t>
  </si>
  <si>
    <t>Maximum Credits usable on one booking</t>
  </si>
  <si>
    <t>credit_expiry_days</t>
  </si>
  <si>
    <t>Current planning expiry</t>
  </si>
  <si>
    <t>Founder / Legal</t>
  </si>
  <si>
    <t>credit_expected_redemption_rate</t>
  </si>
  <si>
    <t>Internal CFO</t>
  </si>
  <si>
    <t>Expected loyalty redemption / breakage</t>
  </si>
  <si>
    <t>CFO</t>
  </si>
  <si>
    <t>NivrāaCare — Service Master</t>
  </si>
  <si>
    <t>Stable API-facing service identifiers mapped to the existing Service Economics model. Human-readable service names may change; service_code should remain stable.</t>
  </si>
  <si>
    <t>service_code</t>
  </si>
  <si>
    <t>service_name</t>
  </si>
  <si>
    <t>category</t>
  </si>
  <si>
    <t>service_multiplier</t>
  </si>
  <si>
    <t>pricing_mode</t>
  </si>
  <si>
    <t>number_of_angels</t>
  </si>
  <si>
    <t>active_flag</t>
  </si>
  <si>
    <t>multiplier_reason</t>
  </si>
  <si>
    <t>HOSPITAL_VISIT</t>
  </si>
  <si>
    <t>HOSPITAL_ONLY</t>
  </si>
  <si>
    <t>CLINIC_VISIT</t>
  </si>
  <si>
    <t>DIAGNOSTIC</t>
  </si>
  <si>
    <t>HEALTH_CHECKUP</t>
  </si>
  <si>
    <t>ADMISSION</t>
  </si>
  <si>
    <t>DISCHARGE</t>
  </si>
  <si>
    <t>OVERNIGHT</t>
  </si>
  <si>
    <t>MULTI_DAY_12H</t>
  </si>
  <si>
    <t>DAY_PROCEDURE</t>
  </si>
  <si>
    <t>PRE_SURGERY</t>
  </si>
  <si>
    <t>POST_SURGERY</t>
  </si>
  <si>
    <t>DIALYSIS</t>
  </si>
  <si>
    <t>CHEMOTHERAPY</t>
  </si>
  <si>
    <t>RADIATION</t>
  </si>
  <si>
    <t>PHYSIO_REHAB</t>
  </si>
  <si>
    <t>CHRONIC_FOLLOWUP</t>
  </si>
  <si>
    <t>NRI_PARENT</t>
  </si>
  <si>
    <t>SECOND_OPINION</t>
  </si>
  <si>
    <t>TELECONSULT</t>
  </si>
  <si>
    <t>MEDICAL_RECORDS</t>
  </si>
  <si>
    <t>INSURANCE_TPA</t>
  </si>
  <si>
    <t>HOSPITAL_TRANSFER</t>
  </si>
  <si>
    <t>REHAB_TRANSFER</t>
  </si>
  <si>
    <t>URGENT_COORDINATION</t>
  </si>
  <si>
    <t>DOCTOR_HOME_COORD</t>
  </si>
  <si>
    <t>NURSE_HOME_COORD</t>
  </si>
  <si>
    <t>MEDICAL_TOURISM_24H</t>
  </si>
  <si>
    <t>PHARMACY_COORD</t>
  </si>
  <si>
    <t>FAMILY_UPDATE</t>
  </si>
  <si>
    <t>NivrāaCare — Pricing API Mapping</t>
  </si>
  <si>
    <t>Developer-facing contract for a Google-Sheets-backed pricing API. Booking facts come from the app; business configuration is retrieved centrally.</t>
  </si>
  <si>
    <t>Field Name</t>
  </si>
  <si>
    <t>Required?</t>
  </si>
  <si>
    <t>Example</t>
  </si>
  <si>
    <t>Description</t>
  </si>
  <si>
    <t>string</t>
  </si>
  <si>
    <t>API Request</t>
  </si>
  <si>
    <t>Customer-safe</t>
  </si>
  <si>
    <t>Stable service identifier.</t>
  </si>
  <si>
    <t>selected_hours</t>
  </si>
  <si>
    <t>decimal</t>
  </si>
  <si>
    <t>5</t>
  </si>
  <si>
    <t>Requested journey duration.</t>
  </si>
  <si>
    <t>transport_required</t>
  </si>
  <si>
    <t>boolean / enum</t>
  </si>
  <si>
    <t>true</t>
  </si>
  <si>
    <t>Whether NivrāaCare coordinates third-party transport.</t>
  </si>
  <si>
    <t>estimated_cab_fare</t>
  </si>
  <si>
    <t>Conditional</t>
  </si>
  <si>
    <t>500</t>
  </si>
  <si>
    <t>Required when transport is arranged; third-party estimate.</t>
  </si>
  <si>
    <t>nivraa_credit_discount_rupees</t>
  </si>
  <si>
    <t>20</t>
  </si>
  <si>
    <t>₹ value of Credits selected for redemption by the app.</t>
  </si>
  <si>
    <t>price_override_rupees</t>
  </si>
  <si>
    <t>Admin Request</t>
  </si>
  <si>
    <t>1500</t>
  </si>
  <si>
    <t>Founder/admin approved override.</t>
  </si>
  <si>
    <t>override_reason</t>
  </si>
  <si>
    <t>Launch offer</t>
  </si>
  <si>
    <t>Reason for override.</t>
  </si>
  <si>
    <t>quote_id</t>
  </si>
  <si>
    <t>Metadata</t>
  </si>
  <si>
    <t>Quote identifier.</t>
  </si>
  <si>
    <t>customer_id</t>
  </si>
  <si>
    <t>CUST-001</t>
  </si>
  <si>
    <t>Application customer ID.</t>
  </si>
  <si>
    <t>patient_id</t>
  </si>
  <si>
    <t>PAT-001</t>
  </si>
  <si>
    <t>Patient profile ID.</t>
  </si>
  <si>
    <t>created_by</t>
  </si>
  <si>
    <t>OPS-01</t>
  </si>
  <si>
    <t>Creator / system identifier.</t>
  </si>
  <si>
    <t>Global Pricing Config</t>
  </si>
  <si>
    <t>299</t>
  </si>
  <si>
    <t>Master hourly rate.</t>
  </si>
  <si>
    <t>Minimum billed duration.</t>
  </si>
  <si>
    <t>199</t>
  </si>
  <si>
    <t>Fixed journey fee.</t>
  </si>
  <si>
    <t>0.18</t>
  </si>
  <si>
    <t>Care GST assumption.</t>
  </si>
  <si>
    <t>149</t>
  </si>
  <si>
    <t>Transport coordination fee.</t>
  </si>
  <si>
    <t>boolean</t>
  </si>
  <si>
    <t>Master loyalty switch.</t>
  </si>
  <si>
    <t>0.05</t>
  </si>
  <si>
    <t>Current earn rate used to calculate Credits.</t>
  </si>
  <si>
    <t>Customer-safe rule</t>
  </si>
  <si>
    <t>₹ value of one NivrāaCredit.</t>
  </si>
  <si>
    <t>0.20</t>
  </si>
  <si>
    <t>Maximum Credits allowed on a booking.</t>
  </si>
  <si>
    <t>integer</t>
  </si>
  <si>
    <t>180</t>
  </si>
  <si>
    <t>Customer policy</t>
  </si>
  <si>
    <t>Current expiry rule.</t>
  </si>
  <si>
    <t>0.70</t>
  </si>
  <si>
    <t>Expected redemption / breakage assumption.</t>
  </si>
  <si>
    <t>Service Master</t>
  </si>
  <si>
    <t>1.00</t>
  </si>
  <si>
    <t>Service-specific pricing factor.</t>
  </si>
  <si>
    <t>AUTO</t>
  </si>
  <si>
    <t>AUTO or MANUAL.</t>
  </si>
  <si>
    <t>Operational staffing assumption.</t>
  </si>
  <si>
    <t>billable_hours</t>
  </si>
  <si>
    <t>Output</t>
  </si>
  <si>
    <t>MAX(selected_hours, minimum_billable_hours).</t>
  </si>
  <si>
    <t>effective_hourly_rate</t>
  </si>
  <si>
    <t>Base hourly rate × service multiplier.</t>
  </si>
  <si>
    <t>service_time_charge</t>
  </si>
  <si>
    <t>1495</t>
  </si>
  <si>
    <t>Billable hours × effective hourly rate.</t>
  </si>
  <si>
    <t>care_charge_before_credits</t>
  </si>
  <si>
    <t>1694</t>
  </si>
  <si>
    <t>Service time charge + coordination fee, after approved override if any.</t>
  </si>
  <si>
    <t>credit_discount_requested</t>
  </si>
  <si>
    <t>Requested Credit discount.</t>
  </si>
  <si>
    <t>credit_discount_max_allowed</t>
  </si>
  <si>
    <t>338.8</t>
  </si>
  <si>
    <t>Internal / optional</t>
  </si>
  <si>
    <t>Redemption cap.</t>
  </si>
  <si>
    <t>credit_discount_applied</t>
  </si>
  <si>
    <t>Actual Credit discount used.</t>
  </si>
  <si>
    <t>final_care_charge</t>
  </si>
  <si>
    <t>1674</t>
  </si>
  <si>
    <t>Care amount after Credits.</t>
  </si>
  <si>
    <t>cab_fare</t>
  </si>
  <si>
    <t>Third-party cab estimate.</t>
  </si>
  <si>
    <t>transport_total</t>
  </si>
  <si>
    <t>649</t>
  </si>
  <si>
    <t>Cab + transport coordination.</t>
  </si>
  <si>
    <t>total_customer_payable</t>
  </si>
  <si>
    <t>2323</t>
  </si>
  <si>
    <t>Final care charge + transport.</t>
  </si>
  <si>
    <t>eligible_credit_earning_spend</t>
  </si>
  <si>
    <t>Internal / customer explanation</t>
  </si>
  <si>
    <t>Final care charge only; transport excluded.</t>
  </si>
  <si>
    <t>nivraa_credits_earned</t>
  </si>
  <si>
    <t>83</t>
  </si>
  <si>
    <t>Whole Credits earned; rounded down.</t>
  </si>
  <si>
    <t>pricing_status</t>
  </si>
  <si>
    <t>VALID</t>
  </si>
  <si>
    <t>VALID / MANUAL PRICING REQUIRED / CREDIT DISCOUNT CAPPED.</t>
  </si>
  <si>
    <t>gst_amount</t>
  </si>
  <si>
    <t>Internal Output</t>
  </si>
  <si>
    <t>255</t>
  </si>
  <si>
    <t>GST embedded in final care charge.</t>
  </si>
  <si>
    <t>net_care_revenue</t>
  </si>
  <si>
    <t>1419</t>
  </si>
  <si>
    <t>Care revenue after GST removal.</t>
  </si>
  <si>
    <t>credit_face_value_issued</t>
  </si>
  <si>
    <t>Face value of Credits issued.</t>
  </si>
  <si>
    <t>expected_credit_redemption_cost</t>
  </si>
  <si>
    <t>58.1</t>
  </si>
  <si>
    <t>Expected future loyalty cost.</t>
  </si>
  <si>
    <t>variable_delivery_cost</t>
  </si>
  <si>
    <t>-</t>
  </si>
  <si>
    <t>Current journey variable delivery cost.</t>
  </si>
  <si>
    <t>incremental_contribution</t>
  </si>
  <si>
    <t>Contribution before fixed costs.</t>
  </si>
  <si>
    <t>fully_loaded_angel_cost</t>
  </si>
  <si>
    <t>Payroll allocation to productive Angel hours.</t>
  </si>
  <si>
    <t>fully_loaded_contribution</t>
  </si>
  <si>
    <t>Contribution after fully loaded Angel payroll.</t>
  </si>
  <si>
    <t>PRICING API — CORE CALCULATION LOGIC</t>
  </si>
  <si>
    <t>service = lookup(service_code)</t>
  </si>
  <si>
    <t>billable_hours = MAX(selected_hours, minimum_billable_hours)</t>
  </si>
  <si>
    <t>effective_hourly_rate = base_hourly_rate × service_multiplier</t>
  </si>
  <si>
    <t>service_time_charge = billable_hours × effective_hourly_rate</t>
  </si>
  <si>
    <t>standard_care_charge = service_time_charge + care_coordination_fee</t>
  </si>
  <si>
    <t>care_charge_before_credits = approved price_override if present else standard_care_charge</t>
  </si>
  <si>
    <t>credit_discount_max_allowed = care_charge_before_credits × credit_max_redemption_percentage</t>
  </si>
  <si>
    <t>credit_discount_applied = MIN(requested_credit_discount, max_allowed, care_charge_before_credits)</t>
  </si>
  <si>
    <t>final_care_charge = MAX(care_charge_before_credits − credit_discount_applied, 0)</t>
  </si>
  <si>
    <t>transport_total = transport_required ? estimated_cab_fare + transport_coordination_fee : 0</t>
  </si>
  <si>
    <t>total_customer_payable = final_care_charge + transport_total</t>
  </si>
  <si>
    <t>eligible_credit_earning_spend = final_care_charge</t>
  </si>
  <si>
    <t>credits_earned = FLOOR(eligible_credit_earning_spend × credit_earn_rate / credit_value_rupees)</t>
  </si>
  <si>
    <t>SAMPLE REQUEST — HOSPITAL VISIT, 5 HOURS, ₹20 CREDIT REDEMPTION</t>
  </si>
  <si>
    <t>SAMPLE RESPONSE</t>
  </si>
  <si>
    <t>NivrāaCare — Pricing API Test Cases</t>
  </si>
  <si>
    <t>Reference tests for developer implementation. Actual values calculate from Global Pricing Config + Service Master, so pricing changes automatically flow through the test suite.</t>
  </si>
  <si>
    <t>Case</t>
  </si>
  <si>
    <t>Transport Required</t>
  </si>
  <si>
    <t>Cab Fare</t>
  </si>
  <si>
    <t>Credit Discount Requested</t>
  </si>
  <si>
    <t>Price Override</t>
  </si>
  <si>
    <t>Expected Final Care</t>
  </si>
  <si>
    <t>Expected Transport</t>
  </si>
  <si>
    <t>Expected Total</t>
  </si>
  <si>
    <t>Expected Credits</t>
  </si>
  <si>
    <t>Actual Care</t>
  </si>
  <si>
    <t>Actual Transport</t>
  </si>
  <si>
    <t>Actual Total</t>
  </si>
  <si>
    <t>Actual Credits</t>
  </si>
  <si>
    <t>Credit Max Allowed</t>
  </si>
  <si>
    <t>Credit Applied</t>
  </si>
  <si>
    <t>Test Result</t>
  </si>
  <si>
    <t>NO</t>
  </si>
  <si>
    <t>YES</t>
  </si>
  <si>
    <t>Case 3</t>
  </si>
  <si>
    <t>Case 4</t>
  </si>
  <si>
    <t>Case 5</t>
  </si>
  <si>
    <t>Case 6</t>
  </si>
  <si>
    <t>Case 7</t>
  </si>
  <si>
    <t>Case 8</t>
  </si>
  <si>
    <t>NivrāaCare — Obsolete Logic Audit</t>
  </si>
  <si>
    <t>PRICING MODEL READINESS</t>
  </si>
  <si>
    <t>Workbook-wide review of obsolete, duplicate, legacy and API-readiness items after simplifying the active pricing architecture.</t>
  </si>
  <si>
    <t>Pricing Logic</t>
  </si>
  <si>
    <t>PASS</t>
  </si>
  <si>
    <t>Single hourly formula + coordination fee.</t>
  </si>
  <si>
    <t>Sheet</t>
  </si>
  <si>
    <t>Cell / Range</t>
  </si>
  <si>
    <t>Item</t>
  </si>
  <si>
    <t>Current Status</t>
  </si>
  <si>
    <t>Action Taken</t>
  </si>
  <si>
    <t>NivrāaCredits Logic</t>
  </si>
  <si>
    <t>Configurable earn/redemption logic integrated.</t>
  </si>
  <si>
    <t>Pricing Engine</t>
  </si>
  <si>
    <t>A20:H34</t>
  </si>
  <si>
    <t>Customer quote presentation</t>
  </si>
  <si>
    <t>UPDATED</t>
  </si>
  <si>
    <t>Old quote was split across several sections.</t>
  </si>
  <si>
    <t>Consolidated care, Credits, transport, total payable and Credits earned in one customer-safe block.</t>
  </si>
  <si>
    <t>Customer Quote</t>
  </si>
  <si>
    <t>One consolidated customer-facing price summary.</t>
  </si>
  <si>
    <t>A36:H52</t>
  </si>
  <si>
    <t>Tier pricing / detailed breakup</t>
  </si>
  <si>
    <t>OBSOLETE — REMOVED</t>
  </si>
  <si>
    <t>Current pricing is one effective hourly rate across all billable hours.</t>
  </si>
  <si>
    <t>Replaced with simplified internal pricing calculation.</t>
  </si>
  <si>
    <t>Transport Logic</t>
  </si>
  <si>
    <t>Cab pass-through + coordination separated.</t>
  </si>
  <si>
    <t>F13:I19</t>
  </si>
  <si>
    <t>First-tier / extended-hour lookup fields</t>
  </si>
  <si>
    <t>Not part of active pricing architecture.</t>
  </si>
  <si>
    <t>Replaced by base rate, effective rate, coordination fee, GST, cab default and service code.</t>
  </si>
  <si>
    <t>Manual Pricing Logic</t>
  </si>
  <si>
    <t>Manual services return manual pricing status.</t>
  </si>
  <si>
    <t>A16:B16</t>
  </si>
  <si>
    <t>NivrāaCredit Discount input</t>
  </si>
  <si>
    <t>ACTIVE</t>
  </si>
  <si>
    <t>Required API booking input.</t>
  </si>
  <si>
    <t>Retained as rupee discount supplied by app/backend.</t>
  </si>
  <si>
    <t>API Mapping</t>
  </si>
  <si>
    <t>Request/config/output fields documented.</t>
  </si>
  <si>
    <t>J29:N61</t>
  </si>
  <si>
    <t>Printable quote and loyalty details</t>
  </si>
  <si>
    <t>Old formulas referenced obsolete cell layout.</t>
  </si>
  <si>
    <t>Reconciled to simplified pricing engine.</t>
  </si>
  <si>
    <t>Duplicate Inputs</t>
  </si>
  <si>
    <t>Core pricing/loyalty inputs consolidated.</t>
  </si>
  <si>
    <t>A1:F16</t>
  </si>
  <si>
    <t>Pricing configuration</t>
  </si>
  <si>
    <t>One source of truth is needed for API implementation.</t>
  </si>
  <si>
    <t>Created canonical configuration sheet.</t>
  </si>
  <si>
    <t>Legacy Logic</t>
  </si>
  <si>
    <t>Obsolete items removed from active engine or clearly labeled legacy.</t>
  </si>
  <si>
    <t>A1:H34</t>
  </si>
  <si>
    <t>Service codes / API pricing mode</t>
  </si>
  <si>
    <t>Human-readable names are not stable API identifiers.</t>
  </si>
  <si>
    <t>Created stable service_code master and AUTO/MANUAL pricing mode.</t>
  </si>
  <si>
    <t>Formula Errors</t>
  </si>
  <si>
    <t>Final workbook scan found zero formula errors.</t>
  </si>
  <si>
    <t>Service Economics</t>
  </si>
  <si>
    <t>AH5:AH34</t>
  </si>
  <si>
    <t>NC-C2 / NC-C4+ SKU modes</t>
  </si>
  <si>
    <t>Tier-based SKU no longer drives pricing.</t>
  </si>
  <si>
    <t>Normalized to AUTO / MANUAL pricing mode.</t>
  </si>
  <si>
    <t>Developer Readiness</t>
  </si>
  <si>
    <t>Global config + Service Master + API mapping + tests available.</t>
  </si>
  <si>
    <t>MVP1 Pricing &amp; SKU</t>
  </si>
  <si>
    <t>A6:D8</t>
  </si>
  <si>
    <t>4-hour threshold + ₹269</t>
  </si>
  <si>
    <t>LEGACY — RETAINED</t>
  </si>
  <si>
    <t>Useful historical reference only.</t>
  </si>
  <si>
    <t>Clearly labeled inactive / legacy; not used by active Pricing Engine.</t>
  </si>
  <si>
    <t>A22:E26</t>
  </si>
  <si>
    <t>NC-C2 / NC-C4+ SKU labels</t>
  </si>
  <si>
    <t>Historical operating labels may be useful for context.</t>
  </si>
  <si>
    <t>Marked legacy; API uses Service Master pricing_mode.</t>
  </si>
  <si>
    <t>A29:D39</t>
  </si>
  <si>
    <t>First-4h / additional-hours duration split</t>
  </si>
  <si>
    <t>Historical analysis only.</t>
  </si>
  <si>
    <t>Relabeled legacy reference.</t>
  </si>
  <si>
    <t>Global Inputs</t>
  </si>
  <si>
    <t>A19:B19</t>
  </si>
  <si>
    <t>₹269 extended-hour price</t>
  </si>
  <si>
    <t>Historical assumption only.</t>
  </si>
  <si>
    <t>Already marked inactive.</t>
  </si>
  <si>
    <t>Dashboard</t>
  </si>
  <si>
    <t>A50:H69</t>
  </si>
  <si>
    <t>Tier-style price build-up</t>
  </si>
  <si>
    <t>Dashboard history; not active quote engine.</t>
  </si>
  <si>
    <t>Relabeled as legacy historical reference.</t>
  </si>
  <si>
    <t>Growth &amp; Pricing Strategy</t>
  </si>
  <si>
    <t>A16:B19 / A36:C38</t>
  </si>
  <si>
    <t>First-tier terminology</t>
  </si>
  <si>
    <t>Terminology conflicted with current model.</t>
  </si>
  <si>
    <t>Renamed to base hourly / legacy threshold language.</t>
  </si>
  <si>
    <t>Founder Playbook</t>
  </si>
  <si>
    <t>A8:C10</t>
  </si>
  <si>
    <t>First-tier / additional-hour guidance</t>
  </si>
  <si>
    <t>Current policy uses same effective rate for all billable hours.</t>
  </si>
  <si>
    <t>Reworded as historical threshold / current same-rate rule.</t>
  </si>
  <si>
    <t>Path to Profitability</t>
  </si>
  <si>
    <t>A2</t>
  </si>
  <si>
    <t>Tiered pricing wording</t>
  </si>
  <si>
    <t>Current engine is not tiered.</t>
  </si>
  <si>
    <t>Updated model description.</t>
  </si>
  <si>
    <t>NC Credits</t>
  </si>
  <si>
    <t>B5:B10</t>
  </si>
  <si>
    <t>Loyalty assumptions</t>
  </si>
  <si>
    <t>DUPLICATE — CONSOLIDATED</t>
  </si>
  <si>
    <t>Config existed separately from pricing master.</t>
  </si>
  <si>
    <t>Now linked to Global Pricing Config.</t>
  </si>
  <si>
    <t>Global Inputs / MVP1 Pricing &amp; SKU</t>
  </si>
  <si>
    <t>Key pricing inputs</t>
  </si>
  <si>
    <t>₹299 / 2h / ₹199 / GST / transport fee were repeated.</t>
  </si>
  <si>
    <t>Linked key fields to Global Pricing Config.</t>
  </si>
  <si>
    <t>NivrāCredit Earning Matrix</t>
  </si>
  <si>
    <t>A1:R37</t>
  </si>
  <si>
    <t>Credit earning by service / duration</t>
  </si>
  <si>
    <t>Useful founder/developer reference.</t>
  </si>
  <si>
    <t>Retained; driven by configurable earn rate.</t>
  </si>
  <si>
    <t>A1:G69</t>
  </si>
  <si>
    <t>API contract</t>
  </si>
  <si>
    <t>Developer needs explicit request/config/output mapping.</t>
  </si>
  <si>
    <t>Created developer-ready mapping and calculation logic.</t>
  </si>
  <si>
    <t>Pricing API Test Cases</t>
  </si>
  <si>
    <t>A1:V12</t>
  </si>
  <si>
    <t>Automated/reference pricing tests</t>
  </si>
  <si>
    <t>API implementation needs repeatable validation.</t>
  </si>
  <si>
    <t>Created 8 core pricing scenarios.</t>
  </si>
  <si>
    <t>Service Portfolio</t>
  </si>
  <si>
    <t>Q5:Q34</t>
  </si>
  <si>
    <t>Legacy SKU output</t>
  </si>
  <si>
    <t>Now follows Service Economics pricing_mode.</t>
  </si>
  <si>
    <t>Cascades AUTO / MANUAL after Service Economics cleanup.</t>
  </si>
  <si>
    <t>Patient Arranges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</si>
</sst>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Red]\(\₹#,##0.0\);\-"/>
    <numFmt numFmtId="165" formatCode="0.0%;[Red]\(0.0%\);\-"/>
    <numFmt numFmtId="166" formatCode="\₹#,##0;[Red]\(\₹#,##0\);\-"/>
    <numFmt numFmtId="167" formatCode="#,##0.0;[Red]\(#,##0.0\);\-"/>
    <numFmt numFmtId="168" formatCode="0.00\x"/>
    <numFmt numFmtId="169" formatCode="#,##0;[Red]\(#,##0\);\-"/>
    <numFmt numFmtId="170" formatCode="0.0"/>
    <numFmt numFmtId="171" formatCode="\₹#,##0.00;[Red]\(\₹#,##0.00\);\-"/>
    <numFmt numFmtId="172" formatCode="#,##0.00;[Red]\(#,##0.00\);\-"/>
    <numFmt numFmtId="173" formatCode="\₹0.00"/>
    <numFmt numFmtId="174" formatCode="0.0%"/>
    <numFmt numFmtId="175" formatCode="0.0\x"/>
    <numFmt numFmtId="176" formatCode="dd\-mmm\-yyyy"/>
    <numFmt numFmtId="177" formatCode="0.##"/>
    <numFmt numFmtId="178" formatCode="0.0\ &quot;hrs&quot;"/>
    <numFmt numFmtId="179" formatCode="\₹#,##0"/>
    <numFmt numFmtId="180" formatCode="\₹#,##0.00"/>
  </numFmts>
  <fonts count="57">
    <font>
      <sz val="11"/>
      <name val="Carlito"/>
    </font>
    <font>
      <b/>
      <sz val="16"/>
      <color rgb="FFFFFFFF"/>
      <name val="Carlito"/>
    </font>
    <font>
      <i/>
      <sz val="11"/>
      <color rgb="FF64736F"/>
      <name val="Carlito"/>
    </font>
    <font>
      <b/>
      <sz val="11"/>
      <color rgb="FFFFFFFF"/>
      <name val="Carlito"/>
    </font>
    <font>
      <sz val="11"/>
      <color rgb="FF0000FF"/>
      <name val="Carlito"/>
    </font>
    <font>
      <b/>
      <sz val="15"/>
      <color rgb="FFFFFFFF"/>
      <name val="Carlito"/>
    </font>
    <font>
      <b/>
      <sz val="8"/>
      <color rgb="FFFFFFFF"/>
      <name val="Carlito"/>
    </font>
    <font>
      <sz val="11"/>
      <color rgb="FF000000"/>
      <name val="Carlito"/>
    </font>
    <font>
      <sz val="11"/>
      <color rgb="FF008000"/>
      <name val="Carlito"/>
    </font>
    <font>
      <b/>
      <sz val="11"/>
      <color rgb="FF0000FF"/>
      <name val="Carlito"/>
    </font>
    <font>
      <b/>
      <sz val="11"/>
      <name val="Carlito"/>
    </font>
    <font>
      <b/>
      <sz val="11"/>
      <color rgb="FF17332D"/>
      <name val="Carlito"/>
    </font>
    <font>
      <b/>
      <sz val="11"/>
      <color rgb="FF008000"/>
      <name val="Carlito"/>
    </font>
    <font>
      <b/>
      <sz val="11"/>
      <color rgb="FF000000"/>
      <name val="Carlito"/>
    </font>
    <font>
      <b/>
      <sz val="11"/>
      <color rgb="FF64736F"/>
      <name val="Carlito"/>
    </font>
    <font>
      <b/>
      <sz val="7"/>
      <color rgb="FF64736F"/>
      <name val="Carlito"/>
    </font>
    <font>
      <b/>
      <sz val="17"/>
      <color rgb="FFFFFFFF"/>
      <name val="Carlito"/>
    </font>
    <font>
      <sz val="11"/>
      <color rgb="FF17332D"/>
      <name val="Carlito"/>
    </font>
    <font>
      <sz val="10"/>
      <color rgb="FF17332D"/>
      <name val="Aptos"/>
    </font>
    <font>
      <b/>
      <sz val="18"/>
      <color rgb="FFFFFFFF"/>
      <name val="Aptos"/>
    </font>
    <font>
      <i/>
      <sz val="10"/>
      <color rgb="FF17332D"/>
      <name val="Aptos"/>
    </font>
    <font>
      <b/>
      <sz val="11"/>
      <color rgb="FFFFFFFF"/>
      <name val="Aptos"/>
    </font>
    <font>
      <b/>
      <sz val="10"/>
      <color rgb="FF17332D"/>
      <name val="Aptos"/>
    </font>
    <font>
      <b/>
      <sz val="10"/>
      <color rgb="FF0000FF"/>
      <name val="Aptos"/>
    </font>
    <font>
      <sz val="10"/>
      <color rgb="FF000000"/>
      <name val="Aptos"/>
    </font>
    <font>
      <sz val="10"/>
      <color rgb="FF008000"/>
      <name val="Aptos"/>
    </font>
    <font>
      <i/>
      <sz val="10"/>
      <color rgb="FF4B5563"/>
      <name val="Aptos"/>
    </font>
    <font>
      <i/>
      <sz val="10"/>
      <color rgb="FF17332D"/>
      <name val="Carlito"/>
    </font>
    <font>
      <b/>
      <sz val="13"/>
      <color rgb="FF17332D"/>
      <name val="Carlito"/>
    </font>
    <font>
      <b/>
      <sz val="18"/>
      <color rgb="FFFFFFFF"/>
      <name val="Carlito"/>
    </font>
    <font>
      <i/>
      <sz val="11"/>
      <color rgb="FF66736F"/>
      <name val="Carlito"/>
    </font>
    <font>
      <b/>
      <i/>
      <sz val="11"/>
      <color rgb="FF17332D"/>
      <name val="Carlito"/>
    </font>
    <font>
      <i/>
      <sz val="11"/>
      <color rgb="FF008000"/>
      <name val="Carlito"/>
    </font>
    <font>
      <b/>
      <sz val="16"/>
      <color rgb="FF17332D"/>
      <name val="Carlito"/>
    </font>
    <font>
      <b/>
      <sz val="14"/>
      <color rgb="FF17332D"/>
      <name val="Carlito"/>
    </font>
    <font>
      <b/>
      <i/>
      <sz val="11"/>
      <color rgb="FF66736F"/>
      <name val="Carlito"/>
    </font>
    <font>
      <sz val="6"/>
      <color rgb="FFFAFAF7"/>
      <name val="Carlito"/>
    </font>
    <font>
      <b/>
      <sz val="13"/>
      <color rgb="FFFFFFFF"/>
      <name val="Carlito"/>
    </font>
    <font>
      <i/>
      <sz val="11"/>
      <color rgb="FF17332D"/>
      <name val="Carlito"/>
    </font>
    <font>
      <i/>
      <sz val="11"/>
      <color rgb="FF44534F"/>
      <name val="Carlito"/>
    </font>
    <font>
      <sz val="11"/>
      <color rgb="FF17332D"/>
      <name val="Carlito"/>
    </font>
    <font>
      <sz val="9"/>
      <color rgb="FF44534F"/>
      <name val="Carlito"/>
    </font>
    <font>
      <b/>
      <sz val="12"/>
      <color rgb="FF17332D"/>
      <name val="Carlito"/>
    </font>
    <font>
      <b/>
      <sz val="9"/>
      <color rgb="FF17332D"/>
      <name val="Carlito"/>
    </font>
    <font>
      <i/>
      <sz val="10"/>
      <color rgb="FF5B6B66"/>
      <name val="Carlito"/>
    </font>
    <font>
      <sz val="9"/>
      <color rgb="FF5B6B66"/>
      <name val="Carlito"/>
    </font>
    <font>
      <b/>
      <sz val="14"/>
      <color rgb="FFFFFFFF"/>
      <name val="Carlito"/>
    </font>
    <font>
      <i/>
      <sz val="9"/>
      <color rgb="FF5B6B66"/>
      <name val="Carlito"/>
    </font>
    <font>
      <sz val="1"/>
      <color rgb="FFFFFFFF"/>
      <name val="Carlito"/>
    </font>
    <font>
      <i/>
      <sz val="9"/>
      <color rgb="FF17332D"/>
      <name val="Carlito"/>
    </font>
    <font>
      <b/>
      <sz val="12"/>
      <color rgb="FFFFFFFF"/>
      <name val="Carlito"/>
    </font>
    <font>
      <b/>
      <sz val="10"/>
      <color rgb="FF17332D"/>
      <name val="Carlito"/>
    </font>
    <font>
      <b/>
      <i/>
      <sz val="13"/>
      <color rgb="FF17332D"/>
      <name val="Carlito"/>
    </font>
    <font>
      <b/>
      <i/>
      <sz val="9"/>
      <color rgb="FF5B6B66"/>
      <name val="Carlito"/>
    </font>
    <font>
      <b/>
      <sz val="10"/>
      <color rgb="FFFFFFFF"/>
      <name val="Carlito"/>
    </font>
    <font>
      <b/>
      <sz val="9"/>
      <color rgb="FFFFFFFF"/>
      <name val="Carlito"/>
    </font>
    <font>
      <b/>
      <sz val="9"/>
      <color rgb="FF5B6B66"/>
      <name val="Carlito"/>
    </font>
  </fonts>
  <fills count="84">
    <fill>
      <patternFill patternType="none"/>
    </fill>
    <fill>
      <patternFill patternType="gray125"/>
    </fill>
    <fill>
      <patternFill patternType="solid">
        <fgColor rgb="FF155E52"/>
      </patternFill>
    </fill>
    <fill>
      <patternFill patternType="solid">
        <fgColor rgb="FFF7FAF9"/>
      </patternFill>
    </fill>
    <fill>
      <patternFill patternType="solid">
        <fgColor rgb="FF17332D"/>
      </patternFill>
    </fill>
    <fill>
      <patternFill patternType="solid">
        <fgColor rgb="FFFFF2CC"/>
      </patternFill>
    </fill>
    <fill>
      <patternFill patternType="solid">
        <fgColor rgb="FFFFFCE6"/>
      </patternFill>
    </fill>
    <fill>
      <patternFill patternType="solid">
        <fgColor rgb="FFDDEFEA"/>
      </patternFill>
    </fill>
    <fill>
      <patternFill patternType="solid">
        <fgColor rgb="FFE8F0FF"/>
      </patternFill>
    </fill>
    <fill>
      <patternFill patternType="solid">
        <fgColor rgb="FFFFF2CC"/>
      </patternFill>
    </fill>
    <fill>
      <patternFill patternType="solid">
        <fgColor rgb="FF155E52"/>
      </patternFill>
    </fill>
    <fill>
      <patternFill patternType="solid">
        <fgColor rgb="FFF7FAF9"/>
      </patternFill>
    </fill>
    <fill>
      <patternFill patternType="solid">
        <fgColor rgb="FF17332D"/>
      </patternFill>
    </fill>
    <fill>
      <patternFill patternType="solid">
        <fgColor rgb="FFDDEFEA"/>
      </patternFill>
    </fill>
    <fill>
      <patternFill patternType="solid">
        <fgColor rgb="FF155E52"/>
      </patternFill>
    </fill>
    <fill>
      <patternFill patternType="solid">
        <fgColor rgb="FFF7FAF9"/>
      </patternFill>
    </fill>
    <fill>
      <patternFill patternType="solid">
        <fgColor rgb="FF17332D"/>
      </patternFill>
    </fill>
    <fill>
      <patternFill patternType="solid">
        <fgColor rgb="FFFFF2CC"/>
      </patternFill>
    </fill>
    <fill>
      <patternFill patternType="solid">
        <fgColor rgb="FFFFF3CD"/>
      </patternFill>
    </fill>
    <fill>
      <patternFill patternType="solid">
        <fgColor rgb="FFDDEFEA"/>
      </patternFill>
    </fill>
    <fill>
      <patternFill patternType="solid">
        <fgColor rgb="FFE7F5EC"/>
      </patternFill>
    </fill>
    <fill>
      <patternFill patternType="solid">
        <fgColor rgb="FF155E52"/>
      </patternFill>
    </fill>
    <fill>
      <patternFill patternType="solid">
        <fgColor rgb="FFF7FAF9"/>
      </patternFill>
    </fill>
    <fill>
      <patternFill patternType="solid">
        <fgColor rgb="FF17332D"/>
      </patternFill>
    </fill>
    <fill>
      <patternFill patternType="solid">
        <fgColor rgb="FFFFF2CC"/>
      </patternFill>
    </fill>
    <fill>
      <patternFill patternType="solid">
        <fgColor rgb="FFFFF3CD"/>
      </patternFill>
    </fill>
    <fill>
      <patternFill patternType="solid">
        <fgColor rgb="FFDDEFEA"/>
      </patternFill>
    </fill>
    <fill>
      <patternFill patternType="solid">
        <fgColor rgb="FFE7F5EC"/>
      </patternFill>
    </fill>
    <fill>
      <patternFill patternType="solid">
        <fgColor rgb="FFE8F0FF"/>
      </patternFill>
    </fill>
    <fill>
      <patternFill patternType="solid">
        <fgColor rgb="FF155E52"/>
      </patternFill>
    </fill>
    <fill>
      <patternFill patternType="solid">
        <fgColor rgb="FFEAF6F2"/>
      </patternFill>
    </fill>
    <fill>
      <patternFill patternType="solid">
        <fgColor rgb="FFDDEFEA"/>
      </patternFill>
    </fill>
    <fill>
      <patternFill patternType="solid">
        <fgColor rgb="FFFFF2CC"/>
      </patternFill>
    </fill>
    <fill>
      <patternFill patternType="solid">
        <fgColor rgb="FFF7FBF9"/>
      </patternFill>
    </fill>
    <fill>
      <patternFill patternType="solid">
        <fgColor rgb="FFF3F4F6"/>
      </patternFill>
    </fill>
    <fill>
      <patternFill patternType="solid">
        <fgColor rgb="FF155E52"/>
      </patternFill>
    </fill>
    <fill>
      <patternFill patternType="solid">
        <fgColor rgb="FFDDEFEA"/>
      </patternFill>
    </fill>
    <fill>
      <patternFill patternType="solid">
        <fgColor rgb="FFFFF2CC"/>
      </patternFill>
    </fill>
    <fill>
      <patternFill patternType="solid">
        <fgColor rgb="FFB45F06"/>
      </patternFill>
    </fill>
    <fill>
      <patternFill patternType="solid">
        <fgColor rgb="FFFCE5CD"/>
      </patternFill>
    </fill>
    <fill>
      <patternFill patternType="solid">
        <fgColor rgb="FFE2F0D9"/>
      </patternFill>
    </fill>
    <fill>
      <patternFill patternType="solid">
        <fgColor rgb="FFFAFAF7"/>
      </patternFill>
    </fill>
    <fill>
      <patternFill patternType="solid">
        <fgColor rgb="FF155E52"/>
      </patternFill>
    </fill>
    <fill>
      <patternFill patternType="solid">
        <fgColor rgb="FFFFF2CC"/>
      </patternFill>
    </fill>
    <fill>
      <patternFill patternType="solid">
        <fgColor rgb="FFFAFAF7"/>
      </patternFill>
    </fill>
    <fill>
      <patternFill patternType="solid">
        <fgColor rgb="FF0F4E45"/>
      </patternFill>
    </fill>
    <fill>
      <patternFill patternType="solid">
        <fgColor rgb="FFDDEFEA"/>
      </patternFill>
    </fill>
    <fill>
      <patternFill patternType="solid">
        <fgColor rgb="FFEEF7F4"/>
      </patternFill>
    </fill>
    <fill>
      <patternFill patternType="solid">
        <fgColor rgb="FF155E52"/>
      </patternFill>
    </fill>
    <fill>
      <patternFill patternType="solid">
        <fgColor rgb="FFDDEFEA"/>
      </patternFill>
    </fill>
    <fill>
      <patternFill patternType="solid">
        <fgColor rgb="FF17332D"/>
      </patternFill>
    </fill>
    <fill>
      <patternFill patternType="solid">
        <fgColor rgb="FFF7F9F8"/>
      </patternFill>
    </fill>
    <fill>
      <patternFill patternType="solid">
        <fgColor rgb="FFFFF5CC"/>
      </patternFill>
    </fill>
    <fill>
      <patternFill patternType="solid">
        <fgColor rgb="FF155E52"/>
      </patternFill>
    </fill>
    <fill>
      <patternFill patternType="solid">
        <fgColor rgb="FFDDEFEA"/>
      </patternFill>
    </fill>
    <fill>
      <patternFill patternType="solid">
        <fgColor rgb="FF17332D"/>
      </patternFill>
    </fill>
    <fill>
      <patternFill patternType="solid">
        <fgColor rgb="FFFFF5CC"/>
      </patternFill>
    </fill>
    <fill>
      <patternFill patternType="solid">
        <fgColor rgb="FFF7F9F8"/>
      </patternFill>
    </fill>
    <fill>
      <patternFill patternType="solid">
        <fgColor rgb="FF155E52"/>
      </patternFill>
    </fill>
    <fill>
      <patternFill patternType="solid">
        <fgColor rgb="FFFAFAF7"/>
      </patternFill>
    </fill>
    <fill>
      <patternFill patternType="solid">
        <fgColor rgb="FF17332D"/>
      </patternFill>
    </fill>
    <fill>
      <patternFill patternType="solid">
        <fgColor rgb="FFFFF9E6"/>
      </patternFill>
    </fill>
    <fill>
      <patternFill patternType="solid">
        <fgColor rgb="FFDDEFEA"/>
      </patternFill>
    </fill>
    <fill>
      <patternFill patternType="solid">
        <fgColor rgb="FFF7F9F8"/>
      </patternFill>
    </fill>
    <fill>
      <patternFill patternType="solid">
        <fgColor rgb="FFFFF2CC"/>
      </patternFill>
    </fill>
    <fill>
      <patternFill patternType="solid">
        <fgColor rgb="FFFFFFFF"/>
      </patternFill>
    </fill>
    <fill>
      <patternFill patternType="solid">
        <fgColor rgb="FFFFF2CC"/>
      </patternFill>
    </fill>
    <fill>
      <patternFill patternType="solid">
        <fgColor rgb="FFDDEFEA"/>
      </patternFill>
    </fill>
    <fill>
      <patternFill patternType="solid">
        <fgColor rgb="FF155E52"/>
      </patternFill>
    </fill>
    <fill>
      <patternFill patternType="solid">
        <fgColor rgb="FF17332D"/>
      </patternFill>
    </fill>
    <fill>
      <patternFill patternType="solid">
        <fgColor rgb="FFFFF2CC"/>
      </patternFill>
    </fill>
    <fill>
      <patternFill patternType="solid">
        <fgColor rgb="FFDDEFEA"/>
      </patternFill>
    </fill>
    <fill>
      <patternFill patternType="solid">
        <fgColor rgb="FFFAFAF7"/>
      </patternFill>
    </fill>
    <fill>
      <patternFill patternType="solid">
        <fgColor rgb="FF155E52"/>
      </patternFill>
    </fill>
    <fill>
      <patternFill patternType="solid">
        <fgColor rgb="FF17332D"/>
      </patternFill>
    </fill>
    <fill>
      <patternFill patternType="solid">
        <fgColor rgb="FFF7F9F8"/>
      </patternFill>
    </fill>
    <fill>
      <patternFill patternType="solid">
        <fgColor rgb="FFFFFFFF"/>
      </patternFill>
    </fill>
    <fill>
      <patternFill patternType="solid">
        <fgColor rgb="FF155E52"/>
      </patternFill>
    </fill>
    <fill>
      <patternFill patternType="solid">
        <fgColor rgb="FFFAFAF7"/>
      </patternFill>
    </fill>
    <fill>
      <patternFill patternType="solid">
        <fgColor rgb="FFDDEFEA"/>
      </patternFill>
    </fill>
    <fill>
      <patternFill patternType="solid">
        <fgColor rgb="FFFFF2CC"/>
      </patternFill>
    </fill>
    <fill>
      <patternFill patternType="solid">
        <fgColor rgb="FFF7F9F8"/>
      </patternFill>
    </fill>
    <fill>
      <patternFill patternType="solid">
        <fgColor rgb="FF17332D"/>
      </patternFill>
    </fill>
    <fill>
      <patternFill patternType="solid">
        <fgColor rgb="FFFFF9E6"/>
      </patternFill>
    </fill>
  </fills>
  <borders count="64">
    <border>
      <left/>
      <right/>
      <top/>
      <bottom/>
      <diagonal/>
    </border>
    <border>
      <left style="thin">
        <color rgb="FFB7C9C3"/>
      </left>
      <right style="hair">
        <color rgb="FFDDE7E3"/>
      </right>
      <top style="thin">
        <color rgb="FFB7C9C3"/>
      </top>
      <bottom style="hair">
        <color rgb="FFDDE7E3"/>
      </bottom>
      <diagonal/>
    </border>
    <border>
      <left style="hair">
        <color rgb="FFDDE7E3"/>
      </left>
      <right style="hair">
        <color rgb="FFDDE7E3"/>
      </right>
      <top style="thin">
        <color rgb="FFB7C9C3"/>
      </top>
      <bottom style="hair">
        <color rgb="FFDDE7E3"/>
      </bottom>
      <diagonal/>
    </border>
    <border>
      <left style="hair">
        <color rgb="FFDDE7E3"/>
      </left>
      <right style="thin">
        <color rgb="FFB7C9C3"/>
      </right>
      <top style="thin">
        <color rgb="FFB7C9C3"/>
      </top>
      <bottom style="hair">
        <color rgb="FFDDE7E3"/>
      </bottom>
      <diagonal/>
    </border>
    <border>
      <left style="thin">
        <color rgb="FFB7C9C3"/>
      </left>
      <right style="hair">
        <color rgb="FFDDE7E3"/>
      </right>
      <top style="hair">
        <color rgb="FFDDE7E3"/>
      </top>
      <bottom style="hair">
        <color rgb="FFDDE7E3"/>
      </bottom>
      <diagonal/>
    </border>
    <border>
      <left style="hair">
        <color rgb="FFDDE7E3"/>
      </left>
      <right style="hair">
        <color rgb="FFDDE7E3"/>
      </right>
      <top style="hair">
        <color rgb="FFDDE7E3"/>
      </top>
      <bottom style="hair">
        <color rgb="FFDDE7E3"/>
      </bottom>
      <diagonal/>
    </border>
    <border>
      <left style="hair">
        <color rgb="FFDDE7E3"/>
      </left>
      <right style="thin">
        <color rgb="FFB7C9C3"/>
      </right>
      <top style="hair">
        <color rgb="FFDDE7E3"/>
      </top>
      <bottom style="hair">
        <color rgb="FFDDE7E3"/>
      </bottom>
      <diagonal/>
    </border>
    <border>
      <left style="thin">
        <color rgb="FFB7C9C3"/>
      </left>
      <right style="hair">
        <color rgb="FFDDE7E3"/>
      </right>
      <top style="hair">
        <color rgb="FFDDE7E3"/>
      </top>
      <bottom style="thin">
        <color rgb="FFB7C9C3"/>
      </bottom>
      <diagonal/>
    </border>
    <border>
      <left style="hair">
        <color rgb="FFDDE7E3"/>
      </left>
      <right style="hair">
        <color rgb="FFDDE7E3"/>
      </right>
      <top style="hair">
        <color rgb="FFDDE7E3"/>
      </top>
      <bottom style="thin">
        <color rgb="FFB7C9C3"/>
      </bottom>
      <diagonal/>
    </border>
    <border>
      <left style="hair">
        <color rgb="FFDDE7E3"/>
      </left>
      <right style="thin">
        <color rgb="FFB7C9C3"/>
      </right>
      <top style="hair">
        <color rgb="FFDDE7E3"/>
      </top>
      <bottom style="thin">
        <color rgb="FFB7C9C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631">
    <xf numFmtId="0" fontId="0" fillId="0" borderId="0" xfId="0"/>
    <xf numFmtId="0" fontId="0" fillId="0" borderId="0" xfId="0" applyAlignment="1">
      <alignment wrapText="1"/>
    </xf>
    <xf numFmtId="164" fontId="4" fillId="5" borderId="0" xfId="0" applyNumberFormat="1" applyFont="1" applyFill="1" applyAlignment="1">
      <alignment wrapText="1"/>
    </xf>
    <xf numFmtId="165" fontId="4" fillId="5" borderId="0" xfId="0" applyNumberFormat="1" applyFont="1" applyFill="1" applyAlignment="1">
      <alignment wrapText="1"/>
    </xf>
    <xf numFmtId="166" fontId="4" fillId="5" borderId="0" xfId="0" applyNumberFormat="1" applyFont="1" applyFill="1" applyAlignment="1">
      <alignment wrapText="1"/>
    </xf>
    <xf numFmtId="0" fontId="6" fillId="4" borderId="0" xfId="0" applyFont="1" applyFill="1" applyAlignment="1">
      <alignment horizontal="center" vertical="center" wrapText="1"/>
    </xf>
    <xf numFmtId="0" fontId="8" fillId="0" borderId="0" xfId="0" applyFont="1"/>
    <xf numFmtId="166" fontId="8" fillId="0" borderId="0" xfId="0" applyNumberFormat="1" applyFont="1"/>
    <xf numFmtId="166" fontId="7" fillId="0" borderId="0" xfId="0" applyNumberFormat="1" applyFont="1"/>
    <xf numFmtId="167" fontId="4" fillId="6" borderId="0" xfId="0" applyNumberFormat="1" applyFont="1" applyFill="1" applyAlignment="1">
      <alignment wrapText="1"/>
    </xf>
    <xf numFmtId="166" fontId="4" fillId="6" borderId="0" xfId="0" applyNumberFormat="1" applyFont="1" applyFill="1" applyAlignment="1">
      <alignment wrapText="1"/>
    </xf>
    <xf numFmtId="1" fontId="4" fillId="6" borderId="0" xfId="0" applyNumberFormat="1" applyFont="1" applyFill="1" applyAlignment="1">
      <alignment wrapText="1"/>
    </xf>
    <xf numFmtId="166" fontId="8" fillId="0" borderId="0" xfId="0" applyNumberFormat="1" applyFont="1" applyAlignment="1">
      <alignment wrapText="1"/>
    </xf>
    <xf numFmtId="166" fontId="7" fillId="0" borderId="0" xfId="0" applyNumberFormat="1" applyFont="1" applyAlignment="1">
      <alignment wrapText="1"/>
    </xf>
    <xf numFmtId="165" fontId="7" fillId="0" borderId="0" xfId="0" applyNumberFormat="1" applyFont="1" applyAlignment="1">
      <alignment wrapText="1"/>
    </xf>
    <xf numFmtId="167" fontId="0" fillId="0" borderId="0" xfId="0" applyNumberFormat="1"/>
    <xf numFmtId="166" fontId="0" fillId="0" borderId="0" xfId="0" applyNumberFormat="1"/>
    <xf numFmtId="165" fontId="0" fillId="0" borderId="0" xfId="0" applyNumberFormat="1"/>
    <xf numFmtId="0" fontId="11" fillId="7" borderId="0" xfId="0" applyFont="1" applyFill="1"/>
    <xf numFmtId="167" fontId="8" fillId="0" borderId="0" xfId="0" applyNumberFormat="1" applyFont="1"/>
    <xf numFmtId="165" fontId="8" fillId="0" borderId="0" xfId="0" applyNumberFormat="1" applyFont="1"/>
    <xf numFmtId="0" fontId="3" fillId="4" borderId="0" xfId="0" applyFont="1" applyFill="1" applyAlignment="1">
      <alignment horizontal="center" wrapText="1"/>
    </xf>
    <xf numFmtId="166" fontId="4" fillId="9" borderId="0" xfId="0" applyNumberFormat="1" applyFont="1" applyFill="1"/>
    <xf numFmtId="167" fontId="4" fillId="9" borderId="0" xfId="0" applyNumberFormat="1" applyFont="1" applyFill="1"/>
    <xf numFmtId="166" fontId="4" fillId="9" borderId="0" xfId="0" applyNumberFormat="1" applyFont="1" applyFill="1" applyAlignment="1">
      <alignment wrapText="1"/>
    </xf>
    <xf numFmtId="0" fontId="3" fillId="12" borderId="0" xfId="0" applyFont="1" applyFill="1"/>
    <xf numFmtId="0" fontId="9" fillId="9" borderId="0" xfId="0" applyFont="1" applyFill="1"/>
    <xf numFmtId="169" fontId="4" fillId="9" borderId="0" xfId="0" applyNumberFormat="1" applyFont="1" applyFill="1"/>
    <xf numFmtId="0" fontId="3" fillId="12" borderId="0" xfId="0" applyFont="1" applyFill="1" applyAlignment="1">
      <alignment horizontal="center"/>
    </xf>
    <xf numFmtId="165" fontId="4" fillId="9" borderId="0" xfId="0" applyNumberFormat="1" applyFont="1" applyFill="1"/>
    <xf numFmtId="0" fontId="10" fillId="13" borderId="0" xfId="0" applyFont="1" applyFill="1"/>
    <xf numFmtId="166" fontId="10" fillId="13" borderId="0" xfId="0" applyNumberFormat="1" applyFont="1" applyFill="1"/>
    <xf numFmtId="166" fontId="13" fillId="13" borderId="0" xfId="0" applyNumberFormat="1" applyFont="1" applyFill="1"/>
    <xf numFmtId="0" fontId="6" fillId="12" borderId="0" xfId="0" applyFont="1" applyFill="1" applyAlignment="1">
      <alignment horizontal="center" wrapText="1"/>
    </xf>
    <xf numFmtId="0" fontId="6" fillId="12" borderId="0" xfId="0" applyFont="1" applyFill="1" applyAlignment="1">
      <alignment horizontal="center" vertical="center" wrapText="1"/>
    </xf>
    <xf numFmtId="0" fontId="14" fillId="11" borderId="0" xfId="0" applyFont="1" applyFill="1"/>
    <xf numFmtId="167" fontId="7" fillId="0" borderId="0" xfId="0" applyNumberFormat="1" applyFont="1"/>
    <xf numFmtId="167" fontId="3" fillId="12" borderId="0" xfId="0" applyNumberFormat="1" applyFont="1" applyFill="1"/>
    <xf numFmtId="166" fontId="10" fillId="0" borderId="0" xfId="0" applyNumberFormat="1" applyFont="1"/>
    <xf numFmtId="0" fontId="15" fillId="11" borderId="0" xfId="0" applyFont="1" applyFill="1"/>
    <xf numFmtId="0" fontId="8" fillId="0" borderId="0" xfId="0" applyFont="1" applyAlignment="1">
      <alignment wrapText="1"/>
    </xf>
    <xf numFmtId="0" fontId="4" fillId="9" borderId="0" xfId="0" applyFont="1" applyFill="1" applyAlignment="1">
      <alignment wrapText="1"/>
    </xf>
    <xf numFmtId="0" fontId="7" fillId="0" borderId="0" xfId="0" applyFont="1" applyAlignment="1">
      <alignment wrapText="1"/>
    </xf>
    <xf numFmtId="0" fontId="10" fillId="13" borderId="0" xfId="0" applyFont="1" applyFill="1" applyAlignment="1">
      <alignment wrapText="1"/>
    </xf>
    <xf numFmtId="165" fontId="4" fillId="9" borderId="0" xfId="0" applyNumberFormat="1" applyFont="1" applyFill="1" applyAlignment="1">
      <alignment wrapText="1"/>
    </xf>
    <xf numFmtId="167" fontId="8" fillId="0" borderId="0" xfId="0" applyNumberFormat="1" applyFont="1" applyAlignment="1">
      <alignment wrapText="1"/>
    </xf>
    <xf numFmtId="167" fontId="7" fillId="0" borderId="0" xfId="0" applyNumberFormat="1" applyFont="1" applyAlignment="1">
      <alignment wrapText="1"/>
    </xf>
    <xf numFmtId="168" fontId="4" fillId="9" borderId="0" xfId="0" applyNumberFormat="1" applyFont="1" applyFill="1" applyAlignment="1">
      <alignment wrapText="1"/>
    </xf>
    <xf numFmtId="170" fontId="7" fillId="0" borderId="0" xfId="0" applyNumberFormat="1" applyFont="1" applyAlignment="1">
      <alignment wrapText="1"/>
    </xf>
    <xf numFmtId="165" fontId="0" fillId="0" borderId="0" xfId="0" applyNumberFormat="1" applyAlignment="1">
      <alignment wrapText="1"/>
    </xf>
    <xf numFmtId="166" fontId="0" fillId="0" borderId="0" xfId="0" applyNumberFormat="1" applyAlignment="1">
      <alignment wrapText="1"/>
    </xf>
    <xf numFmtId="166" fontId="10" fillId="13" borderId="0" xfId="0" applyNumberFormat="1" applyFont="1" applyFill="1" applyAlignment="1">
      <alignment wrapText="1"/>
    </xf>
    <xf numFmtId="166" fontId="3" fillId="12" borderId="0" xfId="0" applyNumberFormat="1" applyFont="1" applyFill="1"/>
    <xf numFmtId="0" fontId="11" fillId="18" borderId="0" xfId="0" applyFont="1" applyFill="1" applyAlignment="1">
      <alignment wrapText="1"/>
    </xf>
    <xf numFmtId="0" fontId="3" fillId="16" borderId="0" xfId="0" applyFont="1" applyFill="1" applyAlignment="1">
      <alignment wrapText="1"/>
    </xf>
    <xf numFmtId="165" fontId="4" fillId="17" borderId="0" xfId="0" applyNumberFormat="1" applyFont="1" applyFill="1" applyAlignment="1">
      <alignment wrapText="1"/>
    </xf>
    <xf numFmtId="166" fontId="4" fillId="17" borderId="0" xfId="0" applyNumberFormat="1" applyFont="1" applyFill="1" applyAlignment="1">
      <alignment wrapText="1"/>
    </xf>
    <xf numFmtId="167" fontId="0" fillId="0" borderId="0" xfId="0" applyNumberFormat="1" applyAlignment="1">
      <alignment wrapText="1"/>
    </xf>
    <xf numFmtId="0" fontId="14" fillId="15" borderId="0" xfId="0" applyFont="1" applyFill="1"/>
    <xf numFmtId="167" fontId="4" fillId="17" borderId="0" xfId="0" applyNumberFormat="1" applyFont="1" applyFill="1" applyAlignment="1">
      <alignment wrapText="1"/>
    </xf>
    <xf numFmtId="166" fontId="9" fillId="17" borderId="0" xfId="0" applyNumberFormat="1" applyFont="1" applyFill="1" applyAlignment="1">
      <alignment wrapText="1"/>
    </xf>
    <xf numFmtId="0" fontId="11" fillId="20" borderId="0" xfId="0" applyFont="1" applyFill="1" applyAlignment="1">
      <alignment wrapText="1"/>
    </xf>
    <xf numFmtId="0" fontId="3" fillId="14" borderId="0" xfId="0" applyFont="1" applyFill="1" applyAlignment="1">
      <alignment wrapText="1"/>
    </xf>
    <xf numFmtId="169" fontId="4" fillId="17" borderId="0" xfId="0" applyNumberFormat="1" applyFont="1" applyFill="1" applyAlignment="1">
      <alignment wrapText="1"/>
    </xf>
    <xf numFmtId="165" fontId="8" fillId="0" borderId="0" xfId="0" applyNumberFormat="1" applyFont="1" applyAlignment="1">
      <alignment wrapText="1"/>
    </xf>
    <xf numFmtId="0" fontId="10" fillId="19" borderId="0" xfId="0" applyFont="1" applyFill="1" applyAlignment="1">
      <alignment wrapText="1"/>
    </xf>
    <xf numFmtId="166" fontId="10" fillId="19" borderId="0" xfId="0" applyNumberFormat="1" applyFont="1" applyFill="1" applyAlignment="1">
      <alignment wrapText="1"/>
    </xf>
    <xf numFmtId="167" fontId="10" fillId="19" borderId="0" xfId="0" applyNumberFormat="1" applyFont="1" applyFill="1" applyAlignment="1">
      <alignment wrapText="1"/>
    </xf>
    <xf numFmtId="0" fontId="4" fillId="17" borderId="0" xfId="0" applyFont="1" applyFill="1" applyAlignment="1">
      <alignment wrapText="1"/>
    </xf>
    <xf numFmtId="166" fontId="13" fillId="19" borderId="0" xfId="0" applyNumberFormat="1" applyFont="1" applyFill="1" applyAlignment="1">
      <alignment wrapText="1"/>
    </xf>
    <xf numFmtId="168" fontId="7" fillId="0" borderId="0" xfId="0" applyNumberFormat="1" applyFont="1" applyAlignment="1">
      <alignment wrapText="1"/>
    </xf>
    <xf numFmtId="0" fontId="3" fillId="23" borderId="0" xfId="0" applyFont="1" applyFill="1"/>
    <xf numFmtId="0" fontId="14" fillId="22" borderId="0" xfId="0" applyFont="1" applyFill="1"/>
    <xf numFmtId="0" fontId="3" fillId="23" borderId="0" xfId="0" applyFont="1" applyFill="1" applyAlignment="1">
      <alignment wrapText="1"/>
    </xf>
    <xf numFmtId="168" fontId="4" fillId="24" borderId="0" xfId="0" applyNumberFormat="1" applyFont="1" applyFill="1" applyAlignment="1">
      <alignment wrapText="1"/>
    </xf>
    <xf numFmtId="166" fontId="4" fillId="24" borderId="0" xfId="0" applyNumberFormat="1" applyFont="1" applyFill="1" applyAlignment="1">
      <alignment wrapText="1"/>
    </xf>
    <xf numFmtId="167" fontId="4" fillId="24" borderId="0" xfId="0" applyNumberFormat="1" applyFont="1" applyFill="1" applyAlignment="1">
      <alignment wrapText="1"/>
    </xf>
    <xf numFmtId="165" fontId="4" fillId="24" borderId="0" xfId="0" applyNumberFormat="1" applyFont="1" applyFill="1" applyAlignment="1">
      <alignment wrapText="1"/>
    </xf>
    <xf numFmtId="165" fontId="3" fillId="23" borderId="0" xfId="0" applyNumberFormat="1" applyFont="1" applyFill="1" applyAlignment="1">
      <alignment wrapText="1"/>
    </xf>
    <xf numFmtId="0" fontId="4" fillId="24" borderId="0" xfId="0" applyFont="1" applyFill="1" applyAlignment="1">
      <alignment wrapText="1"/>
    </xf>
    <xf numFmtId="0" fontId="10" fillId="26" borderId="0" xfId="0" applyFont="1" applyFill="1" applyAlignment="1">
      <alignment wrapText="1"/>
    </xf>
    <xf numFmtId="169" fontId="4" fillId="24" borderId="0" xfId="0" applyNumberFormat="1" applyFont="1" applyFill="1" applyAlignment="1">
      <alignment wrapText="1"/>
    </xf>
    <xf numFmtId="0" fontId="13" fillId="25" borderId="0" xfId="0" applyFont="1" applyFill="1" applyAlignment="1">
      <alignment wrapText="1"/>
    </xf>
    <xf numFmtId="165" fontId="7" fillId="24" borderId="0" xfId="0" applyNumberFormat="1" applyFont="1" applyFill="1" applyAlignment="1">
      <alignment wrapText="1"/>
    </xf>
    <xf numFmtId="167" fontId="7" fillId="24" borderId="0" xfId="0" applyNumberFormat="1" applyFont="1" applyFill="1" applyAlignment="1">
      <alignment wrapText="1"/>
    </xf>
    <xf numFmtId="167" fontId="13" fillId="26" borderId="0" xfId="0" applyNumberFormat="1" applyFont="1" applyFill="1" applyAlignment="1">
      <alignment wrapText="1"/>
    </xf>
    <xf numFmtId="0" fontId="13" fillId="26" borderId="0" xfId="0" applyFont="1" applyFill="1" applyAlignment="1">
      <alignment wrapText="1"/>
    </xf>
    <xf numFmtId="166" fontId="13" fillId="26" borderId="0" xfId="0" applyNumberFormat="1" applyFont="1" applyFill="1" applyAlignment="1">
      <alignment wrapText="1"/>
    </xf>
    <xf numFmtId="165" fontId="13" fillId="26" borderId="0" xfId="0" applyNumberFormat="1" applyFont="1" applyFill="1" applyAlignment="1">
      <alignment wrapText="1"/>
    </xf>
    <xf numFmtId="0" fontId="13" fillId="27" borderId="0" xfId="0" applyFont="1" applyFill="1" applyAlignment="1">
      <alignment wrapText="1"/>
    </xf>
    <xf numFmtId="166" fontId="11" fillId="28" borderId="0" xfId="0" applyNumberFormat="1" applyFont="1" applyFill="1" applyAlignment="1">
      <alignment wrapText="1"/>
    </xf>
    <xf numFmtId="166" fontId="11" fillId="28" borderId="0" xfId="0" applyNumberFormat="1" applyFont="1" applyFill="1"/>
    <xf numFmtId="0" fontId="22" fillId="31" borderId="1" xfId="0" applyFont="1" applyFill="1" applyBorder="1" applyAlignment="1">
      <alignment horizontal="center" vertical="center" wrapText="1"/>
    </xf>
    <xf numFmtId="172" fontId="22" fillId="31" borderId="2" xfId="0" applyNumberFormat="1" applyFont="1" applyFill="1" applyBorder="1" applyAlignment="1">
      <alignment horizontal="center" vertical="center" wrapText="1"/>
    </xf>
    <xf numFmtId="0" fontId="22" fillId="31" borderId="2" xfId="0" applyFont="1" applyFill="1" applyBorder="1" applyAlignment="1">
      <alignment horizontal="center" vertical="center" wrapText="1"/>
    </xf>
    <xf numFmtId="0" fontId="22" fillId="31" borderId="3" xfId="0" applyFont="1" applyFill="1" applyBorder="1" applyAlignment="1">
      <alignment horizontal="center" vertical="center" wrapText="1"/>
    </xf>
    <xf numFmtId="0" fontId="18" fillId="0" borderId="0" xfId="0" applyFont="1" applyAlignment="1">
      <alignment vertical="center" wrapText="1"/>
    </xf>
    <xf numFmtId="0" fontId="18" fillId="0" borderId="1" xfId="0" applyFont="1" applyBorder="1" applyAlignment="1">
      <alignment vertical="center" wrapText="1"/>
    </xf>
    <xf numFmtId="0" fontId="23" fillId="32" borderId="2" xfId="0" applyFont="1" applyFill="1" applyBorder="1" applyAlignment="1">
      <alignment horizontal="right" vertical="center" wrapText="1"/>
    </xf>
    <xf numFmtId="0" fontId="18" fillId="0" borderId="2" xfId="0" applyFont="1" applyBorder="1" applyAlignment="1">
      <alignment vertical="center" wrapText="1"/>
    </xf>
    <xf numFmtId="0" fontId="18" fillId="0" borderId="3" xfId="0" applyFont="1" applyBorder="1" applyAlignment="1">
      <alignment vertical="center" wrapText="1"/>
    </xf>
    <xf numFmtId="0" fontId="18" fillId="0" borderId="4" xfId="0" applyFont="1" applyBorder="1" applyAlignment="1">
      <alignment vertical="center" wrapText="1"/>
    </xf>
    <xf numFmtId="165" fontId="23" fillId="32" borderId="5" xfId="0" applyNumberFormat="1" applyFont="1" applyFill="1" applyBorder="1" applyAlignment="1">
      <alignment horizontal="right" vertical="center" wrapText="1"/>
    </xf>
    <xf numFmtId="0" fontId="18" fillId="0" borderId="5" xfId="0" applyFont="1" applyBorder="1" applyAlignment="1">
      <alignment vertical="center" wrapText="1"/>
    </xf>
    <xf numFmtId="0" fontId="18" fillId="0" borderId="6" xfId="0" applyFont="1" applyBorder="1" applyAlignment="1">
      <alignment vertical="center" wrapText="1"/>
    </xf>
    <xf numFmtId="169" fontId="23" fillId="32" borderId="5" xfId="0" applyNumberFormat="1" applyFont="1" applyFill="1" applyBorder="1" applyAlignment="1">
      <alignment horizontal="right" vertical="center" wrapText="1"/>
    </xf>
    <xf numFmtId="0" fontId="23" fillId="32" borderId="5" xfId="0" applyFont="1" applyFill="1" applyBorder="1" applyAlignment="1">
      <alignment vertical="center" wrapText="1"/>
    </xf>
    <xf numFmtId="165" fontId="24" fillId="0" borderId="5" xfId="0" applyNumberFormat="1" applyFont="1" applyBorder="1" applyAlignment="1">
      <alignment vertical="center" wrapText="1"/>
    </xf>
    <xf numFmtId="0" fontId="18" fillId="0" borderId="7" xfId="0" applyFont="1" applyBorder="1" applyAlignment="1">
      <alignment vertical="center" wrapText="1"/>
    </xf>
    <xf numFmtId="165" fontId="24" fillId="0" borderId="8" xfId="0" applyNumberFormat="1" applyFont="1" applyBorder="1" applyAlignment="1">
      <alignment vertical="center" wrapText="1"/>
    </xf>
    <xf numFmtId="0" fontId="18" fillId="0" borderId="8" xfId="0" applyFont="1" applyBorder="1" applyAlignment="1">
      <alignment vertical="center" wrapText="1"/>
    </xf>
    <xf numFmtId="0" fontId="18" fillId="0" borderId="9" xfId="0" applyFont="1" applyBorder="1" applyAlignment="1">
      <alignment vertical="center" wrapText="1"/>
    </xf>
    <xf numFmtId="171" fontId="25" fillId="0" borderId="2" xfId="0" applyNumberFormat="1" applyFont="1" applyBorder="1" applyAlignment="1">
      <alignment vertical="center" wrapText="1"/>
    </xf>
    <xf numFmtId="171" fontId="25" fillId="0" borderId="5" xfId="0" applyNumberFormat="1" applyFont="1" applyBorder="1" applyAlignment="1">
      <alignment vertical="center" wrapText="1"/>
    </xf>
    <xf numFmtId="172" fontId="25" fillId="0" borderId="5" xfId="0" applyNumberFormat="1" applyFont="1" applyBorder="1" applyAlignment="1">
      <alignment vertical="center" wrapText="1"/>
    </xf>
    <xf numFmtId="165" fontId="25" fillId="0" borderId="8" xfId="0" applyNumberFormat="1" applyFont="1" applyBorder="1" applyAlignment="1">
      <alignment vertical="center" wrapText="1"/>
    </xf>
    <xf numFmtId="171" fontId="23" fillId="32" borderId="2" xfId="0" applyNumberFormat="1" applyFont="1" applyFill="1" applyBorder="1" applyAlignment="1">
      <alignment vertical="center" wrapText="1"/>
    </xf>
    <xf numFmtId="172" fontId="24" fillId="0" borderId="5" xfId="0" applyNumberFormat="1" applyFont="1" applyBorder="1" applyAlignment="1">
      <alignment vertical="center" wrapText="1"/>
    </xf>
    <xf numFmtId="171" fontId="24" fillId="0" borderId="5" xfId="0" applyNumberFormat="1" applyFont="1" applyBorder="1" applyAlignment="1">
      <alignment vertical="center" wrapText="1"/>
    </xf>
    <xf numFmtId="2" fontId="24" fillId="0" borderId="6" xfId="0" applyNumberFormat="1" applyFont="1" applyBorder="1" applyAlignment="1">
      <alignment vertical="center" wrapText="1"/>
    </xf>
    <xf numFmtId="2" fontId="24" fillId="0" borderId="9" xfId="0" applyNumberFormat="1" applyFont="1" applyBorder="1" applyAlignment="1">
      <alignment vertical="center" wrapText="1"/>
    </xf>
    <xf numFmtId="0" fontId="18" fillId="33" borderId="4" xfId="0" applyFont="1" applyFill="1" applyBorder="1" applyAlignment="1">
      <alignment vertical="center" wrapText="1"/>
    </xf>
    <xf numFmtId="171" fontId="25" fillId="33" borderId="5" xfId="0" applyNumberFormat="1" applyFont="1" applyFill="1" applyBorder="1" applyAlignment="1">
      <alignment vertical="center" wrapText="1"/>
    </xf>
    <xf numFmtId="0" fontId="18" fillId="33" borderId="5" xfId="0" applyFont="1" applyFill="1" applyBorder="1" applyAlignment="1">
      <alignment vertical="center" wrapText="1"/>
    </xf>
    <xf numFmtId="0" fontId="18" fillId="33" borderId="6" xfId="0" applyFont="1" applyFill="1" applyBorder="1" applyAlignment="1">
      <alignment vertical="center" wrapText="1"/>
    </xf>
    <xf numFmtId="0" fontId="22" fillId="33" borderId="4" xfId="0" applyFont="1" applyFill="1" applyBorder="1" applyAlignment="1">
      <alignment vertical="center" wrapText="1"/>
    </xf>
    <xf numFmtId="171" fontId="22" fillId="33" borderId="5" xfId="0" applyNumberFormat="1" applyFont="1" applyFill="1" applyBorder="1" applyAlignment="1">
      <alignment vertical="center" wrapText="1"/>
    </xf>
    <xf numFmtId="0" fontId="3" fillId="29" borderId="0" xfId="0" applyFont="1" applyFill="1" applyAlignment="1">
      <alignment horizontal="center" vertical="center" wrapText="1"/>
    </xf>
    <xf numFmtId="171" fontId="8" fillId="0" borderId="0" xfId="0" applyNumberFormat="1" applyFont="1"/>
    <xf numFmtId="0" fontId="11" fillId="30" borderId="0" xfId="0" applyFont="1" applyFill="1" applyAlignment="1">
      <alignment wrapText="1"/>
    </xf>
    <xf numFmtId="165" fontId="12" fillId="0" borderId="0" xfId="0" applyNumberFormat="1" applyFont="1" applyAlignment="1">
      <alignment wrapText="1"/>
    </xf>
    <xf numFmtId="171" fontId="12" fillId="0" borderId="0" xfId="0" applyNumberFormat="1" applyFont="1" applyAlignment="1">
      <alignment wrapText="1"/>
    </xf>
    <xf numFmtId="0" fontId="0" fillId="33" borderId="0" xfId="0" applyFill="1" applyAlignment="1">
      <alignment wrapText="1"/>
    </xf>
    <xf numFmtId="171" fontId="8" fillId="33" borderId="0" xfId="0" applyNumberFormat="1" applyFont="1" applyFill="1" applyAlignment="1">
      <alignment wrapText="1"/>
    </xf>
    <xf numFmtId="171" fontId="7" fillId="33" borderId="0" xfId="0" applyNumberFormat="1" applyFont="1" applyFill="1" applyAlignment="1">
      <alignment wrapText="1"/>
    </xf>
    <xf numFmtId="173" fontId="23" fillId="32" borderId="5" xfId="0" applyNumberFormat="1" applyFont="1" applyFill="1" applyBorder="1" applyAlignment="1">
      <alignment horizontal="right" vertical="center" wrapText="1"/>
    </xf>
    <xf numFmtId="172" fontId="25" fillId="33" borderId="5" xfId="0" applyNumberFormat="1" applyFont="1" applyFill="1" applyBorder="1" applyAlignment="1">
      <alignment vertical="center" wrapText="1"/>
    </xf>
    <xf numFmtId="0" fontId="3" fillId="4" borderId="0" xfId="0" applyFont="1" applyFill="1" applyAlignment="1">
      <alignment horizontal="center" vertical="center" wrapText="1"/>
    </xf>
    <xf numFmtId="167" fontId="4" fillId="5" borderId="0" xfId="0" applyNumberFormat="1" applyFont="1" applyFill="1" applyAlignment="1">
      <alignment wrapText="1"/>
    </xf>
    <xf numFmtId="0" fontId="17" fillId="30" borderId="0" xfId="0" applyFont="1" applyFill="1" applyAlignment="1">
      <alignment wrapText="1"/>
    </xf>
    <xf numFmtId="166" fontId="4" fillId="37" borderId="0" xfId="0" applyNumberFormat="1" applyFont="1" applyFill="1" applyAlignment="1">
      <alignment wrapText="1"/>
    </xf>
    <xf numFmtId="171" fontId="8" fillId="0" borderId="0" xfId="0" applyNumberFormat="1" applyFont="1" applyAlignment="1">
      <alignment wrapText="1"/>
    </xf>
    <xf numFmtId="170" fontId="4" fillId="37" borderId="0" xfId="0" applyNumberFormat="1" applyFont="1" applyFill="1" applyAlignment="1">
      <alignment wrapText="1"/>
    </xf>
    <xf numFmtId="1" fontId="8" fillId="0" borderId="0" xfId="0" applyNumberFormat="1" applyFont="1" applyAlignment="1">
      <alignment wrapText="1"/>
    </xf>
    <xf numFmtId="0" fontId="11" fillId="36" borderId="0" xfId="0" applyFont="1" applyFill="1" applyAlignment="1">
      <alignment wrapText="1"/>
    </xf>
    <xf numFmtId="0" fontId="11" fillId="40" borderId="0" xfId="0" applyFont="1" applyFill="1" applyAlignment="1">
      <alignment wrapText="1"/>
    </xf>
    <xf numFmtId="0" fontId="11" fillId="37" borderId="0" xfId="0" applyFont="1" applyFill="1" applyAlignment="1">
      <alignment wrapText="1"/>
    </xf>
    <xf numFmtId="0" fontId="11" fillId="36" borderId="0" xfId="0" applyFont="1" applyFill="1" applyAlignment="1">
      <alignment horizontal="center" vertical="center" wrapText="1"/>
    </xf>
    <xf numFmtId="171" fontId="7" fillId="0" borderId="0" xfId="0" applyNumberFormat="1" applyFont="1"/>
    <xf numFmtId="165" fontId="7" fillId="0" borderId="0" xfId="0" applyNumberFormat="1" applyFont="1"/>
    <xf numFmtId="170" fontId="0" fillId="0" borderId="0" xfId="0" applyNumberFormat="1"/>
    <xf numFmtId="170" fontId="7" fillId="0" borderId="0" xfId="0" applyNumberFormat="1" applyFont="1"/>
    <xf numFmtId="0" fontId="4" fillId="0" borderId="0" xfId="0" applyFont="1"/>
    <xf numFmtId="166" fontId="4" fillId="0" borderId="0" xfId="0" applyNumberFormat="1" applyFont="1"/>
    <xf numFmtId="165" fontId="4" fillId="37" borderId="0" xfId="0" applyNumberFormat="1" applyFont="1" applyFill="1"/>
    <xf numFmtId="2" fontId="7" fillId="0" borderId="0" xfId="0" applyNumberFormat="1" applyFont="1"/>
    <xf numFmtId="171" fontId="0" fillId="0" borderId="0" xfId="0" applyNumberFormat="1"/>
    <xf numFmtId="0" fontId="11" fillId="0" borderId="0" xfId="0" applyFont="1"/>
    <xf numFmtId="164" fontId="8" fillId="5" borderId="0" xfId="0" applyNumberFormat="1" applyFont="1" applyFill="1" applyAlignment="1">
      <alignment wrapText="1"/>
    </xf>
    <xf numFmtId="167" fontId="8" fillId="5" borderId="0" xfId="0" applyNumberFormat="1" applyFont="1" applyFill="1" applyAlignment="1">
      <alignment wrapText="1"/>
    </xf>
    <xf numFmtId="0" fontId="3" fillId="35" borderId="0" xfId="0" applyFont="1" applyFill="1" applyAlignment="1">
      <alignment wrapText="1"/>
    </xf>
    <xf numFmtId="166" fontId="8" fillId="36" borderId="0" xfId="0" applyNumberFormat="1" applyFont="1" applyFill="1" applyAlignment="1">
      <alignment wrapText="1"/>
    </xf>
    <xf numFmtId="167" fontId="8" fillId="36" borderId="0" xfId="0" applyNumberFormat="1" applyFont="1" applyFill="1" applyAlignment="1">
      <alignment wrapText="1"/>
    </xf>
    <xf numFmtId="0" fontId="8" fillId="36" borderId="0" xfId="0" applyFont="1" applyFill="1" applyAlignment="1">
      <alignment wrapText="1"/>
    </xf>
    <xf numFmtId="166" fontId="4" fillId="0" borderId="0" xfId="0" applyNumberFormat="1" applyFont="1" applyAlignment="1">
      <alignment wrapText="1"/>
    </xf>
    <xf numFmtId="165" fontId="4" fillId="37" borderId="0" xfId="0" applyNumberFormat="1" applyFont="1" applyFill="1" applyAlignment="1">
      <alignment wrapText="1"/>
    </xf>
    <xf numFmtId="171" fontId="7" fillId="0" borderId="0" xfId="0" applyNumberFormat="1" applyFont="1" applyAlignment="1">
      <alignment wrapText="1"/>
    </xf>
    <xf numFmtId="171" fontId="0" fillId="0" borderId="0" xfId="0" applyNumberFormat="1" applyAlignment="1">
      <alignment wrapText="1"/>
    </xf>
    <xf numFmtId="2" fontId="7" fillId="0" borderId="0" xfId="0" applyNumberFormat="1" applyFont="1" applyAlignment="1">
      <alignment wrapText="1"/>
    </xf>
    <xf numFmtId="171" fontId="10" fillId="7" borderId="0" xfId="0" applyNumberFormat="1" applyFont="1" applyFill="1"/>
    <xf numFmtId="171" fontId="3" fillId="35" borderId="0" xfId="0" applyNumberFormat="1" applyFont="1" applyFill="1" applyAlignment="1">
      <alignment wrapText="1"/>
    </xf>
    <xf numFmtId="170" fontId="8" fillId="0" borderId="0" xfId="0" applyNumberFormat="1" applyFont="1" applyAlignment="1">
      <alignment wrapText="1"/>
    </xf>
    <xf numFmtId="2" fontId="8" fillId="0" borderId="0" xfId="0" applyNumberFormat="1" applyFont="1" applyAlignment="1">
      <alignment wrapText="1"/>
    </xf>
    <xf numFmtId="49" fontId="0" fillId="0" borderId="0" xfId="0" applyNumberFormat="1" applyAlignment="1">
      <alignment wrapText="1"/>
    </xf>
    <xf numFmtId="170" fontId="8" fillId="0" borderId="0" xfId="0" applyNumberFormat="1" applyFont="1"/>
    <xf numFmtId="0" fontId="3" fillId="42" borderId="0" xfId="0" applyFont="1" applyFill="1"/>
    <xf numFmtId="174" fontId="4" fillId="0" borderId="0" xfId="0" applyNumberFormat="1" applyFont="1"/>
    <xf numFmtId="0" fontId="3" fillId="42" borderId="0" xfId="0" applyFont="1" applyFill="1" applyAlignment="1">
      <alignment horizontal="left" wrapText="1"/>
    </xf>
    <xf numFmtId="172" fontId="4" fillId="0" borderId="0" xfId="0" applyNumberFormat="1" applyFont="1" applyAlignment="1">
      <alignment wrapText="1"/>
    </xf>
    <xf numFmtId="174" fontId="4" fillId="0" borderId="0" xfId="0" applyNumberFormat="1" applyFont="1" applyAlignment="1">
      <alignment wrapText="1"/>
    </xf>
    <xf numFmtId="172" fontId="8" fillId="0" borderId="0" xfId="0" applyNumberFormat="1" applyFont="1" applyAlignment="1">
      <alignment wrapText="1"/>
    </xf>
    <xf numFmtId="0" fontId="3" fillId="42" borderId="0" xfId="0" applyFont="1" applyFill="1" applyAlignment="1">
      <alignment horizontal="center" vertical="center" wrapText="1"/>
    </xf>
    <xf numFmtId="168" fontId="4" fillId="43" borderId="0" xfId="0" applyNumberFormat="1" applyFont="1" applyFill="1" applyAlignment="1">
      <alignment wrapText="1"/>
    </xf>
    <xf numFmtId="174" fontId="7" fillId="0" borderId="0" xfId="0" applyNumberFormat="1" applyFont="1" applyAlignment="1">
      <alignment wrapText="1"/>
    </xf>
    <xf numFmtId="174" fontId="8" fillId="0" borderId="0" xfId="0" applyNumberFormat="1" applyFont="1"/>
    <xf numFmtId="170" fontId="4" fillId="43" borderId="0" xfId="0" applyNumberFormat="1" applyFont="1" applyFill="1"/>
    <xf numFmtId="0" fontId="4" fillId="0" borderId="0" xfId="0" applyFont="1" applyAlignment="1">
      <alignment wrapText="1"/>
    </xf>
    <xf numFmtId="0" fontId="3" fillId="45" borderId="0" xfId="0" applyFont="1" applyFill="1"/>
    <xf numFmtId="0" fontId="3" fillId="45" borderId="0" xfId="0" applyFont="1" applyFill="1" applyAlignment="1">
      <alignment horizontal="left" vertical="center"/>
    </xf>
    <xf numFmtId="0" fontId="9" fillId="43" borderId="0" xfId="0" applyFont="1" applyFill="1"/>
    <xf numFmtId="170" fontId="9" fillId="43" borderId="0" xfId="0" applyNumberFormat="1" applyFont="1" applyFill="1" applyAlignment="1">
      <alignment horizontal="center" vertical="center"/>
    </xf>
    <xf numFmtId="0" fontId="3" fillId="45" borderId="0" xfId="0" applyFont="1" applyFill="1" applyAlignment="1">
      <alignment horizontal="center"/>
    </xf>
    <xf numFmtId="0" fontId="3" fillId="45" borderId="0" xfId="0" applyFont="1" applyFill="1" applyAlignment="1">
      <alignment horizontal="center" wrapText="1"/>
    </xf>
    <xf numFmtId="0" fontId="11" fillId="8" borderId="0" xfId="0" applyFont="1" applyFill="1"/>
    <xf numFmtId="0" fontId="11" fillId="46" borderId="0" xfId="0" applyFont="1" applyFill="1"/>
    <xf numFmtId="0" fontId="30" fillId="47" borderId="0" xfId="0" applyFont="1" applyFill="1"/>
    <xf numFmtId="168" fontId="8" fillId="0" borderId="0" xfId="0" applyNumberFormat="1" applyFont="1"/>
    <xf numFmtId="166" fontId="32" fillId="47" borderId="0" xfId="0" applyNumberFormat="1" applyFont="1" applyFill="1"/>
    <xf numFmtId="0" fontId="3" fillId="45" borderId="0" xfId="0" applyFont="1" applyFill="1" applyAlignment="1">
      <alignment wrapText="1"/>
    </xf>
    <xf numFmtId="0" fontId="12" fillId="45" borderId="0" xfId="0" applyFont="1" applyFill="1" applyAlignment="1">
      <alignment wrapText="1"/>
    </xf>
    <xf numFmtId="175" fontId="8" fillId="0" borderId="0" xfId="0" applyNumberFormat="1" applyFont="1"/>
    <xf numFmtId="168" fontId="4" fillId="0" borderId="0" xfId="0" applyNumberFormat="1" applyFont="1"/>
    <xf numFmtId="0" fontId="11" fillId="47" borderId="0" xfId="0" applyFont="1" applyFill="1"/>
    <xf numFmtId="2" fontId="8" fillId="0" borderId="0" xfId="0" applyNumberFormat="1" applyFont="1"/>
    <xf numFmtId="171" fontId="8" fillId="5" borderId="0" xfId="0" applyNumberFormat="1" applyFont="1" applyFill="1"/>
    <xf numFmtId="171" fontId="4" fillId="0" borderId="0" xfId="0" applyNumberFormat="1" applyFont="1"/>
    <xf numFmtId="171" fontId="12" fillId="0" borderId="0" xfId="0" applyNumberFormat="1" applyFont="1"/>
    <xf numFmtId="169" fontId="8" fillId="0" borderId="0" xfId="0" applyNumberFormat="1" applyFont="1"/>
    <xf numFmtId="169" fontId="12" fillId="7" borderId="0" xfId="0" applyNumberFormat="1" applyFont="1" applyFill="1"/>
    <xf numFmtId="169" fontId="8" fillId="8" borderId="0" xfId="0" applyNumberFormat="1" applyFont="1" applyFill="1"/>
    <xf numFmtId="169" fontId="11" fillId="46" borderId="0" xfId="0" applyNumberFormat="1" applyFont="1" applyFill="1"/>
    <xf numFmtId="169" fontId="0" fillId="0" borderId="0" xfId="0" applyNumberFormat="1"/>
    <xf numFmtId="0" fontId="36" fillId="44" borderId="0" xfId="0" applyFont="1" applyFill="1"/>
    <xf numFmtId="170" fontId="36" fillId="44" borderId="0" xfId="0" applyNumberFormat="1" applyFont="1" applyFill="1"/>
    <xf numFmtId="1" fontId="0" fillId="0" borderId="0" xfId="0" applyNumberFormat="1"/>
    <xf numFmtId="174" fontId="0" fillId="0" borderId="0" xfId="0" applyNumberFormat="1"/>
    <xf numFmtId="169" fontId="4" fillId="0" borderId="0" xfId="0" applyNumberFormat="1" applyFont="1"/>
    <xf numFmtId="169" fontId="11" fillId="47" borderId="0" xfId="0" applyNumberFormat="1" applyFont="1" applyFill="1"/>
    <xf numFmtId="169" fontId="8" fillId="0" borderId="0" xfId="0" applyNumberFormat="1" applyFont="1" applyAlignment="1">
      <alignment wrapText="1"/>
    </xf>
    <xf numFmtId="169" fontId="7" fillId="0" borderId="0" xfId="0" applyNumberFormat="1" applyFont="1" applyAlignment="1">
      <alignment wrapText="1"/>
    </xf>
    <xf numFmtId="0" fontId="3" fillId="50" borderId="10" xfId="0" applyFont="1" applyFill="1" applyBorder="1" applyAlignment="1">
      <alignment horizontal="center" vertical="center" wrapText="1"/>
    </xf>
    <xf numFmtId="0" fontId="3" fillId="50" borderId="11" xfId="0" applyFont="1" applyFill="1" applyBorder="1" applyAlignment="1">
      <alignment horizontal="center" vertical="center" wrapText="1"/>
    </xf>
    <xf numFmtId="0" fontId="3" fillId="50" borderId="12" xfId="0" applyFont="1" applyFill="1" applyBorder="1" applyAlignment="1">
      <alignment horizontal="center" vertical="center" wrapText="1"/>
    </xf>
    <xf numFmtId="0" fontId="41" fillId="0" borderId="15" xfId="0" applyFont="1" applyBorder="1" applyAlignment="1">
      <alignment vertical="center" wrapText="1"/>
    </xf>
    <xf numFmtId="0" fontId="41" fillId="0" borderId="18" xfId="0" applyFont="1" applyBorder="1" applyAlignment="1">
      <alignment vertical="center" wrapText="1"/>
    </xf>
    <xf numFmtId="0" fontId="40" fillId="0" borderId="13" xfId="0" applyFont="1" applyBorder="1" applyAlignment="1">
      <alignment vertical="center" wrapText="1"/>
    </xf>
    <xf numFmtId="166" fontId="8" fillId="0" borderId="14" xfId="0" applyNumberFormat="1" applyFont="1" applyBorder="1" applyAlignment="1">
      <alignment wrapText="1"/>
    </xf>
    <xf numFmtId="174" fontId="8" fillId="0" borderId="0" xfId="0" applyNumberFormat="1" applyFont="1" applyAlignment="1">
      <alignment wrapText="1"/>
    </xf>
    <xf numFmtId="0" fontId="11" fillId="0" borderId="13" xfId="0" applyFont="1" applyBorder="1" applyAlignment="1">
      <alignment vertical="center" wrapText="1"/>
    </xf>
    <xf numFmtId="166" fontId="11" fillId="0" borderId="14" xfId="0" applyNumberFormat="1" applyFont="1" applyBorder="1" applyAlignment="1">
      <alignment wrapText="1"/>
    </xf>
    <xf numFmtId="0" fontId="11" fillId="49" borderId="13" xfId="0" applyFont="1" applyFill="1" applyBorder="1" applyAlignment="1">
      <alignment vertical="center" wrapText="1"/>
    </xf>
    <xf numFmtId="166" fontId="11" fillId="49" borderId="14" xfId="0" applyNumberFormat="1" applyFont="1" applyFill="1" applyBorder="1" applyAlignment="1">
      <alignment wrapText="1"/>
    </xf>
    <xf numFmtId="0" fontId="11" fillId="51" borderId="13" xfId="0" applyFont="1" applyFill="1" applyBorder="1" applyAlignment="1">
      <alignment vertical="center" wrapText="1"/>
    </xf>
    <xf numFmtId="166" fontId="11" fillId="51" borderId="14" xfId="0" applyNumberFormat="1" applyFont="1" applyFill="1" applyBorder="1" applyAlignment="1">
      <alignment wrapText="1"/>
    </xf>
    <xf numFmtId="0" fontId="11" fillId="51" borderId="16" xfId="0" applyFont="1" applyFill="1" applyBorder="1" applyAlignment="1">
      <alignment vertical="center" wrapText="1"/>
    </xf>
    <xf numFmtId="166" fontId="11" fillId="51" borderId="17" xfId="0" applyNumberFormat="1" applyFont="1" applyFill="1" applyBorder="1" applyAlignment="1">
      <alignment wrapText="1"/>
    </xf>
    <xf numFmtId="0" fontId="11" fillId="0" borderId="0" xfId="0" applyFont="1" applyAlignment="1">
      <alignment vertical="center" wrapText="1"/>
    </xf>
    <xf numFmtId="0" fontId="3" fillId="55" borderId="19" xfId="0" applyFont="1" applyFill="1" applyBorder="1" applyAlignment="1">
      <alignment horizontal="center" vertical="center" wrapText="1"/>
    </xf>
    <xf numFmtId="0" fontId="3" fillId="55" borderId="20" xfId="0" applyFont="1" applyFill="1" applyBorder="1" applyAlignment="1">
      <alignment horizontal="center" vertical="center" wrapText="1"/>
    </xf>
    <xf numFmtId="0" fontId="3" fillId="55" borderId="21" xfId="0" applyFont="1" applyFill="1" applyBorder="1" applyAlignment="1">
      <alignment horizontal="center" vertical="center" wrapText="1"/>
    </xf>
    <xf numFmtId="0" fontId="41" fillId="0" borderId="23" xfId="0" applyFont="1" applyBorder="1" applyAlignment="1">
      <alignment vertical="center" wrapText="1"/>
    </xf>
    <xf numFmtId="0" fontId="41" fillId="0" borderId="24" xfId="0" applyFont="1" applyBorder="1" applyAlignment="1">
      <alignment vertical="center" wrapText="1"/>
    </xf>
    <xf numFmtId="0" fontId="43" fillId="54" borderId="23" xfId="0" applyFont="1" applyFill="1" applyBorder="1" applyAlignment="1">
      <alignment vertical="center" wrapText="1"/>
    </xf>
    <xf numFmtId="0" fontId="43" fillId="54" borderId="24" xfId="0" applyFont="1" applyFill="1" applyBorder="1" applyAlignment="1">
      <alignment vertical="center" wrapText="1"/>
    </xf>
    <xf numFmtId="0" fontId="43" fillId="0" borderId="26" xfId="0" applyFont="1" applyBorder="1" applyAlignment="1">
      <alignment vertical="center" wrapText="1"/>
    </xf>
    <xf numFmtId="0" fontId="43" fillId="0" borderId="27" xfId="0" applyFont="1" applyBorder="1" applyAlignment="1">
      <alignment vertical="center" wrapText="1"/>
    </xf>
    <xf numFmtId="0" fontId="17" fillId="0" borderId="22" xfId="0" applyFont="1" applyBorder="1" applyAlignment="1">
      <alignment wrapText="1"/>
    </xf>
    <xf numFmtId="170" fontId="8" fillId="0" borderId="23" xfId="0" applyNumberFormat="1" applyFont="1" applyBorder="1" applyAlignment="1">
      <alignment wrapText="1"/>
    </xf>
    <xf numFmtId="166" fontId="8" fillId="0" borderId="23" xfId="0" applyNumberFormat="1" applyFont="1" applyBorder="1" applyAlignment="1">
      <alignment wrapText="1"/>
    </xf>
    <xf numFmtId="168" fontId="8" fillId="0" borderId="23" xfId="0" applyNumberFormat="1" applyFont="1" applyBorder="1" applyAlignment="1">
      <alignment wrapText="1"/>
    </xf>
    <xf numFmtId="0" fontId="11" fillId="54" borderId="22" xfId="0" applyFont="1" applyFill="1" applyBorder="1" applyAlignment="1">
      <alignment wrapText="1"/>
    </xf>
    <xf numFmtId="166" fontId="11" fillId="54" borderId="23" xfId="0" applyNumberFormat="1" applyFont="1" applyFill="1" applyBorder="1" applyAlignment="1">
      <alignment wrapText="1"/>
    </xf>
    <xf numFmtId="0" fontId="11" fillId="0" borderId="25" xfId="0" applyFont="1" applyBorder="1" applyAlignment="1">
      <alignment wrapText="1"/>
    </xf>
    <xf numFmtId="166" fontId="11" fillId="0" borderId="26" xfId="0" applyNumberFormat="1" applyFont="1" applyBorder="1" applyAlignment="1">
      <alignment wrapText="1"/>
    </xf>
    <xf numFmtId="168" fontId="8" fillId="0" borderId="0" xfId="0" applyNumberFormat="1" applyFont="1" applyAlignment="1">
      <alignment wrapText="1"/>
    </xf>
    <xf numFmtId="0" fontId="11" fillId="0" borderId="0" xfId="0" applyFont="1" applyAlignment="1">
      <alignment wrapText="1"/>
    </xf>
    <xf numFmtId="0" fontId="47" fillId="63" borderId="31" xfId="0" applyFont="1" applyFill="1" applyBorder="1" applyAlignment="1">
      <alignment vertical="center" wrapText="1"/>
    </xf>
    <xf numFmtId="0" fontId="47" fillId="63" borderId="32" xfId="0" applyFont="1" applyFill="1" applyBorder="1" applyAlignment="1">
      <alignment vertical="center" wrapText="1"/>
    </xf>
    <xf numFmtId="0" fontId="47" fillId="63" borderId="33" xfId="0" applyFont="1" applyFill="1" applyBorder="1" applyAlignment="1">
      <alignment vertical="center" wrapText="1"/>
    </xf>
    <xf numFmtId="0" fontId="48" fillId="65" borderId="0" xfId="0" applyFont="1" applyFill="1"/>
    <xf numFmtId="0" fontId="45" fillId="0" borderId="32" xfId="0" applyFont="1" applyBorder="1" applyAlignment="1">
      <alignment vertical="center" wrapText="1"/>
    </xf>
    <xf numFmtId="0" fontId="45" fillId="0" borderId="33" xfId="0" applyFont="1" applyBorder="1" applyAlignment="1">
      <alignment vertical="center" wrapText="1"/>
    </xf>
    <xf numFmtId="0" fontId="8" fillId="0" borderId="33" xfId="0" applyFont="1" applyBorder="1" applyAlignment="1">
      <alignment vertical="center" wrapText="1"/>
    </xf>
    <xf numFmtId="0" fontId="3" fillId="58" borderId="31" xfId="0" applyFont="1" applyFill="1" applyBorder="1" applyAlignment="1">
      <alignment horizontal="center" vertical="center" wrapText="1"/>
    </xf>
    <xf numFmtId="0" fontId="3" fillId="58" borderId="32" xfId="0" applyFont="1" applyFill="1" applyBorder="1" applyAlignment="1">
      <alignment horizontal="center" vertical="center" wrapText="1"/>
    </xf>
    <xf numFmtId="0" fontId="3" fillId="58" borderId="33" xfId="0" applyFont="1" applyFill="1" applyBorder="1" applyAlignment="1">
      <alignment horizontal="center" vertical="center" wrapText="1"/>
    </xf>
    <xf numFmtId="0" fontId="43" fillId="62" borderId="33" xfId="0" applyFont="1" applyFill="1" applyBorder="1" applyAlignment="1">
      <alignment vertical="center" wrapText="1"/>
    </xf>
    <xf numFmtId="0" fontId="43" fillId="63" borderId="33" xfId="0" applyFont="1" applyFill="1" applyBorder="1" applyAlignment="1">
      <alignment vertical="center" wrapText="1"/>
    </xf>
    <xf numFmtId="0" fontId="0" fillId="0" borderId="0" xfId="0" applyAlignment="1">
      <alignment vertical="center" wrapText="1"/>
    </xf>
    <xf numFmtId="0" fontId="11" fillId="0" borderId="31" xfId="0" applyFont="1" applyBorder="1" applyAlignment="1">
      <alignment vertical="center" wrapText="1"/>
    </xf>
    <xf numFmtId="0" fontId="4" fillId="61" borderId="32" xfId="0" applyFont="1" applyFill="1" applyBorder="1" applyAlignment="1">
      <alignment vertical="center" wrapText="1"/>
    </xf>
    <xf numFmtId="176" fontId="4" fillId="61" borderId="32" xfId="0" applyNumberFormat="1" applyFont="1" applyFill="1" applyBorder="1" applyAlignment="1">
      <alignment vertical="center" wrapText="1"/>
    </xf>
    <xf numFmtId="0" fontId="4" fillId="64" borderId="32" xfId="0" applyFont="1" applyFill="1" applyBorder="1" applyAlignment="1">
      <alignment vertical="center" wrapText="1"/>
    </xf>
    <xf numFmtId="170" fontId="4" fillId="64" borderId="32" xfId="0" applyNumberFormat="1" applyFont="1" applyFill="1" applyBorder="1" applyAlignment="1">
      <alignment vertical="center" wrapText="1"/>
    </xf>
    <xf numFmtId="166" fontId="4" fillId="64" borderId="32" xfId="0" applyNumberFormat="1" applyFont="1" applyFill="1" applyBorder="1" applyAlignment="1">
      <alignment vertical="center" wrapText="1"/>
    </xf>
    <xf numFmtId="0" fontId="0" fillId="0" borderId="31" xfId="0" applyBorder="1" applyAlignment="1">
      <alignment vertical="center" wrapText="1"/>
    </xf>
    <xf numFmtId="0" fontId="0" fillId="0" borderId="32" xfId="0" applyBorder="1" applyAlignment="1">
      <alignment vertical="center" wrapText="1"/>
    </xf>
    <xf numFmtId="0" fontId="0" fillId="0" borderId="33" xfId="0" applyBorder="1" applyAlignment="1">
      <alignment vertical="center" wrapText="1"/>
    </xf>
    <xf numFmtId="0" fontId="8" fillId="0" borderId="36" xfId="0" applyFont="1" applyBorder="1" applyAlignment="1">
      <alignment vertical="center" wrapText="1"/>
    </xf>
    <xf numFmtId="0" fontId="17" fillId="0" borderId="31" xfId="0" applyFont="1" applyBorder="1" applyAlignment="1">
      <alignment vertical="center" wrapText="1"/>
    </xf>
    <xf numFmtId="170" fontId="7" fillId="0" borderId="32" xfId="0" applyNumberFormat="1" applyFont="1" applyBorder="1" applyAlignment="1">
      <alignment vertical="center" wrapText="1"/>
    </xf>
    <xf numFmtId="166" fontId="7" fillId="0" borderId="32" xfId="0" applyNumberFormat="1" applyFont="1" applyBorder="1" applyAlignment="1">
      <alignment vertical="center" wrapText="1"/>
    </xf>
    <xf numFmtId="0" fontId="11" fillId="63" borderId="31" xfId="0" applyFont="1" applyFill="1" applyBorder="1" applyAlignment="1">
      <alignment vertical="center" wrapText="1"/>
    </xf>
    <xf numFmtId="166" fontId="11" fillId="63" borderId="32" xfId="0" applyNumberFormat="1" applyFont="1" applyFill="1" applyBorder="1" applyAlignment="1">
      <alignment vertical="center" wrapText="1"/>
    </xf>
    <xf numFmtId="174" fontId="7" fillId="0" borderId="32" xfId="0" applyNumberFormat="1" applyFont="1" applyBorder="1" applyAlignment="1">
      <alignment vertical="center" wrapText="1"/>
    </xf>
    <xf numFmtId="0" fontId="11" fillId="62" borderId="31" xfId="0" applyFont="1" applyFill="1" applyBorder="1" applyAlignment="1">
      <alignment vertical="center" wrapText="1"/>
    </xf>
    <xf numFmtId="166" fontId="11" fillId="62" borderId="32" xfId="0" applyNumberFormat="1" applyFont="1" applyFill="1" applyBorder="1" applyAlignment="1">
      <alignment vertical="center" wrapText="1"/>
    </xf>
    <xf numFmtId="0" fontId="11" fillId="63" borderId="34" xfId="0" applyFont="1" applyFill="1" applyBorder="1" applyAlignment="1">
      <alignment vertical="center" wrapText="1"/>
    </xf>
    <xf numFmtId="174" fontId="11" fillId="63" borderId="35" xfId="0" applyNumberFormat="1" applyFont="1" applyFill="1" applyBorder="1" applyAlignment="1">
      <alignment vertical="center" wrapText="1"/>
    </xf>
    <xf numFmtId="0" fontId="11" fillId="63" borderId="36" xfId="0" applyFont="1" applyFill="1" applyBorder="1" applyAlignment="1">
      <alignment vertical="center" wrapText="1"/>
    </xf>
    <xf numFmtId="0" fontId="0" fillId="66" borderId="0" xfId="0" applyFill="1" applyAlignment="1">
      <alignment wrapText="1"/>
    </xf>
    <xf numFmtId="166" fontId="8" fillId="66" borderId="0" xfId="0" applyNumberFormat="1" applyFont="1" applyFill="1" applyAlignment="1">
      <alignment wrapText="1"/>
    </xf>
    <xf numFmtId="0" fontId="17" fillId="66" borderId="0" xfId="0" applyFont="1" applyFill="1" applyAlignment="1">
      <alignment wrapText="1"/>
    </xf>
    <xf numFmtId="166" fontId="17" fillId="66" borderId="0" xfId="0" applyNumberFormat="1" applyFont="1" applyFill="1" applyAlignment="1">
      <alignment wrapText="1"/>
    </xf>
    <xf numFmtId="166" fontId="4" fillId="66" borderId="0" xfId="0" applyNumberFormat="1" applyFont="1" applyFill="1" applyAlignment="1">
      <alignment wrapText="1"/>
    </xf>
    <xf numFmtId="168" fontId="4" fillId="5" borderId="0" xfId="0" applyNumberFormat="1" applyFont="1" applyFill="1"/>
    <xf numFmtId="0" fontId="3" fillId="69" borderId="37" xfId="0" applyFont="1" applyFill="1" applyBorder="1" applyAlignment="1">
      <alignment horizontal="center" vertical="center" wrapText="1"/>
    </xf>
    <xf numFmtId="0" fontId="3" fillId="69" borderId="38" xfId="0" applyFont="1" applyFill="1" applyBorder="1" applyAlignment="1">
      <alignment horizontal="center" vertical="center" wrapText="1"/>
    </xf>
    <xf numFmtId="0" fontId="3" fillId="69" borderId="39" xfId="0" applyFont="1" applyFill="1" applyBorder="1" applyAlignment="1">
      <alignment horizontal="center" vertical="center" wrapText="1"/>
    </xf>
    <xf numFmtId="168" fontId="17" fillId="0" borderId="40" xfId="0" applyNumberFormat="1" applyFont="1" applyBorder="1"/>
    <xf numFmtId="166" fontId="17" fillId="0" borderId="41" xfId="0" applyNumberFormat="1" applyFont="1" applyBorder="1"/>
    <xf numFmtId="174" fontId="17" fillId="0" borderId="41" xfId="0" applyNumberFormat="1" applyFont="1" applyBorder="1"/>
    <xf numFmtId="0" fontId="17" fillId="0" borderId="42" xfId="0" applyFont="1" applyBorder="1"/>
    <xf numFmtId="168" fontId="17" fillId="0" borderId="43" xfId="0" applyNumberFormat="1" applyFont="1" applyBorder="1"/>
    <xf numFmtId="166" fontId="17" fillId="0" borderId="44" xfId="0" applyNumberFormat="1" applyFont="1" applyBorder="1"/>
    <xf numFmtId="174" fontId="17" fillId="0" borderId="44" xfId="0" applyNumberFormat="1" applyFont="1" applyBorder="1"/>
    <xf numFmtId="0" fontId="17" fillId="0" borderId="45" xfId="0" applyFont="1" applyBorder="1"/>
    <xf numFmtId="174" fontId="23" fillId="5" borderId="4" xfId="0" applyNumberFormat="1" applyFont="1" applyFill="1" applyBorder="1" applyAlignment="1">
      <alignment vertical="center" wrapText="1"/>
    </xf>
    <xf numFmtId="174" fontId="23" fillId="5" borderId="7" xfId="0" applyNumberFormat="1" applyFont="1" applyFill="1" applyBorder="1" applyAlignment="1">
      <alignment vertical="center" wrapText="1"/>
    </xf>
    <xf numFmtId="174" fontId="18" fillId="0" borderId="0" xfId="0" applyNumberFormat="1" applyFont="1" applyAlignment="1">
      <alignment vertical="center" wrapText="1"/>
    </xf>
    <xf numFmtId="170" fontId="24" fillId="0" borderId="5" xfId="0" applyNumberFormat="1" applyFont="1" applyBorder="1" applyAlignment="1">
      <alignment vertical="center" wrapText="1"/>
    </xf>
    <xf numFmtId="170" fontId="24" fillId="0" borderId="8" xfId="0" applyNumberFormat="1" applyFont="1" applyBorder="1" applyAlignment="1">
      <alignment vertical="center" wrapText="1"/>
    </xf>
    <xf numFmtId="170" fontId="18" fillId="0" borderId="0" xfId="0" applyNumberFormat="1" applyFont="1" applyAlignment="1">
      <alignment vertical="center" wrapText="1"/>
    </xf>
    <xf numFmtId="166" fontId="24" fillId="0" borderId="5" xfId="0" applyNumberFormat="1" applyFont="1" applyBorder="1" applyAlignment="1">
      <alignment vertical="center" wrapText="1"/>
    </xf>
    <xf numFmtId="166" fontId="24" fillId="0" borderId="8" xfId="0" applyNumberFormat="1" applyFont="1" applyBorder="1" applyAlignment="1">
      <alignment vertical="center" wrapText="1"/>
    </xf>
    <xf numFmtId="166" fontId="18" fillId="0" borderId="0" xfId="0" applyNumberFormat="1" applyFont="1" applyAlignment="1">
      <alignment vertical="center" wrapText="1"/>
    </xf>
    <xf numFmtId="2" fontId="18" fillId="0" borderId="0" xfId="0" applyNumberFormat="1" applyFont="1" applyAlignment="1">
      <alignment vertical="center" wrapText="1"/>
    </xf>
    <xf numFmtId="166" fontId="4" fillId="70" borderId="0" xfId="0" applyNumberFormat="1" applyFont="1" applyFill="1" applyAlignment="1">
      <alignment vertical="center" wrapText="1"/>
    </xf>
    <xf numFmtId="0" fontId="51" fillId="71" borderId="0" xfId="0" applyFont="1" applyFill="1" applyAlignment="1">
      <alignment horizontal="center" vertical="center" wrapText="1"/>
    </xf>
    <xf numFmtId="0" fontId="3" fillId="74" borderId="46" xfId="0" applyFont="1" applyFill="1" applyBorder="1" applyAlignment="1">
      <alignment horizontal="center" vertical="center" wrapText="1"/>
    </xf>
    <xf numFmtId="0" fontId="3" fillId="74" borderId="47" xfId="0" applyFont="1" applyFill="1" applyBorder="1" applyAlignment="1">
      <alignment horizontal="center" vertical="center" wrapText="1"/>
    </xf>
    <xf numFmtId="0" fontId="3" fillId="74" borderId="48" xfId="0" applyFont="1" applyFill="1" applyBorder="1" applyAlignment="1">
      <alignment horizontal="center" vertical="center" wrapText="1"/>
    </xf>
    <xf numFmtId="0" fontId="48" fillId="76" borderId="0" xfId="0" applyFont="1" applyFill="1"/>
    <xf numFmtId="0" fontId="8" fillId="0" borderId="49" xfId="0" applyFont="1" applyBorder="1" applyAlignment="1">
      <alignment wrapText="1"/>
    </xf>
    <xf numFmtId="168" fontId="8" fillId="0" borderId="50" xfId="0" applyNumberFormat="1" applyFont="1" applyBorder="1" applyAlignment="1">
      <alignment wrapText="1"/>
    </xf>
    <xf numFmtId="166" fontId="7" fillId="0" borderId="50" xfId="0" applyNumberFormat="1" applyFont="1" applyBorder="1" applyAlignment="1">
      <alignment wrapText="1"/>
    </xf>
    <xf numFmtId="1" fontId="7" fillId="0" borderId="50" xfId="0" applyNumberFormat="1" applyFont="1" applyBorder="1" applyAlignment="1">
      <alignment wrapText="1"/>
    </xf>
    <xf numFmtId="1" fontId="7" fillId="0" borderId="51" xfId="0" applyNumberFormat="1" applyFont="1" applyBorder="1" applyAlignment="1">
      <alignment wrapText="1"/>
    </xf>
    <xf numFmtId="0" fontId="8" fillId="0" borderId="52" xfId="0" applyFont="1" applyBorder="1" applyAlignment="1">
      <alignment wrapText="1"/>
    </xf>
    <xf numFmtId="168" fontId="8" fillId="0" borderId="53" xfId="0" applyNumberFormat="1" applyFont="1" applyBorder="1" applyAlignment="1">
      <alignment wrapText="1"/>
    </xf>
    <xf numFmtId="166" fontId="7" fillId="0" borderId="53" xfId="0" applyNumberFormat="1" applyFont="1" applyBorder="1" applyAlignment="1">
      <alignment wrapText="1"/>
    </xf>
    <xf numFmtId="1" fontId="7" fillId="0" borderId="53" xfId="0" applyNumberFormat="1" applyFont="1" applyBorder="1" applyAlignment="1">
      <alignment wrapText="1"/>
    </xf>
    <xf numFmtId="1" fontId="7" fillId="0" borderId="54" xfId="0" applyNumberFormat="1" applyFont="1" applyBorder="1" applyAlignment="1">
      <alignment wrapText="1"/>
    </xf>
    <xf numFmtId="0" fontId="11" fillId="0" borderId="58" xfId="0" applyFont="1" applyBorder="1" applyAlignment="1">
      <alignment vertical="center" wrapText="1"/>
    </xf>
    <xf numFmtId="1" fontId="28" fillId="80" borderId="59" xfId="0" applyNumberFormat="1" applyFont="1" applyFill="1" applyBorder="1" applyAlignment="1">
      <alignment horizontal="right" vertical="center" wrapText="1"/>
    </xf>
    <xf numFmtId="0" fontId="47" fillId="81" borderId="58" xfId="0" applyFont="1" applyFill="1" applyBorder="1" applyAlignment="1">
      <alignment vertical="center" wrapText="1"/>
    </xf>
    <xf numFmtId="170" fontId="47" fillId="81" borderId="59" xfId="0" applyNumberFormat="1" applyFont="1" applyFill="1" applyBorder="1" applyAlignment="1">
      <alignment vertical="center" wrapText="1"/>
    </xf>
    <xf numFmtId="0" fontId="47" fillId="81" borderId="59" xfId="0" applyFont="1" applyFill="1" applyBorder="1" applyAlignment="1">
      <alignment vertical="center" wrapText="1"/>
    </xf>
    <xf numFmtId="0" fontId="47" fillId="81" borderId="61" xfId="0" applyFont="1" applyFill="1" applyBorder="1" applyAlignment="1">
      <alignment vertical="center" wrapText="1"/>
    </xf>
    <xf numFmtId="170" fontId="47" fillId="81" borderId="62" xfId="0" applyNumberFormat="1" applyFont="1" applyFill="1" applyBorder="1" applyAlignment="1">
      <alignment vertical="center" wrapText="1"/>
    </xf>
    <xf numFmtId="0" fontId="47" fillId="81" borderId="62" xfId="0" applyFont="1" applyFill="1" applyBorder="1" applyAlignment="1">
      <alignment vertical="center" wrapText="1"/>
    </xf>
    <xf numFmtId="0" fontId="50" fillId="82" borderId="55" xfId="0" applyFont="1" applyFill="1" applyBorder="1" applyAlignment="1">
      <alignment vertical="center" wrapText="1"/>
    </xf>
    <xf numFmtId="170" fontId="50" fillId="82" borderId="56" xfId="0" applyNumberFormat="1" applyFont="1" applyFill="1" applyBorder="1" applyAlignment="1">
      <alignment vertical="center" wrapText="1"/>
    </xf>
    <xf numFmtId="0" fontId="50" fillId="82" borderId="56" xfId="0" applyFont="1" applyFill="1" applyBorder="1" applyAlignment="1">
      <alignment vertical="center" wrapText="1"/>
    </xf>
    <xf numFmtId="0" fontId="3" fillId="77" borderId="58" xfId="0" applyFont="1" applyFill="1" applyBorder="1" applyAlignment="1">
      <alignment horizontal="center" vertical="center" wrapText="1"/>
    </xf>
    <xf numFmtId="170" fontId="3" fillId="77" borderId="59" xfId="0" applyNumberFormat="1" applyFont="1" applyFill="1" applyBorder="1" applyAlignment="1">
      <alignment horizontal="center" vertical="center" wrapText="1"/>
    </xf>
    <xf numFmtId="0" fontId="55" fillId="77" borderId="59" xfId="0" applyFont="1" applyFill="1" applyBorder="1" applyAlignment="1">
      <alignment horizontal="center" vertical="center" wrapText="1"/>
    </xf>
    <xf numFmtId="0" fontId="0" fillId="0" borderId="59" xfId="0" applyBorder="1" applyAlignment="1">
      <alignment vertical="center" wrapText="1"/>
    </xf>
    <xf numFmtId="0" fontId="17" fillId="0" borderId="58" xfId="0" applyFont="1" applyBorder="1" applyAlignment="1">
      <alignment vertical="center" wrapText="1"/>
    </xf>
    <xf numFmtId="178" fontId="7" fillId="0" borderId="59" xfId="0" applyNumberFormat="1" applyFont="1" applyBorder="1" applyAlignment="1">
      <alignment vertical="center" wrapText="1"/>
    </xf>
    <xf numFmtId="0" fontId="45" fillId="0" borderId="59" xfId="0" applyFont="1" applyBorder="1" applyAlignment="1">
      <alignment vertical="center" wrapText="1"/>
    </xf>
    <xf numFmtId="166" fontId="7" fillId="0" borderId="59" xfId="0" applyNumberFormat="1" applyFont="1" applyBorder="1" applyAlignment="1">
      <alignment vertical="center" wrapText="1"/>
    </xf>
    <xf numFmtId="0" fontId="11" fillId="79" borderId="58" xfId="0" applyFont="1" applyFill="1" applyBorder="1" applyAlignment="1">
      <alignment vertical="center" wrapText="1"/>
    </xf>
    <xf numFmtId="166" fontId="11" fillId="79" borderId="59" xfId="0" applyNumberFormat="1" applyFont="1" applyFill="1" applyBorder="1" applyAlignment="1">
      <alignment vertical="center" wrapText="1"/>
    </xf>
    <xf numFmtId="0" fontId="43" fillId="79" borderId="59" xfId="0" applyFont="1" applyFill="1" applyBorder="1" applyAlignment="1">
      <alignment vertical="center" wrapText="1"/>
    </xf>
    <xf numFmtId="0" fontId="17" fillId="51" borderId="58" xfId="0" applyFont="1" applyFill="1" applyBorder="1" applyAlignment="1">
      <alignment vertical="center" wrapText="1"/>
    </xf>
    <xf numFmtId="166" fontId="7" fillId="51" borderId="59" xfId="0" applyNumberFormat="1" applyFont="1" applyFill="1" applyBorder="1" applyAlignment="1">
      <alignment vertical="center" wrapText="1"/>
    </xf>
    <xf numFmtId="0" fontId="45" fillId="51" borderId="59" xfId="0" applyFont="1" applyFill="1" applyBorder="1" applyAlignment="1">
      <alignment vertical="center" wrapText="1"/>
    </xf>
    <xf numFmtId="0" fontId="11" fillId="51" borderId="58" xfId="0" applyFont="1" applyFill="1" applyBorder="1" applyAlignment="1">
      <alignment vertical="center" wrapText="1"/>
    </xf>
    <xf numFmtId="166" fontId="11" fillId="51" borderId="59" xfId="0" applyNumberFormat="1" applyFont="1" applyFill="1" applyBorder="1" applyAlignment="1">
      <alignment vertical="center" wrapText="1"/>
    </xf>
    <xf numFmtId="0" fontId="56" fillId="51" borderId="59" xfId="0" applyFont="1" applyFill="1" applyBorder="1" applyAlignment="1">
      <alignment vertical="center" wrapText="1"/>
    </xf>
    <xf numFmtId="0" fontId="0" fillId="0" borderId="60" xfId="0" applyBorder="1" applyAlignment="1">
      <alignment vertical="center" wrapText="1"/>
    </xf>
    <xf numFmtId="166" fontId="11" fillId="0" borderId="59" xfId="0" applyNumberFormat="1" applyFont="1" applyBorder="1" applyAlignment="1">
      <alignment vertical="center" wrapText="1"/>
    </xf>
    <xf numFmtId="0" fontId="56" fillId="0" borderId="59" xfId="0" applyFont="1" applyBorder="1" applyAlignment="1">
      <alignment vertical="center" wrapText="1"/>
    </xf>
    <xf numFmtId="166" fontId="0" fillId="0" borderId="59" xfId="0" applyNumberFormat="1" applyBorder="1" applyAlignment="1">
      <alignment vertical="center" wrapText="1"/>
    </xf>
    <xf numFmtId="0" fontId="11" fillId="79" borderId="61" xfId="0" applyFont="1" applyFill="1" applyBorder="1" applyAlignment="1">
      <alignment vertical="center" wrapText="1"/>
    </xf>
    <xf numFmtId="166" fontId="11" fillId="79" borderId="62" xfId="0" applyNumberFormat="1" applyFont="1" applyFill="1" applyBorder="1" applyAlignment="1">
      <alignment vertical="center" wrapText="1"/>
    </xf>
    <xf numFmtId="0" fontId="43" fillId="79" borderId="62" xfId="0" applyFont="1" applyFill="1" applyBorder="1" applyAlignment="1">
      <alignment vertical="center" wrapText="1"/>
    </xf>
    <xf numFmtId="0" fontId="0" fillId="0" borderId="62" xfId="0" applyBorder="1" applyAlignment="1">
      <alignment vertical="center" wrapText="1"/>
    </xf>
    <xf numFmtId="0" fontId="0" fillId="0" borderId="63" xfId="0" applyBorder="1" applyAlignment="1">
      <alignment vertical="center" wrapText="1"/>
    </xf>
    <xf numFmtId="0" fontId="3" fillId="82" borderId="55" xfId="0" applyFont="1" applyFill="1" applyBorder="1" applyAlignment="1">
      <alignment horizontal="center" wrapText="1"/>
    </xf>
    <xf numFmtId="0" fontId="3" fillId="82" borderId="56" xfId="0" applyFont="1" applyFill="1" applyBorder="1" applyAlignment="1">
      <alignment horizontal="center" wrapText="1"/>
    </xf>
    <xf numFmtId="0" fontId="3" fillId="82" borderId="57" xfId="0" applyFont="1" applyFill="1" applyBorder="1" applyAlignment="1">
      <alignment horizontal="center" wrapText="1"/>
    </xf>
    <xf numFmtId="0" fontId="0" fillId="0" borderId="58" xfId="0" applyBorder="1" applyAlignment="1">
      <alignment wrapText="1"/>
    </xf>
    <xf numFmtId="166" fontId="4" fillId="80" borderId="59" xfId="0" applyNumberFormat="1" applyFont="1" applyFill="1" applyBorder="1" applyAlignment="1">
      <alignment wrapText="1"/>
    </xf>
    <xf numFmtId="0" fontId="0" fillId="0" borderId="59" xfId="0" applyBorder="1" applyAlignment="1">
      <alignment wrapText="1"/>
    </xf>
    <xf numFmtId="0" fontId="0" fillId="0" borderId="60" xfId="0" applyBorder="1" applyAlignment="1">
      <alignment wrapText="1"/>
    </xf>
    <xf numFmtId="178" fontId="4" fillId="80" borderId="59" xfId="0" applyNumberFormat="1" applyFont="1" applyFill="1" applyBorder="1" applyAlignment="1">
      <alignment wrapText="1"/>
    </xf>
    <xf numFmtId="174" fontId="4" fillId="80" borderId="59" xfId="0" applyNumberFormat="1" applyFont="1" applyFill="1" applyBorder="1" applyAlignment="1">
      <alignment wrapText="1"/>
    </xf>
    <xf numFmtId="1" fontId="4" fillId="80" borderId="59" xfId="0" applyNumberFormat="1" applyFont="1" applyFill="1" applyBorder="1" applyAlignment="1">
      <alignment wrapText="1"/>
    </xf>
    <xf numFmtId="180" fontId="4" fillId="80" borderId="59" xfId="0" applyNumberFormat="1" applyFont="1" applyFill="1" applyBorder="1" applyAlignment="1">
      <alignment wrapText="1"/>
    </xf>
    <xf numFmtId="0" fontId="0" fillId="0" borderId="61" xfId="0" applyBorder="1" applyAlignment="1">
      <alignment wrapText="1"/>
    </xf>
    <xf numFmtId="174" fontId="4" fillId="80" borderId="62" xfId="0" applyNumberFormat="1" applyFont="1" applyFill="1" applyBorder="1" applyAlignment="1">
      <alignment wrapText="1"/>
    </xf>
    <xf numFmtId="0" fontId="0" fillId="0" borderId="62" xfId="0" applyBorder="1" applyAlignment="1">
      <alignment wrapText="1"/>
    </xf>
    <xf numFmtId="0" fontId="0" fillId="0" borderId="63" xfId="0" applyBorder="1" applyAlignment="1">
      <alignment wrapText="1"/>
    </xf>
    <xf numFmtId="0" fontId="4" fillId="83" borderId="58" xfId="0" applyFont="1" applyFill="1" applyBorder="1" applyAlignment="1">
      <alignment wrapText="1"/>
    </xf>
    <xf numFmtId="0" fontId="8" fillId="0" borderId="59" xfId="0" applyFont="1" applyBorder="1" applyAlignment="1">
      <alignment wrapText="1"/>
    </xf>
    <xf numFmtId="168" fontId="8" fillId="0" borderId="59" xfId="0" applyNumberFormat="1" applyFont="1" applyBorder="1" applyAlignment="1">
      <alignment wrapText="1"/>
    </xf>
    <xf numFmtId="1" fontId="8" fillId="0" borderId="59" xfId="0" applyNumberFormat="1" applyFont="1" applyBorder="1" applyAlignment="1">
      <alignment wrapText="1"/>
    </xf>
    <xf numFmtId="0" fontId="4" fillId="83" borderId="59" xfId="0" applyFont="1" applyFill="1" applyBorder="1" applyAlignment="1">
      <alignment wrapText="1"/>
      <extLst>
        <ext xmlns:xfpb="http://schemas.microsoft.com/office/spreadsheetml/2022/featurepropertybag" uri="{C7286773-470A-42A8-94C5-96B5CB345126}">
          <xfpb:xfComplement i="0"/>
        </ext>
      </extLst>
    </xf>
    <xf numFmtId="0" fontId="8" fillId="0" borderId="60" xfId="0" applyFont="1" applyBorder="1" applyAlignment="1">
      <alignment wrapText="1"/>
    </xf>
    <xf numFmtId="0" fontId="4" fillId="83" borderId="61" xfId="0" applyFont="1" applyFill="1" applyBorder="1" applyAlignment="1">
      <alignment wrapText="1"/>
    </xf>
    <xf numFmtId="0" fontId="8" fillId="0" borderId="62" xfId="0" applyFont="1" applyBorder="1" applyAlignment="1">
      <alignment wrapText="1"/>
    </xf>
    <xf numFmtId="168" fontId="8" fillId="0" borderId="62" xfId="0" applyNumberFormat="1" applyFont="1" applyBorder="1" applyAlignment="1">
      <alignment wrapText="1"/>
    </xf>
    <xf numFmtId="1" fontId="8" fillId="0" borderId="62" xfId="0" applyNumberFormat="1" applyFont="1" applyBorder="1" applyAlignment="1">
      <alignment wrapText="1"/>
    </xf>
    <xf numFmtId="0" fontId="4" fillId="83" borderId="62" xfId="0" applyFont="1" applyFill="1" applyBorder="1" applyAlignment="1">
      <alignment wrapText="1"/>
      <extLst>
        <ext xmlns:xfpb="http://schemas.microsoft.com/office/spreadsheetml/2022/featurepropertybag" uri="{C7286773-470A-42A8-94C5-96B5CB345126}">
          <xfpb:xfComplement i="0"/>
        </ext>
      </extLst>
    </xf>
    <xf numFmtId="0" fontId="8" fillId="0" borderId="63" xfId="0" applyFont="1" applyBorder="1" applyAlignment="1">
      <alignment wrapText="1"/>
    </xf>
    <xf numFmtId="0" fontId="4" fillId="0" borderId="58" xfId="0" applyFont="1" applyBorder="1" applyAlignment="1">
      <alignment wrapText="1"/>
    </xf>
    <xf numFmtId="0" fontId="4" fillId="0" borderId="59" xfId="0" applyFont="1" applyBorder="1" applyAlignment="1">
      <alignment wrapText="1"/>
    </xf>
    <xf numFmtId="178" fontId="4" fillId="0" borderId="59" xfId="0" applyNumberFormat="1" applyFont="1" applyBorder="1" applyAlignment="1">
      <alignment wrapText="1"/>
    </xf>
    <xf numFmtId="164" fontId="4" fillId="0" borderId="59" xfId="0" applyNumberFormat="1" applyFont="1" applyBorder="1" applyAlignment="1">
      <alignment wrapText="1"/>
    </xf>
    <xf numFmtId="1" fontId="4" fillId="0" borderId="59" xfId="0" applyNumberFormat="1" applyFont="1" applyBorder="1" applyAlignment="1">
      <alignment wrapText="1"/>
    </xf>
    <xf numFmtId="0" fontId="7" fillId="0" borderId="59" xfId="0" applyFont="1" applyBorder="1" applyAlignment="1">
      <alignment wrapText="1"/>
    </xf>
    <xf numFmtId="168" fontId="7" fillId="0" borderId="59" xfId="0" applyNumberFormat="1" applyFont="1" applyBorder="1" applyAlignment="1">
      <alignment wrapText="1"/>
    </xf>
    <xf numFmtId="178" fontId="7" fillId="0" borderId="59" xfId="0" applyNumberFormat="1" applyFont="1" applyBorder="1" applyAlignment="1">
      <alignment wrapText="1"/>
    </xf>
    <xf numFmtId="164" fontId="7" fillId="0" borderId="59" xfId="0" applyNumberFormat="1" applyFont="1" applyBorder="1" applyAlignment="1">
      <alignment wrapText="1"/>
    </xf>
    <xf numFmtId="1" fontId="7" fillId="0" borderId="59" xfId="0" applyNumberFormat="1" applyFont="1" applyBorder="1" applyAlignment="1">
      <alignment wrapText="1"/>
    </xf>
    <xf numFmtId="0" fontId="7" fillId="0" borderId="60" xfId="0" applyFont="1" applyBorder="1" applyAlignment="1">
      <alignment wrapText="1"/>
    </xf>
    <xf numFmtId="0" fontId="4" fillId="0" borderId="61" xfId="0" applyFont="1" applyBorder="1" applyAlignment="1">
      <alignment wrapText="1"/>
    </xf>
    <xf numFmtId="0" fontId="4" fillId="0" borderId="62" xfId="0" applyFont="1" applyBorder="1" applyAlignment="1">
      <alignment wrapText="1"/>
    </xf>
    <xf numFmtId="178" fontId="4" fillId="0" borderId="62" xfId="0" applyNumberFormat="1" applyFont="1" applyBorder="1" applyAlignment="1">
      <alignment wrapText="1"/>
    </xf>
    <xf numFmtId="164" fontId="4" fillId="0" borderId="62" xfId="0" applyNumberFormat="1" applyFont="1" applyBorder="1" applyAlignment="1">
      <alignment wrapText="1"/>
    </xf>
    <xf numFmtId="1" fontId="4" fillId="0" borderId="62" xfId="0" applyNumberFormat="1" applyFont="1" applyBorder="1" applyAlignment="1">
      <alignment wrapText="1"/>
    </xf>
    <xf numFmtId="0" fontId="7" fillId="0" borderId="62" xfId="0" applyFont="1" applyBorder="1" applyAlignment="1">
      <alignment wrapText="1"/>
    </xf>
    <xf numFmtId="168" fontId="7" fillId="0" borderId="62" xfId="0" applyNumberFormat="1" applyFont="1" applyBorder="1" applyAlignment="1">
      <alignment wrapText="1"/>
    </xf>
    <xf numFmtId="178" fontId="7" fillId="0" borderId="62" xfId="0" applyNumberFormat="1" applyFont="1" applyBorder="1" applyAlignment="1">
      <alignment wrapText="1"/>
    </xf>
    <xf numFmtId="164" fontId="7" fillId="0" borderId="62" xfId="0" applyNumberFormat="1" applyFont="1" applyBorder="1" applyAlignment="1">
      <alignment wrapText="1"/>
    </xf>
    <xf numFmtId="1" fontId="7" fillId="0" borderId="62" xfId="0" applyNumberFormat="1" applyFont="1" applyBorder="1" applyAlignment="1">
      <alignment wrapText="1"/>
    </xf>
    <xf numFmtId="0" fontId="7" fillId="0" borderId="63" xfId="0" applyFont="1" applyBorder="1" applyAlignment="1">
      <alignment wrapText="1"/>
    </xf>
    <xf numFmtId="0" fontId="0" fillId="0" borderId="55" xfId="0" applyBorder="1" applyAlignment="1">
      <alignment wrapText="1"/>
    </xf>
    <xf numFmtId="0" fontId="0" fillId="0" borderId="56" xfId="0" applyBorder="1" applyAlignment="1">
      <alignment wrapText="1"/>
    </xf>
    <xf numFmtId="0" fontId="0" fillId="0" borderId="57" xfId="0" applyBorder="1" applyAlignment="1">
      <alignment wrapText="1"/>
    </xf>
    <xf numFmtId="0" fontId="0" fillId="81" borderId="0" xfId="0" applyFill="1" applyAlignment="1">
      <alignment wrapText="1"/>
    </xf>
    <xf numFmtId="0" fontId="0" fillId="81" borderId="0" xfId="0" applyFill="1" applyAlignment="1">
      <alignment wrapText="1"/>
      <extLst>
        <ext xmlns:xfpb="http://schemas.microsoft.com/office/spreadsheetml/2022/featurepropertybag" uri="{C7286773-470A-42A8-94C5-96B5CB345126}">
          <xfpb:xfComplement i="0"/>
        </ext>
      </extLst>
    </xf>
    <xf numFmtId="0" fontId="29" fillId="42" borderId="0" xfId="0" applyFont="1" applyFill="1" applyAlignment="1">
      <alignment horizontal="left" vertical="center"/>
    </xf>
    <xf numFmtId="0" fontId="30" fillId="44" borderId="0" xfId="0" applyFont="1" applyFill="1" applyAlignment="1">
      <alignment wrapText="1"/>
    </xf>
    <xf numFmtId="0" fontId="31" fillId="3" borderId="0" xfId="0" applyFont="1" applyFill="1" applyAlignment="1">
      <alignment wrapText="1"/>
    </xf>
    <xf numFmtId="174" fontId="32" fillId="3" borderId="0" xfId="0" applyNumberFormat="1" applyFont="1" applyFill="1" applyAlignment="1">
      <alignment wrapText="1"/>
    </xf>
    <xf numFmtId="0" fontId="2" fillId="3" borderId="0" xfId="0" applyFont="1" applyFill="1" applyAlignment="1">
      <alignment wrapText="1"/>
    </xf>
    <xf numFmtId="0" fontId="30" fillId="47" borderId="0" xfId="0" applyFont="1" applyFill="1" applyAlignment="1">
      <alignment wrapText="1"/>
    </xf>
    <xf numFmtId="0" fontId="37" fillId="48" borderId="0" xfId="0" applyFont="1" applyFill="1" applyAlignment="1">
      <alignment vertical="center" wrapText="1"/>
    </xf>
    <xf numFmtId="0" fontId="38" fillId="49" borderId="0" xfId="0" applyFont="1" applyFill="1" applyAlignment="1">
      <alignment vertical="center" wrapText="1"/>
    </xf>
    <xf numFmtId="0" fontId="3" fillId="50" borderId="0" xfId="0" applyFont="1" applyFill="1" applyAlignment="1">
      <alignment horizontal="center" wrapText="1"/>
    </xf>
    <xf numFmtId="0" fontId="39" fillId="51" borderId="0" xfId="0" applyFont="1" applyFill="1" applyAlignment="1">
      <alignment vertical="top" wrapText="1"/>
    </xf>
    <xf numFmtId="0" fontId="11" fillId="52" borderId="0" xfId="0" applyFont="1" applyFill="1" applyAlignment="1">
      <alignment vertical="top" wrapText="1"/>
    </xf>
    <xf numFmtId="0" fontId="37" fillId="53" borderId="0" xfId="0" applyFont="1" applyFill="1" applyAlignment="1">
      <alignment vertical="center" wrapText="1"/>
    </xf>
    <xf numFmtId="0" fontId="38" fillId="54" borderId="0" xfId="0" applyFont="1" applyFill="1" applyAlignment="1">
      <alignment vertical="center" wrapText="1"/>
    </xf>
    <xf numFmtId="0" fontId="3" fillId="55" borderId="0" xfId="0" applyFont="1" applyFill="1" applyAlignment="1">
      <alignment horizontal="center" wrapText="1"/>
    </xf>
    <xf numFmtId="0" fontId="42" fillId="56" borderId="0" xfId="0" applyFont="1" applyFill="1" applyAlignment="1">
      <alignment horizontal="center" vertical="center" wrapText="1"/>
    </xf>
    <xf numFmtId="0" fontId="39" fillId="57" borderId="0" xfId="0" applyFont="1" applyFill="1" applyAlignment="1">
      <alignment vertical="top" wrapText="1"/>
    </xf>
    <xf numFmtId="0" fontId="17" fillId="54" borderId="0" xfId="0" applyFont="1" applyFill="1" applyAlignment="1">
      <alignment vertical="center" wrapText="1"/>
    </xf>
    <xf numFmtId="0" fontId="1" fillId="2" borderId="0" xfId="0" applyFont="1" applyFill="1" applyAlignment="1">
      <alignment horizontal="left" vertical="center" wrapText="1"/>
    </xf>
    <xf numFmtId="0" fontId="5" fillId="2" borderId="0" xfId="0" applyFont="1" applyFill="1" applyAlignment="1">
      <alignment horizontal="left" vertical="center"/>
    </xf>
    <xf numFmtId="0" fontId="5" fillId="2" borderId="0" xfId="0" applyFont="1" applyFill="1"/>
    <xf numFmtId="0" fontId="3" fillId="12" borderId="0" xfId="0" applyFont="1" applyFill="1"/>
    <xf numFmtId="0" fontId="3" fillId="10" borderId="0" xfId="0" applyFont="1" applyFill="1"/>
    <xf numFmtId="0" fontId="2" fillId="11" borderId="0" xfId="0" applyFont="1" applyFill="1" applyAlignment="1">
      <alignment wrapText="1"/>
    </xf>
    <xf numFmtId="0" fontId="1" fillId="10" borderId="0" xfId="0" applyFont="1" applyFill="1" applyAlignment="1">
      <alignment horizontal="left" vertical="center"/>
    </xf>
    <xf numFmtId="166" fontId="2" fillId="11" borderId="0" xfId="0" applyNumberFormat="1" applyFont="1" applyFill="1" applyAlignment="1">
      <alignment wrapText="1"/>
    </xf>
    <xf numFmtId="167" fontId="3" fillId="10" borderId="0" xfId="0" applyNumberFormat="1" applyFont="1" applyFill="1"/>
    <xf numFmtId="0" fontId="1" fillId="10" borderId="0" xfId="0" applyFont="1" applyFill="1"/>
    <xf numFmtId="0" fontId="11" fillId="7" borderId="0" xfId="0" applyFont="1" applyFill="1" applyAlignment="1">
      <alignment wrapText="1"/>
    </xf>
    <xf numFmtId="0" fontId="11" fillId="13" borderId="0" xfId="0" applyFont="1" applyFill="1" applyAlignment="1">
      <alignment wrapText="1"/>
    </xf>
    <xf numFmtId="0" fontId="17" fillId="15" borderId="0" xfId="0" applyFont="1" applyFill="1" applyAlignment="1">
      <alignment wrapText="1"/>
    </xf>
    <xf numFmtId="0" fontId="11" fillId="19" borderId="0" xfId="0" applyFont="1" applyFill="1" applyAlignment="1">
      <alignment vertical="center" wrapText="1"/>
    </xf>
    <xf numFmtId="0" fontId="2" fillId="15" borderId="0" xfId="0" applyFont="1" applyFill="1" applyAlignment="1">
      <alignment vertical="center" wrapText="1"/>
    </xf>
    <xf numFmtId="0" fontId="3" fillId="14" borderId="0" xfId="0" applyFont="1" applyFill="1" applyAlignment="1">
      <alignment wrapText="1"/>
    </xf>
    <xf numFmtId="166" fontId="13" fillId="14" borderId="0" xfId="0" applyNumberFormat="1" applyFont="1" applyFill="1" applyAlignment="1">
      <alignment wrapText="1"/>
    </xf>
    <xf numFmtId="0" fontId="16" fillId="14" borderId="0" xfId="0" applyFont="1" applyFill="1" applyAlignment="1">
      <alignment vertical="center" wrapText="1"/>
    </xf>
    <xf numFmtId="0" fontId="2" fillId="15" borderId="0" xfId="0" applyFont="1" applyFill="1" applyAlignment="1">
      <alignment wrapText="1"/>
    </xf>
    <xf numFmtId="0" fontId="11" fillId="18" borderId="0" xfId="0" applyFont="1" applyFill="1" applyAlignment="1">
      <alignment vertical="center" wrapText="1"/>
    </xf>
    <xf numFmtId="0" fontId="3" fillId="21" borderId="0" xfId="0" applyFont="1" applyFill="1" applyAlignment="1">
      <alignment wrapText="1"/>
    </xf>
    <xf numFmtId="0" fontId="2" fillId="22" borderId="0" xfId="0" applyFont="1" applyFill="1" applyAlignment="1">
      <alignment vertical="center" wrapText="1"/>
    </xf>
    <xf numFmtId="0" fontId="16" fillId="21" borderId="0" xfId="0" applyFont="1" applyFill="1" applyAlignment="1">
      <alignment vertical="center" wrapText="1"/>
    </xf>
    <xf numFmtId="0" fontId="2" fillId="22" borderId="0" xfId="0" applyFont="1" applyFill="1" applyAlignment="1">
      <alignment wrapText="1"/>
    </xf>
    <xf numFmtId="0" fontId="11" fillId="37" borderId="0" xfId="0" applyFont="1" applyFill="1" applyAlignment="1">
      <alignment wrapText="1"/>
    </xf>
    <xf numFmtId="0" fontId="3" fillId="35" borderId="0" xfId="0" applyFont="1" applyFill="1" applyAlignment="1">
      <alignment wrapText="1"/>
    </xf>
    <xf numFmtId="168" fontId="12" fillId="2" borderId="0" xfId="0" applyNumberFormat="1" applyFont="1" applyFill="1" applyAlignment="1">
      <alignment wrapText="1"/>
    </xf>
    <xf numFmtId="0" fontId="19" fillId="29" borderId="0" xfId="0" applyFont="1" applyFill="1" applyAlignment="1">
      <alignment horizontal="left" vertical="center" wrapText="1"/>
    </xf>
    <xf numFmtId="0" fontId="20" fillId="30" borderId="0" xfId="0" applyFont="1" applyFill="1" applyAlignment="1">
      <alignment vertical="center" wrapText="1"/>
    </xf>
    <xf numFmtId="0" fontId="21" fillId="29" borderId="0" xfId="0" applyFont="1" applyFill="1" applyAlignment="1">
      <alignment horizontal="left" vertical="center" wrapText="1"/>
    </xf>
    <xf numFmtId="0" fontId="18" fillId="0" borderId="8" xfId="0" applyFont="1" applyBorder="1" applyAlignment="1">
      <alignment vertical="center" wrapText="1"/>
    </xf>
    <xf numFmtId="0" fontId="18" fillId="0" borderId="9" xfId="0" applyFont="1" applyBorder="1" applyAlignment="1">
      <alignment vertical="center" wrapText="1"/>
    </xf>
    <xf numFmtId="0" fontId="26" fillId="34" borderId="0" xfId="0" applyFont="1" applyFill="1" applyAlignment="1">
      <alignment vertical="center" wrapText="1"/>
    </xf>
    <xf numFmtId="0" fontId="5" fillId="35" borderId="0" xfId="0" applyFont="1" applyFill="1" applyAlignment="1">
      <alignment vertical="center"/>
    </xf>
    <xf numFmtId="0" fontId="27" fillId="36" borderId="0" xfId="0" applyFont="1" applyFill="1" applyAlignment="1">
      <alignment wrapText="1"/>
    </xf>
    <xf numFmtId="0" fontId="3" fillId="35" borderId="0" xfId="0" applyFont="1" applyFill="1"/>
    <xf numFmtId="0" fontId="3" fillId="38" borderId="0" xfId="0" applyFont="1" applyFill="1"/>
    <xf numFmtId="0" fontId="11" fillId="39" borderId="0" xfId="0" applyFont="1" applyFill="1" applyAlignment="1">
      <alignment vertical="top" wrapText="1"/>
    </xf>
    <xf numFmtId="0" fontId="28" fillId="41" borderId="0" xfId="0" applyFont="1" applyFill="1" applyAlignment="1">
      <alignment vertical="top" wrapText="1"/>
    </xf>
    <xf numFmtId="0" fontId="3" fillId="42" borderId="0" xfId="0" applyFont="1" applyFill="1"/>
    <xf numFmtId="0" fontId="35" fillId="47" borderId="0" xfId="0" applyFont="1" applyFill="1" applyAlignment="1">
      <alignment wrapText="1"/>
    </xf>
    <xf numFmtId="0" fontId="3" fillId="42" borderId="0" xfId="0" applyFont="1" applyFill="1" applyAlignment="1">
      <alignment wrapText="1"/>
    </xf>
    <xf numFmtId="0" fontId="29" fillId="42" borderId="0" xfId="0" applyFont="1" applyFill="1" applyAlignment="1">
      <alignment wrapText="1"/>
    </xf>
    <xf numFmtId="0" fontId="3" fillId="45" borderId="0" xfId="0" applyFont="1" applyFill="1" applyAlignment="1">
      <alignment horizontal="center"/>
    </xf>
    <xf numFmtId="170" fontId="33" fillId="47" borderId="0" xfId="0" applyNumberFormat="1" applyFont="1" applyFill="1" applyAlignment="1">
      <alignment horizontal="center" vertical="center"/>
    </xf>
    <xf numFmtId="169" fontId="33" fillId="47" borderId="0" xfId="0" applyNumberFormat="1" applyFont="1" applyFill="1" applyAlignment="1">
      <alignment horizontal="center" vertical="center"/>
    </xf>
    <xf numFmtId="166" fontId="33" fillId="47" borderId="0" xfId="0" applyNumberFormat="1" applyFont="1" applyFill="1" applyAlignment="1">
      <alignment horizontal="center" vertical="center"/>
    </xf>
    <xf numFmtId="0" fontId="33" fillId="47" borderId="0" xfId="0" applyFont="1" applyFill="1" applyAlignment="1">
      <alignment horizontal="center" vertical="center"/>
    </xf>
    <xf numFmtId="0" fontId="3" fillId="42" borderId="0" xfId="0" applyFont="1" applyFill="1" applyAlignment="1">
      <alignment horizontal="center" wrapText="1"/>
    </xf>
    <xf numFmtId="169" fontId="34" fillId="44" borderId="0" xfId="0" applyNumberFormat="1" applyFont="1" applyFill="1" applyAlignment="1">
      <alignment horizontal="center"/>
    </xf>
    <xf numFmtId="166" fontId="34" fillId="44" borderId="0" xfId="0" applyNumberFormat="1" applyFont="1" applyFill="1" applyAlignment="1">
      <alignment horizontal="center"/>
    </xf>
    <xf numFmtId="175" fontId="34" fillId="44" borderId="0" xfId="0" applyNumberFormat="1" applyFont="1" applyFill="1" applyAlignment="1">
      <alignment horizontal="center"/>
    </xf>
    <xf numFmtId="174" fontId="34" fillId="44" borderId="0" xfId="0" applyNumberFormat="1" applyFont="1" applyFill="1" applyAlignment="1">
      <alignment horizontal="center"/>
    </xf>
    <xf numFmtId="0" fontId="0" fillId="0" borderId="0" xfId="0"/>
    <xf numFmtId="169" fontId="8" fillId="0" borderId="0" xfId="0" applyNumberFormat="1" applyFont="1"/>
    <xf numFmtId="174" fontId="8" fillId="0" borderId="0" xfId="0" applyNumberFormat="1" applyFont="1"/>
    <xf numFmtId="175" fontId="8" fillId="0" borderId="0" xfId="0" applyNumberFormat="1" applyFont="1"/>
    <xf numFmtId="170" fontId="8" fillId="0" borderId="0" xfId="0" applyNumberFormat="1" applyFont="1"/>
    <xf numFmtId="0" fontId="8" fillId="0" borderId="0" xfId="0" applyFont="1"/>
    <xf numFmtId="0" fontId="29" fillId="58" borderId="0" xfId="0" applyFont="1" applyFill="1" applyAlignment="1">
      <alignment vertical="center" wrapText="1"/>
    </xf>
    <xf numFmtId="0" fontId="44" fillId="59" borderId="0" xfId="0" applyFont="1" applyFill="1" applyAlignment="1">
      <alignment vertical="center" wrapText="1"/>
    </xf>
    <xf numFmtId="0" fontId="3" fillId="60" borderId="28" xfId="0" applyFont="1" applyFill="1" applyBorder="1" applyAlignment="1">
      <alignment horizontal="left" vertical="center" wrapText="1"/>
    </xf>
    <xf numFmtId="0" fontId="3" fillId="60" borderId="29" xfId="0" applyFont="1" applyFill="1" applyBorder="1" applyAlignment="1">
      <alignment horizontal="left" vertical="center" wrapText="1"/>
    </xf>
    <xf numFmtId="0" fontId="3" fillId="60" borderId="30" xfId="0" applyFont="1" applyFill="1" applyBorder="1" applyAlignment="1">
      <alignment horizontal="left" vertical="center" wrapText="1"/>
    </xf>
    <xf numFmtId="0" fontId="45" fillId="0" borderId="32" xfId="0" applyFont="1" applyBorder="1" applyAlignment="1">
      <alignment vertical="center" wrapText="1"/>
    </xf>
    <xf numFmtId="0" fontId="45" fillId="0" borderId="33" xfId="0" applyFont="1" applyBorder="1" applyAlignment="1">
      <alignment vertical="center" wrapText="1"/>
    </xf>
    <xf numFmtId="0" fontId="3" fillId="60" borderId="28" xfId="0" applyFont="1" applyFill="1" applyBorder="1" applyAlignment="1">
      <alignment vertical="center" wrapText="1"/>
    </xf>
    <xf numFmtId="0" fontId="3" fillId="60" borderId="29" xfId="0" applyFont="1" applyFill="1" applyBorder="1" applyAlignment="1">
      <alignment vertical="center" wrapText="1"/>
    </xf>
    <xf numFmtId="0" fontId="3" fillId="60" borderId="30" xfId="0" applyFont="1" applyFill="1" applyBorder="1" applyAlignment="1">
      <alignment vertical="center" wrapText="1"/>
    </xf>
    <xf numFmtId="0" fontId="8" fillId="0" borderId="32" xfId="0" applyFont="1" applyBorder="1" applyAlignment="1">
      <alignment vertical="center" wrapText="1"/>
    </xf>
    <xf numFmtId="0" fontId="8" fillId="0" borderId="33" xfId="0" applyFont="1" applyBorder="1" applyAlignment="1">
      <alignment vertical="center" wrapText="1"/>
    </xf>
    <xf numFmtId="168" fontId="8" fillId="0" borderId="32" xfId="0" applyNumberFormat="1" applyFont="1" applyBorder="1" applyAlignment="1">
      <alignment vertical="center" wrapText="1"/>
    </xf>
    <xf numFmtId="170" fontId="8" fillId="0" borderId="32" xfId="0" applyNumberFormat="1" applyFont="1" applyBorder="1" applyAlignment="1">
      <alignment vertical="center" wrapText="1"/>
    </xf>
    <xf numFmtId="166" fontId="8" fillId="0" borderId="0" xfId="0" applyNumberFormat="1" applyFont="1" applyAlignment="1">
      <alignment vertical="center" wrapText="1"/>
    </xf>
    <xf numFmtId="0" fontId="8" fillId="0" borderId="0" xfId="0" applyFont="1" applyAlignment="1">
      <alignment vertical="center" wrapText="1"/>
    </xf>
    <xf numFmtId="166" fontId="8" fillId="5" borderId="0" xfId="0" applyNumberFormat="1" applyFont="1" applyFill="1" applyAlignment="1">
      <alignment vertical="center" wrapText="1"/>
    </xf>
    <xf numFmtId="174" fontId="8" fillId="0" borderId="0" xfId="0" applyNumberFormat="1" applyFont="1" applyAlignment="1">
      <alignment vertical="center" wrapText="1"/>
    </xf>
    <xf numFmtId="0" fontId="3" fillId="0" borderId="34"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36" xfId="0" applyFont="1" applyBorder="1" applyAlignment="1">
      <alignment horizontal="center" vertical="center" wrapText="1"/>
    </xf>
    <xf numFmtId="1" fontId="28" fillId="80" borderId="59" xfId="0" applyNumberFormat="1" applyFont="1" applyFill="1" applyBorder="1" applyAlignment="1">
      <alignment horizontal="right" vertical="center" wrapText="1"/>
    </xf>
    <xf numFmtId="1" fontId="28" fillId="80" borderId="60" xfId="0" applyNumberFormat="1" applyFont="1" applyFill="1" applyBorder="1" applyAlignment="1">
      <alignment horizontal="right" vertical="center" wrapText="1"/>
    </xf>
    <xf numFmtId="0" fontId="53" fillId="81" borderId="59" xfId="0" applyFont="1" applyFill="1" applyBorder="1" applyAlignment="1">
      <alignment horizontal="center" vertical="center" wrapText="1"/>
    </xf>
    <xf numFmtId="0" fontId="53" fillId="81" borderId="60" xfId="0" applyFont="1" applyFill="1" applyBorder="1" applyAlignment="1">
      <alignment horizontal="center" vertical="center" wrapText="1"/>
    </xf>
    <xf numFmtId="0" fontId="53" fillId="81" borderId="62" xfId="0" applyFont="1" applyFill="1" applyBorder="1" applyAlignment="1">
      <alignment horizontal="center" vertical="center" wrapText="1"/>
    </xf>
    <xf numFmtId="0" fontId="53" fillId="81" borderId="63" xfId="0" applyFont="1" applyFill="1" applyBorder="1" applyAlignment="1">
      <alignment horizontal="center" vertical="center" wrapText="1"/>
    </xf>
    <xf numFmtId="0" fontId="42" fillId="64" borderId="32" xfId="0" applyFont="1" applyFill="1" applyBorder="1" applyAlignment="1">
      <alignment horizontal="center" vertical="center" wrapText="1"/>
    </xf>
    <xf numFmtId="0" fontId="42" fillId="64" borderId="33" xfId="0" applyFont="1" applyFill="1" applyBorder="1" applyAlignment="1">
      <alignment horizontal="center" vertical="center" wrapText="1"/>
    </xf>
    <xf numFmtId="0" fontId="50" fillId="82" borderId="56" xfId="0" applyFont="1" applyFill="1" applyBorder="1" applyAlignment="1">
      <alignment horizontal="center" vertical="center" wrapText="1"/>
    </xf>
    <xf numFmtId="0" fontId="50" fillId="82" borderId="57" xfId="0" applyFont="1" applyFill="1" applyBorder="1" applyAlignment="1">
      <alignment horizontal="center" vertical="center" wrapText="1"/>
    </xf>
    <xf numFmtId="0" fontId="17" fillId="51" borderId="59" xfId="0" applyFont="1" applyFill="1" applyBorder="1" applyAlignment="1">
      <alignment vertical="center" wrapText="1"/>
    </xf>
    <xf numFmtId="178" fontId="8" fillId="51" borderId="59" xfId="0" applyNumberFormat="1" applyFont="1" applyFill="1" applyBorder="1" applyAlignment="1">
      <alignment vertical="center" wrapText="1"/>
    </xf>
    <xf numFmtId="0" fontId="8" fillId="51" borderId="60" xfId="0" applyFont="1" applyFill="1" applyBorder="1" applyAlignment="1">
      <alignment vertical="center" wrapText="1"/>
    </xf>
    <xf numFmtId="179" fontId="8" fillId="51" borderId="59" xfId="0" applyNumberFormat="1" applyFont="1" applyFill="1" applyBorder="1" applyAlignment="1">
      <alignment vertical="center" wrapText="1"/>
    </xf>
    <xf numFmtId="168" fontId="8" fillId="51" borderId="59" xfId="0" applyNumberFormat="1" applyFont="1" applyFill="1" applyBorder="1" applyAlignment="1">
      <alignment vertical="center" wrapText="1"/>
    </xf>
    <xf numFmtId="0" fontId="8" fillId="51" borderId="59" xfId="0" applyFont="1" applyFill="1" applyBorder="1" applyAlignment="1">
      <alignment vertical="center" wrapText="1"/>
    </xf>
    <xf numFmtId="0" fontId="17" fillId="7" borderId="59" xfId="0" applyFont="1" applyFill="1" applyBorder="1" applyAlignment="1">
      <alignment vertical="center" wrapText="1"/>
    </xf>
    <xf numFmtId="0" fontId="17" fillId="7" borderId="60" xfId="0" applyFont="1" applyFill="1" applyBorder="1" applyAlignment="1">
      <alignment vertical="center" wrapText="1"/>
    </xf>
    <xf numFmtId="0" fontId="11" fillId="80" borderId="59" xfId="0" applyFont="1" applyFill="1" applyBorder="1" applyAlignment="1">
      <alignment horizontal="center" vertical="center" wrapText="1"/>
    </xf>
    <xf numFmtId="0" fontId="11" fillId="80" borderId="60" xfId="0" applyFont="1" applyFill="1" applyBorder="1" applyAlignment="1">
      <alignment horizontal="center" vertical="center" wrapText="1"/>
    </xf>
    <xf numFmtId="0" fontId="37" fillId="60" borderId="28" xfId="0" applyFont="1" applyFill="1" applyBorder="1" applyAlignment="1">
      <alignment vertical="center" wrapText="1"/>
    </xf>
    <xf numFmtId="0" fontId="37" fillId="60" borderId="29" xfId="0" applyFont="1" applyFill="1" applyBorder="1" applyAlignment="1">
      <alignment vertical="center" wrapText="1"/>
    </xf>
    <xf numFmtId="0" fontId="37" fillId="60" borderId="30" xfId="0" applyFont="1" applyFill="1" applyBorder="1" applyAlignment="1">
      <alignment vertical="center" wrapText="1"/>
    </xf>
    <xf numFmtId="0" fontId="37" fillId="60" borderId="0" xfId="0" applyFont="1" applyFill="1" applyAlignment="1">
      <alignment vertical="center" wrapText="1"/>
    </xf>
    <xf numFmtId="0" fontId="3" fillId="58" borderId="28" xfId="0" applyFont="1" applyFill="1" applyBorder="1" applyAlignment="1">
      <alignment horizontal="center" vertical="center" wrapText="1"/>
    </xf>
    <xf numFmtId="0" fontId="3" fillId="58" borderId="29" xfId="0" applyFont="1" applyFill="1" applyBorder="1" applyAlignment="1">
      <alignment horizontal="center" vertical="center" wrapText="1"/>
    </xf>
    <xf numFmtId="0" fontId="3" fillId="58" borderId="30" xfId="0" applyFont="1" applyFill="1" applyBorder="1" applyAlignment="1">
      <alignment horizontal="center" vertical="center" wrapText="1"/>
    </xf>
    <xf numFmtId="0" fontId="11" fillId="0" borderId="31" xfId="0" applyFont="1" applyBorder="1" applyAlignment="1">
      <alignment vertical="center" wrapText="1"/>
    </xf>
    <xf numFmtId="0" fontId="11" fillId="0" borderId="32" xfId="0" applyFont="1" applyBorder="1" applyAlignment="1">
      <alignment vertical="center" wrapText="1"/>
    </xf>
    <xf numFmtId="0" fontId="11" fillId="0" borderId="34" xfId="0" applyFont="1" applyBorder="1" applyAlignment="1">
      <alignment vertical="center" wrapText="1"/>
    </xf>
    <xf numFmtId="0" fontId="11" fillId="0" borderId="35" xfId="0" applyFont="1" applyBorder="1" applyAlignment="1">
      <alignment vertical="center" wrapText="1"/>
    </xf>
    <xf numFmtId="166" fontId="7" fillId="0" borderId="32" xfId="0" applyNumberFormat="1" applyFont="1" applyBorder="1" applyAlignment="1">
      <alignment vertical="center" wrapText="1"/>
    </xf>
    <xf numFmtId="0" fontId="7" fillId="0" borderId="33" xfId="0" applyFont="1" applyBorder="1" applyAlignment="1">
      <alignment vertical="center" wrapText="1"/>
    </xf>
    <xf numFmtId="174" fontId="7" fillId="0" borderId="32" xfId="0" applyNumberFormat="1" applyFont="1" applyBorder="1" applyAlignment="1">
      <alignment vertical="center" wrapText="1"/>
    </xf>
    <xf numFmtId="0" fontId="7" fillId="0" borderId="35" xfId="0" applyFont="1" applyBorder="1" applyAlignment="1">
      <alignment vertical="center" wrapText="1"/>
    </xf>
    <xf numFmtId="0" fontId="7" fillId="0" borderId="36" xfId="0" applyFont="1" applyBorder="1" applyAlignment="1">
      <alignment vertical="center" wrapText="1"/>
    </xf>
    <xf numFmtId="0" fontId="3" fillId="60" borderId="28" xfId="0" applyFont="1" applyFill="1" applyBorder="1" applyAlignment="1">
      <alignment horizontal="center" vertical="center" wrapText="1"/>
    </xf>
    <xf numFmtId="0" fontId="3" fillId="60" borderId="29" xfId="0" applyFont="1" applyFill="1" applyBorder="1" applyAlignment="1">
      <alignment horizontal="center" vertical="center" wrapText="1"/>
    </xf>
    <xf numFmtId="0" fontId="3" fillId="60" borderId="30" xfId="0" applyFont="1" applyFill="1" applyBorder="1" applyAlignment="1">
      <alignment horizontal="center" vertical="center" wrapText="1"/>
    </xf>
    <xf numFmtId="168" fontId="7" fillId="0" borderId="32" xfId="0" applyNumberFormat="1" applyFont="1" applyBorder="1" applyAlignment="1">
      <alignment vertical="center" wrapText="1"/>
    </xf>
    <xf numFmtId="0" fontId="37" fillId="77" borderId="0" xfId="0" applyFont="1" applyFill="1" applyAlignment="1">
      <alignment horizontal="center" vertical="center" wrapText="1"/>
    </xf>
    <xf numFmtId="0" fontId="17" fillId="59" borderId="32" xfId="0" applyFont="1" applyFill="1" applyBorder="1" applyAlignment="1">
      <alignment vertical="center" wrapText="1"/>
    </xf>
    <xf numFmtId="0" fontId="17" fillId="59" borderId="33" xfId="0" applyFont="1" applyFill="1" applyBorder="1" applyAlignment="1">
      <alignment vertical="center" wrapText="1"/>
    </xf>
    <xf numFmtId="0" fontId="3" fillId="60" borderId="0" xfId="0" applyFont="1" applyFill="1" applyAlignment="1">
      <alignment horizontal="center" vertical="center" wrapText="1"/>
    </xf>
    <xf numFmtId="0" fontId="4" fillId="61" borderId="0" xfId="0" applyFont="1" applyFill="1" applyAlignment="1">
      <alignment vertical="center" wrapText="1"/>
    </xf>
    <xf numFmtId="0" fontId="17" fillId="0" borderId="0" xfId="0" applyFont="1" applyAlignment="1">
      <alignment vertical="center" wrapText="1"/>
    </xf>
    <xf numFmtId="0" fontId="11" fillId="0" borderId="0" xfId="0" applyFont="1" applyAlignment="1">
      <alignment vertical="center" wrapText="1"/>
    </xf>
    <xf numFmtId="0" fontId="46" fillId="77" borderId="55" xfId="0" applyFont="1" applyFill="1" applyBorder="1" applyAlignment="1">
      <alignment horizontal="center" vertical="center" wrapText="1"/>
    </xf>
    <xf numFmtId="0" fontId="46" fillId="77" borderId="56" xfId="0" applyFont="1" applyFill="1" applyBorder="1" applyAlignment="1">
      <alignment horizontal="center" vertical="center" wrapText="1"/>
    </xf>
    <xf numFmtId="166" fontId="46" fillId="77" borderId="56" xfId="0" applyNumberFormat="1" applyFont="1" applyFill="1" applyBorder="1" applyAlignment="1">
      <alignment horizontal="center" vertical="center" wrapText="1"/>
    </xf>
    <xf numFmtId="0" fontId="46" fillId="77" borderId="57" xfId="0" applyFont="1" applyFill="1" applyBorder="1" applyAlignment="1">
      <alignment horizontal="center" vertical="center" wrapText="1"/>
    </xf>
    <xf numFmtId="0" fontId="3" fillId="77" borderId="59" xfId="0" applyFont="1" applyFill="1" applyBorder="1" applyAlignment="1">
      <alignment horizontal="center" vertical="center" wrapText="1"/>
    </xf>
    <xf numFmtId="0" fontId="3" fillId="77" borderId="60" xfId="0" applyFont="1" applyFill="1" applyBorder="1" applyAlignment="1">
      <alignment horizontal="center" vertical="center" wrapText="1"/>
    </xf>
    <xf numFmtId="0" fontId="37" fillId="68" borderId="0" xfId="0" applyFont="1" applyFill="1" applyAlignment="1">
      <alignment vertical="center" wrapText="1"/>
    </xf>
    <xf numFmtId="0" fontId="49" fillId="67" borderId="0" xfId="0" applyFont="1" applyFill="1" applyAlignment="1">
      <alignment vertical="center" wrapText="1"/>
    </xf>
    <xf numFmtId="0" fontId="45" fillId="0" borderId="0" xfId="0" applyFont="1" applyAlignment="1">
      <alignment vertical="center" wrapText="1"/>
    </xf>
    <xf numFmtId="0" fontId="11" fillId="0" borderId="58" xfId="0" applyFont="1" applyBorder="1" applyAlignment="1">
      <alignment vertical="center" wrapText="1"/>
    </xf>
    <xf numFmtId="0" fontId="11" fillId="0" borderId="59" xfId="0" applyFont="1" applyBorder="1" applyAlignment="1">
      <alignment vertical="center" wrapText="1"/>
    </xf>
    <xf numFmtId="0" fontId="17" fillId="78" borderId="59" xfId="0" applyFont="1" applyFill="1" applyBorder="1" applyAlignment="1">
      <alignment horizontal="right" vertical="center" wrapText="1"/>
    </xf>
    <xf numFmtId="0" fontId="11" fillId="78" borderId="59" xfId="0" applyFont="1" applyFill="1" applyBorder="1" applyAlignment="1">
      <alignment horizontal="right" vertical="center" wrapText="1"/>
    </xf>
    <xf numFmtId="174" fontId="17" fillId="78" borderId="59" xfId="0" applyNumberFormat="1" applyFont="1" applyFill="1" applyBorder="1" applyAlignment="1">
      <alignment horizontal="right" vertical="center" wrapText="1"/>
    </xf>
    <xf numFmtId="0" fontId="17" fillId="78" borderId="60" xfId="0" applyFont="1" applyFill="1" applyBorder="1" applyAlignment="1">
      <alignment horizontal="right" vertical="center" wrapText="1"/>
    </xf>
    <xf numFmtId="166" fontId="17" fillId="78" borderId="59" xfId="0" applyNumberFormat="1" applyFont="1" applyFill="1" applyBorder="1" applyAlignment="1">
      <alignment horizontal="right" vertical="center" wrapText="1"/>
    </xf>
    <xf numFmtId="166" fontId="11" fillId="78" borderId="59" xfId="0" applyNumberFormat="1" applyFont="1" applyFill="1" applyBorder="1" applyAlignment="1">
      <alignment horizontal="right" vertical="center" wrapText="1"/>
    </xf>
    <xf numFmtId="0" fontId="11" fillId="78" borderId="60" xfId="0" applyFont="1" applyFill="1" applyBorder="1" applyAlignment="1">
      <alignment horizontal="right" vertical="center" wrapText="1"/>
    </xf>
    <xf numFmtId="166" fontId="38" fillId="78" borderId="59" xfId="0" applyNumberFormat="1" applyFont="1" applyFill="1" applyBorder="1" applyAlignment="1">
      <alignment horizontal="right" vertical="center" wrapText="1"/>
    </xf>
    <xf numFmtId="0" fontId="38" fillId="78" borderId="59" xfId="0" applyFont="1" applyFill="1" applyBorder="1" applyAlignment="1">
      <alignment horizontal="right" vertical="center" wrapText="1"/>
    </xf>
    <xf numFmtId="0" fontId="38" fillId="78" borderId="60" xfId="0" applyFont="1" applyFill="1" applyBorder="1" applyAlignment="1">
      <alignment horizontal="right" vertical="center" wrapText="1"/>
    </xf>
    <xf numFmtId="166" fontId="31" fillId="78" borderId="59" xfId="0" applyNumberFormat="1" applyFont="1" applyFill="1" applyBorder="1" applyAlignment="1">
      <alignment horizontal="right" vertical="center" wrapText="1"/>
    </xf>
    <xf numFmtId="0" fontId="31" fillId="78" borderId="59" xfId="0" applyFont="1" applyFill="1" applyBorder="1" applyAlignment="1">
      <alignment horizontal="right" vertical="center" wrapText="1"/>
    </xf>
    <xf numFmtId="0" fontId="31" fillId="78" borderId="60" xfId="0" applyFont="1" applyFill="1" applyBorder="1" applyAlignment="1">
      <alignment horizontal="right" vertical="center" wrapText="1"/>
    </xf>
    <xf numFmtId="0" fontId="50" fillId="73" borderId="0" xfId="0" applyFont="1" applyFill="1" applyAlignment="1">
      <alignment horizontal="center" vertical="center" wrapText="1"/>
    </xf>
    <xf numFmtId="166" fontId="17" fillId="72" borderId="0" xfId="0" applyNumberFormat="1" applyFont="1" applyFill="1" applyAlignment="1">
      <alignment vertical="center" wrapText="1"/>
    </xf>
    <xf numFmtId="0" fontId="17" fillId="72" borderId="0" xfId="0" applyFont="1" applyFill="1" applyAlignment="1">
      <alignment vertical="center" wrapText="1"/>
    </xf>
    <xf numFmtId="174" fontId="17" fillId="72" borderId="0" xfId="0" applyNumberFormat="1" applyFont="1" applyFill="1" applyAlignment="1">
      <alignment vertical="center" wrapText="1"/>
    </xf>
    <xf numFmtId="177" fontId="17" fillId="72" borderId="0" xfId="0" applyNumberFormat="1" applyFont="1" applyFill="1" applyAlignment="1">
      <alignment vertical="center" wrapText="1"/>
    </xf>
    <xf numFmtId="2" fontId="17" fillId="72" borderId="0" xfId="0" applyNumberFormat="1" applyFont="1" applyFill="1" applyAlignment="1">
      <alignment vertical="center" wrapText="1"/>
    </xf>
    <xf numFmtId="1" fontId="17" fillId="72" borderId="0" xfId="0" applyNumberFormat="1" applyFont="1" applyFill="1" applyAlignment="1">
      <alignment vertical="center" wrapText="1"/>
    </xf>
    <xf numFmtId="0" fontId="3" fillId="74" borderId="0" xfId="0" applyFont="1" applyFill="1" applyAlignment="1">
      <alignment horizontal="center" vertical="center" wrapText="1"/>
    </xf>
    <xf numFmtId="166" fontId="17" fillId="41" borderId="0" xfId="0" applyNumberFormat="1" applyFont="1" applyFill="1" applyAlignment="1">
      <alignment vertical="center" wrapText="1"/>
    </xf>
    <xf numFmtId="0" fontId="28" fillId="7" borderId="0" xfId="0" applyFont="1" applyFill="1" applyAlignment="1">
      <alignment vertical="center" wrapText="1"/>
    </xf>
    <xf numFmtId="166" fontId="28" fillId="72" borderId="0" xfId="0" applyNumberFormat="1" applyFont="1" applyFill="1" applyAlignment="1">
      <alignment vertical="center" wrapText="1"/>
    </xf>
    <xf numFmtId="0" fontId="52" fillId="71" borderId="0" xfId="0" applyFont="1" applyFill="1" applyAlignment="1">
      <alignment vertical="center" wrapText="1"/>
    </xf>
    <xf numFmtId="166" fontId="52" fillId="71" borderId="0" xfId="0" applyNumberFormat="1" applyFont="1" applyFill="1" applyAlignment="1">
      <alignment vertical="center" wrapText="1"/>
    </xf>
    <xf numFmtId="0" fontId="31" fillId="70" borderId="0" xfId="0" applyFont="1" applyFill="1" applyAlignment="1">
      <alignment vertical="center" wrapText="1"/>
    </xf>
    <xf numFmtId="1" fontId="31" fillId="70" borderId="0" xfId="0" applyNumberFormat="1" applyFont="1" applyFill="1" applyAlignment="1">
      <alignment vertical="center" wrapText="1"/>
    </xf>
    <xf numFmtId="0" fontId="47" fillId="75" borderId="0" xfId="0" applyFont="1" applyFill="1" applyAlignment="1">
      <alignment vertical="top" wrapText="1"/>
    </xf>
    <xf numFmtId="0" fontId="53" fillId="75" borderId="0" xfId="0" applyFont="1" applyFill="1" applyAlignment="1">
      <alignment horizontal="center" vertical="top" wrapText="1"/>
    </xf>
    <xf numFmtId="166" fontId="17" fillId="75" borderId="0" xfId="0" applyNumberFormat="1" applyFont="1" applyFill="1" applyAlignment="1">
      <alignment vertical="center" wrapText="1"/>
    </xf>
    <xf numFmtId="0" fontId="17" fillId="75" borderId="0" xfId="0" applyFont="1" applyFill="1" applyAlignment="1">
      <alignment vertical="center" wrapText="1"/>
    </xf>
    <xf numFmtId="174" fontId="17" fillId="75" borderId="0" xfId="0" applyNumberFormat="1" applyFont="1" applyFill="1" applyAlignment="1">
      <alignment vertical="center" wrapText="1"/>
    </xf>
    <xf numFmtId="0" fontId="51" fillId="71" borderId="0" xfId="0" applyFont="1" applyFill="1" applyAlignment="1">
      <alignment horizontal="center" vertical="center" wrapText="1"/>
    </xf>
    <xf numFmtId="0" fontId="51" fillId="75" borderId="0" xfId="0" applyFont="1" applyFill="1" applyAlignment="1">
      <alignment horizontal="center" vertical="center" wrapText="1"/>
    </xf>
    <xf numFmtId="0" fontId="54" fillId="74" borderId="0" xfId="0" applyFont="1" applyFill="1" applyAlignment="1">
      <alignment horizontal="center" vertical="center" wrapText="1"/>
    </xf>
    <xf numFmtId="166" fontId="54" fillId="74" borderId="0" xfId="0" applyNumberFormat="1" applyFont="1" applyFill="1" applyAlignment="1">
      <alignment horizontal="center" vertical="center" wrapText="1"/>
    </xf>
    <xf numFmtId="0" fontId="28" fillId="80" borderId="58" xfId="0" applyFont="1" applyFill="1" applyBorder="1" applyAlignment="1">
      <alignment horizontal="center" vertical="center" wrapText="1"/>
    </xf>
    <xf numFmtId="0" fontId="28" fillId="80" borderId="59" xfId="0" applyFont="1" applyFill="1" applyBorder="1" applyAlignment="1">
      <alignment horizontal="center" vertical="center" wrapText="1"/>
    </xf>
    <xf numFmtId="0" fontId="8" fillId="0" borderId="59" xfId="0" applyFont="1" applyBorder="1" applyAlignment="1">
      <alignment vertical="center" wrapText="1"/>
    </xf>
    <xf numFmtId="0" fontId="8" fillId="0" borderId="60" xfId="0" applyFont="1" applyBorder="1" applyAlignment="1">
      <alignment vertical="center" wrapText="1"/>
    </xf>
    <xf numFmtId="0" fontId="1" fillId="73" borderId="0" xfId="0" applyFont="1" applyFill="1" applyAlignment="1">
      <alignment vertical="center" wrapText="1"/>
    </xf>
    <xf numFmtId="0" fontId="27" fillId="71" borderId="0" xfId="0" applyFont="1" applyFill="1" applyAlignment="1">
      <alignment vertical="center" wrapText="1"/>
    </xf>
    <xf numFmtId="0" fontId="47" fillId="72" borderId="0" xfId="0" applyFont="1" applyFill="1" applyAlignment="1">
      <alignment vertical="center" wrapText="1"/>
    </xf>
    <xf numFmtId="0" fontId="1" fillId="77" borderId="0" xfId="0" applyFont="1" applyFill="1" applyAlignment="1">
      <alignment vertical="center" wrapText="1"/>
    </xf>
    <xf numFmtId="0" fontId="27" fillId="79" borderId="0" xfId="0" applyFont="1" applyFill="1" applyAlignment="1">
      <alignment wrapText="1"/>
    </xf>
    <xf numFmtId="0" fontId="1" fillId="77" borderId="0" xfId="0" applyFont="1" applyFill="1" applyAlignment="1">
      <alignment wrapText="1"/>
    </xf>
    <xf numFmtId="0" fontId="3" fillId="82" borderId="0" xfId="0" applyFont="1" applyFill="1"/>
    <xf numFmtId="0" fontId="17" fillId="81" borderId="0" xfId="0" applyFont="1" applyFill="1" applyAlignment="1">
      <alignment wrapText="1"/>
    </xf>
    <xf numFmtId="0" fontId="3" fillId="82" borderId="0" xfId="0" applyFont="1" applyFill="1" applyAlignment="1">
      <alignment wrapText="1"/>
    </xf>
    <xf numFmtId="0" fontId="11" fillId="79" borderId="0" xfId="0" applyFont="1" applyFill="1" applyAlignment="1">
      <alignment wrapText="1"/>
    </xf>
    <xf numFmtId="0" fontId="37" fillId="82" borderId="0" xfId="0" applyFont="1" applyFill="1" applyAlignment="1">
      <alignment horizontal="center" wrapText="1"/>
    </xf>
  </cellXfs>
  <cellStyles count="1">
    <cellStyle name="Normal" xfId="0" builtinId="0"/>
  </cellStyles>
  <dxfs count="84">
    <dxf>
      <font>
        <b/>
        <color rgb="FFC00000"/>
      </font>
      <fill>
        <patternFill patternType="solid">
          <bgColor rgb="FFF4CCCC"/>
        </patternFill>
      </fill>
    </dxf>
    <dxf>
      <font>
        <b/>
        <color rgb="FF5B2C6F"/>
      </font>
      <fill>
        <patternFill patternType="solid">
          <bgColor rgb="FFEADCF8"/>
        </patternFill>
      </fill>
    </dxf>
    <dxf>
      <font>
        <b/>
        <color rgb="FF9C5700"/>
      </font>
      <fill>
        <patternFill patternType="solid">
          <bgColor rgb="FFFCE5CD"/>
        </patternFill>
      </fill>
    </dxf>
    <dxf>
      <font>
        <b/>
        <color rgb="FF17332D"/>
      </font>
      <fill>
        <patternFill patternType="solid">
          <bgColor rgb="FFFFF2CC"/>
        </patternFill>
      </fill>
    </dxf>
    <dxf>
      <font>
        <b/>
        <color rgb="FF17332D"/>
      </font>
      <fill>
        <patternFill patternType="solid">
          <bgColor rgb="FFDDEFEA"/>
        </patternFill>
      </fill>
    </dxf>
    <dxf>
      <font>
        <b/>
        <color rgb="FF006100"/>
      </font>
      <fill>
        <patternFill patternType="solid">
          <bgColor rgb="FFD9EAD3"/>
        </patternFill>
      </fill>
    </dxf>
    <dxf>
      <font>
        <b/>
        <color rgb="FFC00000"/>
      </font>
      <fill>
        <patternFill patternType="solid">
          <bgColor rgb="FFF4CCCC"/>
        </patternFill>
      </fill>
    </dxf>
    <dxf>
      <font>
        <b/>
        <color rgb="FF006100"/>
      </font>
      <fill>
        <patternFill patternType="solid">
          <bgColor rgb="FFD9EAD3"/>
        </patternFill>
      </fill>
    </dxf>
    <dxf>
      <font>
        <b/>
        <color rgb="FF006100"/>
      </font>
      <fill>
        <patternFill>
          <bgColor rgb="FFD9EAD3"/>
        </patternFill>
      </fill>
    </dxf>
    <dxf>
      <font>
        <b/>
        <color rgb="FFC00000"/>
      </font>
      <fill>
        <patternFill>
          <bgColor rgb="FFF4CCCC"/>
        </patternFill>
      </fill>
    </dxf>
    <dxf>
      <font>
        <b/>
        <color rgb="FF17332D"/>
      </font>
      <fill>
        <patternFill>
          <bgColor rgb="FFFFF2CC"/>
        </patternFill>
      </fill>
    </dxf>
    <dxf>
      <font>
        <b/>
        <color rgb="FF006100"/>
      </font>
      <fill>
        <patternFill>
          <bgColor rgb="FFD9EAD3"/>
        </patternFill>
      </fill>
    </dxf>
    <dxf>
      <font>
        <b/>
        <color rgb="FF006100"/>
      </font>
      <fill>
        <patternFill>
          <bgColor rgb="FFD9EAD3"/>
        </patternFill>
      </fill>
    </dxf>
    <dxf>
      <font>
        <b/>
        <color rgb="FF17332D"/>
      </font>
      <fill>
        <patternFill>
          <bgColor rgb="FFFFF2CC"/>
        </patternFill>
      </fill>
    </dxf>
    <dxf>
      <font>
        <b/>
        <color rgb="FFC00000"/>
      </font>
      <fill>
        <patternFill>
          <bgColor rgb="FFF4CCCC"/>
        </patternFill>
      </fill>
    </dxf>
    <dxf>
      <font>
        <b/>
        <color rgb="FF17332D"/>
      </font>
      <fill>
        <patternFill>
          <bgColor rgb="FFF7F9F8"/>
        </patternFill>
      </fill>
    </dxf>
    <dxf>
      <font>
        <b/>
        <color rgb="FF006100"/>
      </font>
      <fill>
        <patternFill>
          <bgColor rgb="FFD9EAD3"/>
        </patternFill>
      </fill>
    </dxf>
    <dxf>
      <font>
        <b/>
        <color rgb="FF17332D"/>
      </font>
      <fill>
        <patternFill>
          <bgColor rgb="FFFFF2CC"/>
        </patternFill>
      </fill>
    </dxf>
    <dxf>
      <font>
        <b/>
        <color rgb="FFC00000"/>
      </font>
      <fill>
        <patternFill>
          <bgColor rgb="FFF4CCCC"/>
        </patternFill>
      </fill>
    </dxf>
    <dxf>
      <font>
        <b/>
        <color rgb="FF17332D"/>
      </font>
      <fill>
        <patternFill>
          <bgColor rgb="FFF7F9F8"/>
        </patternFill>
      </fill>
    </dxf>
    <dxf>
      <font>
        <b/>
        <color rgb="FF006100"/>
      </font>
      <fill>
        <patternFill>
          <bgColor rgb="FFD9EAD3"/>
        </patternFill>
      </fill>
    </dxf>
    <dxf>
      <font>
        <b/>
        <color rgb="FF17332D"/>
      </font>
      <fill>
        <patternFill>
          <bgColor rgb="FFFFF2CC"/>
        </patternFill>
      </fill>
    </dxf>
    <dxf>
      <font>
        <b/>
        <color rgb="FFC00000"/>
      </font>
      <fill>
        <patternFill>
          <bgColor rgb="FFF4CCCC"/>
        </patternFill>
      </fill>
    </dxf>
    <dxf>
      <font>
        <b/>
        <color rgb="FF17332D"/>
      </font>
      <fill>
        <patternFill>
          <bgColor rgb="FFDDEFEA"/>
        </patternFill>
      </fill>
    </dxf>
    <dxf>
      <font>
        <b/>
        <color rgb="FFFFFFFF"/>
      </font>
      <fill>
        <patternFill>
          <bgColor rgb="FF155E52"/>
        </patternFill>
      </fill>
    </dxf>
    <dxf>
      <font>
        <b/>
        <color rgb="FFFFFFFF"/>
      </font>
      <fill>
        <patternFill>
          <bgColor rgb="FFC00000"/>
        </patternFill>
      </fill>
    </dxf>
    <dxf>
      <font>
        <b/>
        <color rgb="FFC00000"/>
      </font>
      <fill>
        <patternFill>
          <bgColor rgb="FFFCE8E6"/>
        </patternFill>
      </fill>
    </dxf>
    <dxf>
      <font>
        <b/>
        <color rgb="FF7F6000"/>
      </font>
      <fill>
        <patternFill>
          <bgColor rgb="FFFFF2CC"/>
        </patternFill>
      </fill>
    </dxf>
    <dxf>
      <font>
        <b/>
        <color rgb="FF375623"/>
      </font>
      <fill>
        <patternFill>
          <bgColor rgb="FFE2F0D9"/>
        </patternFill>
      </fill>
    </dxf>
    <dxf>
      <font>
        <b/>
        <color rgb="FFC00000"/>
      </font>
      <fill>
        <patternFill>
          <bgColor rgb="FFFCE8E6"/>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ont>
        <b/>
        <color rgb="FFC00000"/>
      </font>
      <fill>
        <patternFill>
          <bgColor rgb="FFFCE8E6"/>
        </patternFill>
      </fill>
    </dxf>
    <dxf>
      <font>
        <b/>
        <color rgb="FFC00000"/>
      </font>
      <fill>
        <patternFill>
          <bgColor rgb="FFFCE8E6"/>
        </patternFill>
      </fill>
    </dxf>
    <dxf>
      <font>
        <b/>
        <color rgb="FF7F6000"/>
      </font>
      <fill>
        <patternFill>
          <bgColor rgb="FFFFF2CC"/>
        </patternFill>
      </fill>
    </dxf>
    <dxf>
      <font>
        <b/>
        <color rgb="FF375623"/>
      </font>
      <fill>
        <patternFill>
          <bgColor rgb="FFE2F0D9"/>
        </patternFill>
      </fill>
    </dxf>
    <dxf>
      <font>
        <b/>
        <color rgb="FFC00000"/>
      </font>
      <fill>
        <patternFill>
          <bgColor rgb="FFFCE8E6"/>
        </patternFill>
      </fill>
    </dxf>
    <dxf>
      <font>
        <b/>
        <color rgb="FF7F6000"/>
      </font>
      <fill>
        <patternFill>
          <bgColor rgb="FFFFF2CC"/>
        </patternFill>
      </fill>
    </dxf>
    <dxf>
      <font>
        <b/>
        <color rgb="FF155E52"/>
      </font>
      <fill>
        <patternFill>
          <bgColor rgb="FFDDEFEA"/>
        </patternFill>
      </fill>
    </dxf>
    <dxf>
      <font>
        <b/>
        <color rgb="FF375623"/>
      </font>
      <fill>
        <patternFill>
          <bgColor rgb="FFE2F0D9"/>
        </patternFill>
      </fill>
    </dxf>
    <dxf>
      <font>
        <b/>
        <color rgb="FFC00000"/>
      </font>
      <fill>
        <patternFill>
          <bgColor rgb="FFFCE8E6"/>
        </patternFill>
      </fill>
    </dxf>
    <dxf>
      <font>
        <b/>
        <color rgb="FF7F6000"/>
      </font>
      <fill>
        <patternFill>
          <bgColor rgb="FFFFF2CC"/>
        </patternFill>
      </fill>
    </dxf>
    <dxf>
      <font>
        <b/>
        <color rgb="FF375623"/>
      </font>
      <fill>
        <patternFill>
          <bgColor rgb="FFE2F0D9"/>
        </patternFill>
      </fill>
    </dxf>
    <dxf>
      <font>
        <b/>
        <color rgb="FFC00000"/>
      </font>
      <fill>
        <patternFill>
          <bgColor rgb="FFFCE8E6"/>
        </patternFill>
      </fill>
    </dxf>
    <dxf>
      <font>
        <b/>
        <color rgb="FF7F6000"/>
      </font>
      <fill>
        <patternFill>
          <bgColor rgb="FFFFF2CC"/>
        </patternFill>
      </fill>
    </dxf>
    <dxf>
      <font>
        <b/>
        <color rgb="FF375623"/>
      </font>
      <fill>
        <patternFill>
          <bgColor rgb="FFE2F0D9"/>
        </patternFill>
      </fill>
    </dxf>
    <dxf>
      <font>
        <b/>
      </font>
      <fill>
        <patternFill>
          <bgColor rgb="FFF4CCCC"/>
        </patternFill>
      </fill>
    </dxf>
    <dxf>
      <font>
        <b/>
      </font>
      <fill>
        <patternFill>
          <bgColor rgb="FFE2F0D9"/>
        </patternFill>
      </fill>
    </dxf>
    <dxf>
      <font>
        <b/>
        <color rgb="FFC00000"/>
      </font>
      <fill>
        <patternFill>
          <bgColor rgb="FFFCE8E6"/>
        </patternFill>
      </fill>
    </dxf>
    <dxf>
      <font>
        <b/>
        <color rgb="FF7F6000"/>
      </font>
      <fill>
        <patternFill>
          <bgColor rgb="FFFFF2CC"/>
        </patternFill>
      </fill>
    </dxf>
    <dxf>
      <font>
        <b/>
        <color rgb="FF375623"/>
      </font>
      <fill>
        <patternFill>
          <bgColor rgb="FFE2F0D9"/>
        </patternFill>
      </fill>
    </dxf>
    <dxf>
      <fill>
        <patternFill>
          <bgColor rgb="FFF4CCCC"/>
        </patternFill>
      </fill>
    </dxf>
    <dxf>
      <fill>
        <patternFill>
          <bgColor rgb="FFE2F0D9"/>
        </patternFill>
      </fill>
    </dxf>
    <dxf>
      <font>
        <b/>
        <color rgb="FF17332D"/>
      </font>
      <fill>
        <patternFill>
          <bgColor rgb="FFDDEFEA"/>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B42318"/>
      </font>
      <fill>
        <patternFill>
          <bgColor rgb="FFFDE2E2"/>
        </patternFill>
      </fill>
    </dxf>
    <dxf>
      <font>
        <color rgb="FFFF0000"/>
      </font>
      <fill>
        <patternFill>
          <bgColor rgb="FFFDE2E2"/>
        </patternFill>
      </fill>
    </dxf>
    <dxf>
      <font>
        <color rgb="FF16794D"/>
      </font>
      <fill>
        <patternFill>
          <bgColor rgb="FFE7F5EC"/>
        </patternFill>
      </fill>
    </dxf>
    <dxf>
      <font>
        <b/>
        <color rgb="FF16794D"/>
      </font>
      <fill>
        <patternFill>
          <bgColor rgb="FFE7F5EC"/>
        </patternFill>
      </fill>
    </dxf>
    <dxf>
      <font>
        <b/>
        <color rgb="FFFF0000"/>
      </font>
      <fill>
        <patternFill>
          <bgColor rgb="FFFDE2E2"/>
        </patternFill>
      </fill>
    </dxf>
    <dxf>
      <font>
        <b/>
        <color rgb="FF16794D"/>
      </font>
      <fill>
        <patternFill>
          <bgColor rgb="FFE7F5EC"/>
        </patternFill>
      </fill>
    </dxf>
    <dxf>
      <font>
        <b/>
        <color rgb="FFFF0000"/>
      </font>
      <fill>
        <patternFill>
          <bgColor rgb="FFFDE2E2"/>
        </patternFill>
      </fill>
    </dxf>
    <dxf>
      <font>
        <color rgb="FFFF0000"/>
      </font>
      <fill>
        <patternFill>
          <bgColor rgb="FFFDE2E2"/>
        </patternFill>
      </fill>
    </dxf>
    <dxf>
      <font>
        <b/>
        <color rgb="FF16794D"/>
      </font>
      <fill>
        <patternFill>
          <bgColor rgb="FFE7F5EC"/>
        </patternFill>
      </fill>
    </dxf>
    <dxf>
      <font>
        <b/>
        <color rgb="FFFF0000"/>
      </font>
      <fill>
        <patternFill>
          <bgColor rgb="FFFDE2E2"/>
        </patternFill>
      </fill>
    </dxf>
    <dxf>
      <font>
        <color rgb="FFFF0000"/>
      </font>
      <fill>
        <patternFill>
          <bgColor rgb="FFFDE2E2"/>
        </patternFill>
      </fill>
    </dxf>
    <dxf>
      <font>
        <color rgb="FFB42318"/>
      </font>
      <fill>
        <patternFill>
          <bgColor rgb="FFFDE2E2"/>
        </patternFill>
      </fill>
    </dxf>
    <dxf>
      <font>
        <color rgb="FFB42318"/>
      </font>
      <fill>
        <patternFill>
          <bgColor rgb="FFFDE2E2"/>
        </patternFill>
      </fill>
    </dxf>
    <dxf>
      <font>
        <b/>
        <color rgb="FF006100"/>
      </font>
      <fill>
        <patternFill>
          <bgColor rgb="FFE2F0D9"/>
        </patternFill>
      </fill>
    </dxf>
    <dxf>
      <font>
        <b/>
        <color rgb="FFC00000"/>
      </font>
      <fill>
        <patternFill>
          <bgColor rgb="FFFDE9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Contribution Before Fixed Costs — Selected Service</a:t>
            </a:r>
          </a:p>
        </c:rich>
      </c:tx>
      <c:overlay val="1"/>
    </c:title>
    <c:autoTitleDeleted val="0"/>
    <c:plotArea>
      <c:layout/>
      <c:barChart>
        <c:barDir val="col"/>
        <c:grouping val="clustered"/>
        <c:varyColors val="0"/>
        <c:ser>
          <c:idx val="0"/>
          <c:order val="0"/>
          <c:tx>
            <c:v>Contribution Before Fixed Costs</c:v>
          </c:tx>
          <c:invertIfNegative val="1"/>
          <c:cat>
            <c:strRef>
              <c:f>Dashboard!$E$6:$E$7</c:f>
              <c:strCache>
                <c:ptCount val="2"/>
                <c:pt idx="0">
                  <c:v>Case 1</c:v>
                </c:pt>
                <c:pt idx="1">
                  <c:v>Case 2</c:v>
                </c:pt>
              </c:strCache>
            </c:strRef>
          </c:cat>
          <c:val>
            <c:numRef>
              <c:f>Dashboard!$F$6:$F$7</c:f>
              <c:numCache>
                <c:formatCode>#,##0;[Red]\(#,##0\);\-</c:formatCode>
                <c:ptCount val="2"/>
                <c:pt idx="0">
                  <c:v>1319.8032203389832</c:v>
                </c:pt>
                <c:pt idx="1">
                  <c:v>1458.8032203389832</c:v>
                </c:pt>
              </c:numCache>
            </c:numRef>
          </c:val>
          <c:extLst>
            <c:ext xmlns:c16="http://schemas.microsoft.com/office/drawing/2014/chart" uri="{C3380CC4-5D6E-409C-BE32-E72D297353CC}">
              <c16:uniqueId val="{00000000-0764-0147-BA6F-BF2458900F5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Monthly Customer Collections</a:t>
            </a:r>
          </a:p>
        </c:rich>
      </c:tx>
      <c:overlay val="1"/>
    </c:title>
    <c:autoTitleDeleted val="0"/>
    <c:plotArea>
      <c:layout/>
      <c:lineChart>
        <c:grouping val="standard"/>
        <c:varyColors val="0"/>
        <c:ser>
          <c:idx val="0"/>
          <c:order val="0"/>
          <c:tx>
            <c:v>Demand Growth %</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Projection'!$B$84:$B$95</c:f>
              <c:numCache>
                <c:formatCode>0.0%;[Red]\(0.0%\);\-</c:formatCode>
                <c:ptCount val="12"/>
                <c:pt idx="0">
                  <c:v>0</c:v>
                </c:pt>
                <c:pt idx="1">
                  <c:v>0.15</c:v>
                </c:pt>
                <c:pt idx="2">
                  <c:v>0.12</c:v>
                </c:pt>
                <c:pt idx="3">
                  <c:v>0.1</c:v>
                </c:pt>
                <c:pt idx="4">
                  <c:v>0.1</c:v>
                </c:pt>
                <c:pt idx="5">
                  <c:v>0.08</c:v>
                </c:pt>
                <c:pt idx="6">
                  <c:v>0.08</c:v>
                </c:pt>
                <c:pt idx="7">
                  <c:v>0.06</c:v>
                </c:pt>
                <c:pt idx="8">
                  <c:v>0.06</c:v>
                </c:pt>
                <c:pt idx="9">
                  <c:v>0.05</c:v>
                </c:pt>
                <c:pt idx="10">
                  <c:v>0.05</c:v>
                </c:pt>
                <c:pt idx="11">
                  <c:v>0.05</c:v>
                </c:pt>
              </c:numCache>
            </c:numRef>
          </c:val>
          <c:smooth val="1"/>
          <c:extLst>
            <c:ext xmlns:c16="http://schemas.microsoft.com/office/drawing/2014/chart" uri="{C3380CC4-5D6E-409C-BE32-E72D297353CC}">
              <c16:uniqueId val="{00000000-5807-ED45-812E-E8D481FC7411}"/>
            </c:ext>
          </c:extLst>
        </c:ser>
        <c:ser>
          <c:idx val="1"/>
          <c:order val="1"/>
          <c:tx>
            <c:v>Leads / Day</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Projection'!$C$84:$C$95</c:f>
              <c:numCache>
                <c:formatCode>#,##0.0;[Red]\(#,##0.0\);\-</c:formatCode>
                <c:ptCount val="12"/>
                <c:pt idx="0">
                  <c:v>6</c:v>
                </c:pt>
                <c:pt idx="1">
                  <c:v>6.8999999999999995</c:v>
                </c:pt>
                <c:pt idx="2">
                  <c:v>7.7279999999999998</c:v>
                </c:pt>
                <c:pt idx="3">
                  <c:v>8.5007999999999999</c:v>
                </c:pt>
                <c:pt idx="4">
                  <c:v>9.3508800000000001</c:v>
                </c:pt>
                <c:pt idx="5">
                  <c:v>10.098950400000001</c:v>
                </c:pt>
                <c:pt idx="6">
                  <c:v>10.906866432000003</c:v>
                </c:pt>
                <c:pt idx="7">
                  <c:v>11.561278417920004</c:v>
                </c:pt>
                <c:pt idx="8">
                  <c:v>12.254955122995206</c:v>
                </c:pt>
                <c:pt idx="9">
                  <c:v>12.867702879144966</c:v>
                </c:pt>
                <c:pt idx="10">
                  <c:v>13.511088023102214</c:v>
                </c:pt>
                <c:pt idx="11">
                  <c:v>14.186642424257325</c:v>
                </c:pt>
              </c:numCache>
            </c:numRef>
          </c:val>
          <c:smooth val="1"/>
          <c:extLst>
            <c:ext xmlns:c16="http://schemas.microsoft.com/office/drawing/2014/chart" uri="{C3380CC4-5D6E-409C-BE32-E72D297353CC}">
              <c16:uniqueId val="{00000001-5807-ED45-812E-E8D481FC7411}"/>
            </c:ext>
          </c:extLst>
        </c:ser>
        <c:ser>
          <c:idx val="2"/>
          <c:order val="2"/>
          <c:tx>
            <c:v>Active Angels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Projection'!$D$84:$D$95</c:f>
              <c:numCache>
                <c:formatCode>#,##0.0;[Red]\(#,##0.0\);\-</c:formatCode>
                <c:ptCount val="12"/>
                <c:pt idx="0">
                  <c:v>3</c:v>
                </c:pt>
                <c:pt idx="1">
                  <c:v>5</c:v>
                </c:pt>
                <c:pt idx="2">
                  <c:v>5</c:v>
                </c:pt>
                <c:pt idx="3">
                  <c:v>6</c:v>
                </c:pt>
                <c:pt idx="4">
                  <c:v>6</c:v>
                </c:pt>
                <c:pt idx="5">
                  <c:v>7</c:v>
                </c:pt>
                <c:pt idx="6">
                  <c:v>7</c:v>
                </c:pt>
                <c:pt idx="7">
                  <c:v>8</c:v>
                </c:pt>
                <c:pt idx="8">
                  <c:v>8</c:v>
                </c:pt>
                <c:pt idx="9">
                  <c:v>9</c:v>
                </c:pt>
                <c:pt idx="10">
                  <c:v>9</c:v>
                </c:pt>
                <c:pt idx="11">
                  <c:v>10</c:v>
                </c:pt>
              </c:numCache>
            </c:numRef>
          </c:val>
          <c:smooth val="1"/>
          <c:extLst>
            <c:ext xmlns:c16="http://schemas.microsoft.com/office/drawing/2014/chart" uri="{C3380CC4-5D6E-409C-BE32-E72D297353CC}">
              <c16:uniqueId val="{00000002-5807-ED45-812E-E8D481FC7411}"/>
            </c:ext>
          </c:extLst>
        </c:ser>
        <c:ser>
          <c:idx val="3"/>
          <c:order val="3"/>
          <c:tx>
            <c:v>Estimated Customers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Projection'!$E$84:$E$95</c:f>
              <c:numCache>
                <c:formatCode>#,##0.0;[Red]\(#,##0.0\);\-</c:formatCode>
                <c:ptCount val="12"/>
                <c:pt idx="0">
                  <c:v>33.857999999999997</c:v>
                </c:pt>
                <c:pt idx="1">
                  <c:v>38.936699999999995</c:v>
                </c:pt>
                <c:pt idx="2">
                  <c:v>43.609104000000002</c:v>
                </c:pt>
                <c:pt idx="3">
                  <c:v>47.970014400000004</c:v>
                </c:pt>
                <c:pt idx="4">
                  <c:v>52.767015840000006</c:v>
                </c:pt>
                <c:pt idx="5">
                  <c:v>56.988377107200002</c:v>
                </c:pt>
                <c:pt idx="6">
                  <c:v>61.547447275776008</c:v>
                </c:pt>
                <c:pt idx="7">
                  <c:v>65.240294112322587</c:v>
                </c:pt>
                <c:pt idx="8">
                  <c:v>69.154711759061954</c:v>
                </c:pt>
                <c:pt idx="9">
                  <c:v>72.612447347015049</c:v>
                </c:pt>
                <c:pt idx="10">
                  <c:v>76.243069714365788</c:v>
                </c:pt>
                <c:pt idx="11">
                  <c:v>80.055223200084086</c:v>
                </c:pt>
              </c:numCache>
            </c:numRef>
          </c:val>
          <c:smooth val="1"/>
          <c:extLst>
            <c:ext xmlns:c16="http://schemas.microsoft.com/office/drawing/2014/chart" uri="{C3380CC4-5D6E-409C-BE32-E72D297353CC}">
              <c16:uniqueId val="{00000003-5807-ED45-812E-E8D481FC7411}"/>
            </c:ext>
          </c:extLst>
        </c:ser>
        <c:ser>
          <c:idx val="4"/>
          <c:order val="4"/>
          <c:tx>
            <c:v>Completed Journeys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Projection'!$F$84:$F$95</c:f>
              <c:numCache>
                <c:formatCode>#,##0.0;[Red]\(#,##0.0\);\-</c:formatCode>
                <c:ptCount val="12"/>
                <c:pt idx="0">
                  <c:v>37.619999999999997</c:v>
                </c:pt>
                <c:pt idx="1">
                  <c:v>43.262999999999991</c:v>
                </c:pt>
                <c:pt idx="2">
                  <c:v>48.454560000000001</c:v>
                </c:pt>
                <c:pt idx="3">
                  <c:v>53.300015999999999</c:v>
                </c:pt>
                <c:pt idx="4">
                  <c:v>58.630017600000002</c:v>
                </c:pt>
                <c:pt idx="5">
                  <c:v>63.320419008000002</c:v>
                </c:pt>
                <c:pt idx="6">
                  <c:v>68.386052528640008</c:v>
                </c:pt>
                <c:pt idx="7">
                  <c:v>72.489215680358427</c:v>
                </c:pt>
                <c:pt idx="8">
                  <c:v>76.838568621179945</c:v>
                </c:pt>
                <c:pt idx="9">
                  <c:v>80.680497052238948</c:v>
                </c:pt>
                <c:pt idx="10">
                  <c:v>84.714521904850869</c:v>
                </c:pt>
                <c:pt idx="11">
                  <c:v>88.950248000093424</c:v>
                </c:pt>
              </c:numCache>
            </c:numRef>
          </c:val>
          <c:smooth val="1"/>
          <c:extLst>
            <c:ext xmlns:c16="http://schemas.microsoft.com/office/drawing/2014/chart" uri="{C3380CC4-5D6E-409C-BE32-E72D297353CC}">
              <c16:uniqueId val="{00000004-5807-ED45-812E-E8D481FC7411}"/>
            </c:ext>
          </c:extLst>
        </c:ser>
        <c:ser>
          <c:idx val="5"/>
          <c:order val="5"/>
          <c:tx>
            <c:v>Customer Collections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Projection'!$G$84:$G$95</c:f>
              <c:numCache>
                <c:formatCode>\₹#,##0;[Red]\(\₹#,##0\);\-</c:formatCode>
                <c:ptCount val="12"/>
                <c:pt idx="0">
                  <c:v>79773.811919999978</c:v>
                </c:pt>
                <c:pt idx="1">
                  <c:v>91739.883707999965</c:v>
                </c:pt>
                <c:pt idx="2">
                  <c:v>102748.66975295998</c:v>
                </c:pt>
                <c:pt idx="3">
                  <c:v>113023.53672825597</c:v>
                </c:pt>
                <c:pt idx="4">
                  <c:v>124325.89040108159</c:v>
                </c:pt>
                <c:pt idx="5">
                  <c:v>134271.9616331681</c:v>
                </c:pt>
                <c:pt idx="6">
                  <c:v>145013.71856382157</c:v>
                </c:pt>
                <c:pt idx="7">
                  <c:v>153714.54167765091</c:v>
                </c:pt>
                <c:pt idx="8">
                  <c:v>162937.41417830999</c:v>
                </c:pt>
                <c:pt idx="9">
                  <c:v>171084.28488722548</c:v>
                </c:pt>
                <c:pt idx="10">
                  <c:v>179638.49913158672</c:v>
                </c:pt>
                <c:pt idx="11">
                  <c:v>188620.42408816607</c:v>
                </c:pt>
              </c:numCache>
            </c:numRef>
          </c:val>
          <c:smooth val="1"/>
          <c:extLst>
            <c:ext xmlns:c16="http://schemas.microsoft.com/office/drawing/2014/chart" uri="{C3380CC4-5D6E-409C-BE32-E72D297353CC}">
              <c16:uniqueId val="{00000005-5807-ED45-812E-E8D481FC741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Contribution &amp; Operating Profit</a:t>
            </a:r>
          </a:p>
        </c:rich>
      </c:tx>
      <c:overlay val="1"/>
    </c:title>
    <c:autoTitleDeleted val="0"/>
    <c:plotArea>
      <c:layout/>
      <c:lineChart>
        <c:grouping val="standard"/>
        <c:varyColors val="0"/>
        <c:ser>
          <c:idx val="0"/>
          <c:order val="0"/>
          <c:tx>
            <c:v>Demand Growth %</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Projection'!$B$84:$B$95</c:f>
              <c:numCache>
                <c:formatCode>0.0%;[Red]\(0.0%\);\-</c:formatCode>
                <c:ptCount val="12"/>
                <c:pt idx="0">
                  <c:v>0</c:v>
                </c:pt>
                <c:pt idx="1">
                  <c:v>0.15</c:v>
                </c:pt>
                <c:pt idx="2">
                  <c:v>0.12</c:v>
                </c:pt>
                <c:pt idx="3">
                  <c:v>0.1</c:v>
                </c:pt>
                <c:pt idx="4">
                  <c:v>0.1</c:v>
                </c:pt>
                <c:pt idx="5">
                  <c:v>0.08</c:v>
                </c:pt>
                <c:pt idx="6">
                  <c:v>0.08</c:v>
                </c:pt>
                <c:pt idx="7">
                  <c:v>0.06</c:v>
                </c:pt>
                <c:pt idx="8">
                  <c:v>0.06</c:v>
                </c:pt>
                <c:pt idx="9">
                  <c:v>0.05</c:v>
                </c:pt>
                <c:pt idx="10">
                  <c:v>0.05</c:v>
                </c:pt>
                <c:pt idx="11">
                  <c:v>0.05</c:v>
                </c:pt>
              </c:numCache>
            </c:numRef>
          </c:val>
          <c:smooth val="1"/>
          <c:extLst>
            <c:ext xmlns:c16="http://schemas.microsoft.com/office/drawing/2014/chart" uri="{C3380CC4-5D6E-409C-BE32-E72D297353CC}">
              <c16:uniqueId val="{00000000-30C9-6E43-9B60-2A79EB48E78E}"/>
            </c:ext>
          </c:extLst>
        </c:ser>
        <c:ser>
          <c:idx val="1"/>
          <c:order val="1"/>
          <c:tx>
            <c:v>Leads / Day</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Projection'!$C$84:$C$95</c:f>
              <c:numCache>
                <c:formatCode>#,##0.0;[Red]\(#,##0.0\);\-</c:formatCode>
                <c:ptCount val="12"/>
                <c:pt idx="0">
                  <c:v>6</c:v>
                </c:pt>
                <c:pt idx="1">
                  <c:v>6.8999999999999995</c:v>
                </c:pt>
                <c:pt idx="2">
                  <c:v>7.7279999999999998</c:v>
                </c:pt>
                <c:pt idx="3">
                  <c:v>8.5007999999999999</c:v>
                </c:pt>
                <c:pt idx="4">
                  <c:v>9.3508800000000001</c:v>
                </c:pt>
                <c:pt idx="5">
                  <c:v>10.098950400000001</c:v>
                </c:pt>
                <c:pt idx="6">
                  <c:v>10.906866432000003</c:v>
                </c:pt>
                <c:pt idx="7">
                  <c:v>11.561278417920004</c:v>
                </c:pt>
                <c:pt idx="8">
                  <c:v>12.254955122995206</c:v>
                </c:pt>
                <c:pt idx="9">
                  <c:v>12.867702879144966</c:v>
                </c:pt>
                <c:pt idx="10">
                  <c:v>13.511088023102214</c:v>
                </c:pt>
                <c:pt idx="11">
                  <c:v>14.186642424257325</c:v>
                </c:pt>
              </c:numCache>
            </c:numRef>
          </c:val>
          <c:smooth val="1"/>
          <c:extLst>
            <c:ext xmlns:c16="http://schemas.microsoft.com/office/drawing/2014/chart" uri="{C3380CC4-5D6E-409C-BE32-E72D297353CC}">
              <c16:uniqueId val="{00000001-30C9-6E43-9B60-2A79EB48E78E}"/>
            </c:ext>
          </c:extLst>
        </c:ser>
        <c:ser>
          <c:idx val="2"/>
          <c:order val="2"/>
          <c:tx>
            <c:v>Active Angels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Projection'!$D$84:$D$95</c:f>
              <c:numCache>
                <c:formatCode>#,##0.0;[Red]\(#,##0.0\);\-</c:formatCode>
                <c:ptCount val="12"/>
                <c:pt idx="0">
                  <c:v>3</c:v>
                </c:pt>
                <c:pt idx="1">
                  <c:v>5</c:v>
                </c:pt>
                <c:pt idx="2">
                  <c:v>5</c:v>
                </c:pt>
                <c:pt idx="3">
                  <c:v>6</c:v>
                </c:pt>
                <c:pt idx="4">
                  <c:v>6</c:v>
                </c:pt>
                <c:pt idx="5">
                  <c:v>7</c:v>
                </c:pt>
                <c:pt idx="6">
                  <c:v>7</c:v>
                </c:pt>
                <c:pt idx="7">
                  <c:v>8</c:v>
                </c:pt>
                <c:pt idx="8">
                  <c:v>8</c:v>
                </c:pt>
                <c:pt idx="9">
                  <c:v>9</c:v>
                </c:pt>
                <c:pt idx="10">
                  <c:v>9</c:v>
                </c:pt>
                <c:pt idx="11">
                  <c:v>10</c:v>
                </c:pt>
              </c:numCache>
            </c:numRef>
          </c:val>
          <c:smooth val="1"/>
          <c:extLst>
            <c:ext xmlns:c16="http://schemas.microsoft.com/office/drawing/2014/chart" uri="{C3380CC4-5D6E-409C-BE32-E72D297353CC}">
              <c16:uniqueId val="{00000002-30C9-6E43-9B60-2A79EB48E78E}"/>
            </c:ext>
          </c:extLst>
        </c:ser>
        <c:ser>
          <c:idx val="3"/>
          <c:order val="3"/>
          <c:tx>
            <c:v>Estimated Customers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Projection'!$E$84:$E$95</c:f>
              <c:numCache>
                <c:formatCode>#,##0.0;[Red]\(#,##0.0\);\-</c:formatCode>
                <c:ptCount val="12"/>
                <c:pt idx="0">
                  <c:v>33.857999999999997</c:v>
                </c:pt>
                <c:pt idx="1">
                  <c:v>38.936699999999995</c:v>
                </c:pt>
                <c:pt idx="2">
                  <c:v>43.609104000000002</c:v>
                </c:pt>
                <c:pt idx="3">
                  <c:v>47.970014400000004</c:v>
                </c:pt>
                <c:pt idx="4">
                  <c:v>52.767015840000006</c:v>
                </c:pt>
                <c:pt idx="5">
                  <c:v>56.988377107200002</c:v>
                </c:pt>
                <c:pt idx="6">
                  <c:v>61.547447275776008</c:v>
                </c:pt>
                <c:pt idx="7">
                  <c:v>65.240294112322587</c:v>
                </c:pt>
                <c:pt idx="8">
                  <c:v>69.154711759061954</c:v>
                </c:pt>
                <c:pt idx="9">
                  <c:v>72.612447347015049</c:v>
                </c:pt>
                <c:pt idx="10">
                  <c:v>76.243069714365788</c:v>
                </c:pt>
                <c:pt idx="11">
                  <c:v>80.055223200084086</c:v>
                </c:pt>
              </c:numCache>
            </c:numRef>
          </c:val>
          <c:smooth val="1"/>
          <c:extLst>
            <c:ext xmlns:c16="http://schemas.microsoft.com/office/drawing/2014/chart" uri="{C3380CC4-5D6E-409C-BE32-E72D297353CC}">
              <c16:uniqueId val="{00000003-30C9-6E43-9B60-2A79EB48E78E}"/>
            </c:ext>
          </c:extLst>
        </c:ser>
        <c:ser>
          <c:idx val="4"/>
          <c:order val="4"/>
          <c:tx>
            <c:v>Completed Journeys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Projection'!$F$84:$F$95</c:f>
              <c:numCache>
                <c:formatCode>#,##0.0;[Red]\(#,##0.0\);\-</c:formatCode>
                <c:ptCount val="12"/>
                <c:pt idx="0">
                  <c:v>37.619999999999997</c:v>
                </c:pt>
                <c:pt idx="1">
                  <c:v>43.262999999999991</c:v>
                </c:pt>
                <c:pt idx="2">
                  <c:v>48.454560000000001</c:v>
                </c:pt>
                <c:pt idx="3">
                  <c:v>53.300015999999999</c:v>
                </c:pt>
                <c:pt idx="4">
                  <c:v>58.630017600000002</c:v>
                </c:pt>
                <c:pt idx="5">
                  <c:v>63.320419008000002</c:v>
                </c:pt>
                <c:pt idx="6">
                  <c:v>68.386052528640008</c:v>
                </c:pt>
                <c:pt idx="7">
                  <c:v>72.489215680358427</c:v>
                </c:pt>
                <c:pt idx="8">
                  <c:v>76.838568621179945</c:v>
                </c:pt>
                <c:pt idx="9">
                  <c:v>80.680497052238948</c:v>
                </c:pt>
                <c:pt idx="10">
                  <c:v>84.714521904850869</c:v>
                </c:pt>
                <c:pt idx="11">
                  <c:v>88.950248000093424</c:v>
                </c:pt>
              </c:numCache>
            </c:numRef>
          </c:val>
          <c:smooth val="1"/>
          <c:extLst>
            <c:ext xmlns:c16="http://schemas.microsoft.com/office/drawing/2014/chart" uri="{C3380CC4-5D6E-409C-BE32-E72D297353CC}">
              <c16:uniqueId val="{00000004-30C9-6E43-9B60-2A79EB48E78E}"/>
            </c:ext>
          </c:extLst>
        </c:ser>
        <c:ser>
          <c:idx val="5"/>
          <c:order val="5"/>
          <c:tx>
            <c:v>Customer Collections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Projection'!$G$84:$G$95</c:f>
              <c:numCache>
                <c:formatCode>\₹#,##0;[Red]\(\₹#,##0\);\-</c:formatCode>
                <c:ptCount val="12"/>
                <c:pt idx="0">
                  <c:v>79773.811919999978</c:v>
                </c:pt>
                <c:pt idx="1">
                  <c:v>91739.883707999965</c:v>
                </c:pt>
                <c:pt idx="2">
                  <c:v>102748.66975295998</c:v>
                </c:pt>
                <c:pt idx="3">
                  <c:v>113023.53672825597</c:v>
                </c:pt>
                <c:pt idx="4">
                  <c:v>124325.89040108159</c:v>
                </c:pt>
                <c:pt idx="5">
                  <c:v>134271.9616331681</c:v>
                </c:pt>
                <c:pt idx="6">
                  <c:v>145013.71856382157</c:v>
                </c:pt>
                <c:pt idx="7">
                  <c:v>153714.54167765091</c:v>
                </c:pt>
                <c:pt idx="8">
                  <c:v>162937.41417830999</c:v>
                </c:pt>
                <c:pt idx="9">
                  <c:v>171084.28488722548</c:v>
                </c:pt>
                <c:pt idx="10">
                  <c:v>179638.49913158672</c:v>
                </c:pt>
                <c:pt idx="11">
                  <c:v>188620.42408816607</c:v>
                </c:pt>
              </c:numCache>
            </c:numRef>
          </c:val>
          <c:smooth val="1"/>
          <c:extLst>
            <c:ext xmlns:c16="http://schemas.microsoft.com/office/drawing/2014/chart" uri="{C3380CC4-5D6E-409C-BE32-E72D297353CC}">
              <c16:uniqueId val="{00000005-30C9-6E43-9B60-2A79EB48E78E}"/>
            </c:ext>
          </c:extLst>
        </c:ser>
        <c:ser>
          <c:idx val="6"/>
          <c:order val="6"/>
          <c:tx>
            <c:v>Contribution</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Projection'!$H$84:$H$95</c:f>
              <c:numCache>
                <c:formatCode>\₹#,##0;[Red]\(\₹#,##0\);\-</c:formatCode>
                <c:ptCount val="12"/>
                <c:pt idx="0">
                  <c:v>56844.399258732199</c:v>
                </c:pt>
                <c:pt idx="1">
                  <c:v>65371.059147542015</c:v>
                </c:pt>
                <c:pt idx="2">
                  <c:v>73215.586245247076</c:v>
                </c:pt>
                <c:pt idx="3">
                  <c:v>80537.144869771786</c:v>
                </c:pt>
                <c:pt idx="4">
                  <c:v>88590.859356748959</c:v>
                </c:pt>
                <c:pt idx="5">
                  <c:v>95678.128105288881</c:v>
                </c:pt>
                <c:pt idx="6">
                  <c:v>103332.378353712</c:v>
                </c:pt>
                <c:pt idx="7">
                  <c:v>109532.32105493474</c:v>
                </c:pt>
                <c:pt idx="8">
                  <c:v>116104.26031823085</c:v>
                </c:pt>
                <c:pt idx="9">
                  <c:v>121909.4733341424</c:v>
                </c:pt>
                <c:pt idx="10">
                  <c:v>128004.94700084948</c:v>
                </c:pt>
                <c:pt idx="11">
                  <c:v>134405.19435089198</c:v>
                </c:pt>
              </c:numCache>
            </c:numRef>
          </c:val>
          <c:smooth val="1"/>
          <c:extLst>
            <c:ext xmlns:c16="http://schemas.microsoft.com/office/drawing/2014/chart" uri="{C3380CC4-5D6E-409C-BE32-E72D297353CC}">
              <c16:uniqueId val="{00000006-30C9-6E43-9B60-2A79EB48E78E}"/>
            </c:ext>
          </c:extLst>
        </c:ser>
        <c:ser>
          <c:idx val="7"/>
          <c:order val="7"/>
          <c:tx>
            <c:v>Fixed Cost</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Projection'!$I$84:$I$95</c:f>
              <c:numCache>
                <c:formatCode>\₹#,##0;[Red]\(\₹#,##0\);\-</c:formatCode>
                <c:ptCount val="12"/>
                <c:pt idx="0">
                  <c:v>138000</c:v>
                </c:pt>
                <c:pt idx="1">
                  <c:v>138000</c:v>
                </c:pt>
                <c:pt idx="2">
                  <c:v>138000</c:v>
                </c:pt>
                <c:pt idx="3">
                  <c:v>138000</c:v>
                </c:pt>
                <c:pt idx="4">
                  <c:v>138000</c:v>
                </c:pt>
                <c:pt idx="5">
                  <c:v>138000</c:v>
                </c:pt>
                <c:pt idx="6">
                  <c:v>138000</c:v>
                </c:pt>
                <c:pt idx="7">
                  <c:v>138000</c:v>
                </c:pt>
                <c:pt idx="8">
                  <c:v>138000</c:v>
                </c:pt>
                <c:pt idx="9">
                  <c:v>138000</c:v>
                </c:pt>
                <c:pt idx="10">
                  <c:v>138000</c:v>
                </c:pt>
                <c:pt idx="11">
                  <c:v>138000</c:v>
                </c:pt>
              </c:numCache>
            </c:numRef>
          </c:val>
          <c:smooth val="1"/>
          <c:extLst>
            <c:ext xmlns:c16="http://schemas.microsoft.com/office/drawing/2014/chart" uri="{C3380CC4-5D6E-409C-BE32-E72D297353CC}">
              <c16:uniqueId val="{00000007-30C9-6E43-9B60-2A79EB48E78E}"/>
            </c:ext>
          </c:extLst>
        </c:ser>
        <c:ser>
          <c:idx val="8"/>
          <c:order val="8"/>
          <c:tx>
            <c:v>Profit / (Loss)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Projection'!$J$84:$J$95</c:f>
              <c:numCache>
                <c:formatCode>\₹#,##0;[Red]\(\₹#,##0\);\-</c:formatCode>
                <c:ptCount val="12"/>
                <c:pt idx="0">
                  <c:v>-81155.600741267801</c:v>
                </c:pt>
                <c:pt idx="1">
                  <c:v>-72628.940852457978</c:v>
                </c:pt>
                <c:pt idx="2">
                  <c:v>-64784.413754752924</c:v>
                </c:pt>
                <c:pt idx="3">
                  <c:v>-57462.855130228214</c:v>
                </c:pt>
                <c:pt idx="4">
                  <c:v>-49409.140643251041</c:v>
                </c:pt>
                <c:pt idx="5">
                  <c:v>-42321.871894711119</c:v>
                </c:pt>
                <c:pt idx="6">
                  <c:v>-34667.621646287997</c:v>
                </c:pt>
                <c:pt idx="7">
                  <c:v>-28467.678945065258</c:v>
                </c:pt>
                <c:pt idx="8">
                  <c:v>-21895.739681769148</c:v>
                </c:pt>
                <c:pt idx="9">
                  <c:v>-16090.5266658576</c:v>
                </c:pt>
                <c:pt idx="10">
                  <c:v>-9995.0529991505173</c:v>
                </c:pt>
                <c:pt idx="11">
                  <c:v>-3594.8056491080206</c:v>
                </c:pt>
              </c:numCache>
            </c:numRef>
          </c:val>
          <c:smooth val="1"/>
          <c:extLst>
            <c:ext xmlns:c16="http://schemas.microsoft.com/office/drawing/2014/chart" uri="{C3380CC4-5D6E-409C-BE32-E72D297353CC}">
              <c16:uniqueId val="{00000008-30C9-6E43-9B60-2A79EB48E78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Completed Journeys / Month</a:t>
            </a:r>
          </a:p>
        </c:rich>
      </c:tx>
      <c:overlay val="1"/>
    </c:title>
    <c:autoTitleDeleted val="0"/>
    <c:plotArea>
      <c:layout/>
      <c:lineChart>
        <c:grouping val="standard"/>
        <c:varyColors val="0"/>
        <c:ser>
          <c:idx val="0"/>
          <c:order val="0"/>
          <c:tx>
            <c:v>Demand Growth %</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Projection'!$B$84:$B$95</c:f>
              <c:numCache>
                <c:formatCode>0.0%;[Red]\(0.0%\);\-</c:formatCode>
                <c:ptCount val="12"/>
                <c:pt idx="0">
                  <c:v>0</c:v>
                </c:pt>
                <c:pt idx="1">
                  <c:v>0.15</c:v>
                </c:pt>
                <c:pt idx="2">
                  <c:v>0.12</c:v>
                </c:pt>
                <c:pt idx="3">
                  <c:v>0.1</c:v>
                </c:pt>
                <c:pt idx="4">
                  <c:v>0.1</c:v>
                </c:pt>
                <c:pt idx="5">
                  <c:v>0.08</c:v>
                </c:pt>
                <c:pt idx="6">
                  <c:v>0.08</c:v>
                </c:pt>
                <c:pt idx="7">
                  <c:v>0.06</c:v>
                </c:pt>
                <c:pt idx="8">
                  <c:v>0.06</c:v>
                </c:pt>
                <c:pt idx="9">
                  <c:v>0.05</c:v>
                </c:pt>
                <c:pt idx="10">
                  <c:v>0.05</c:v>
                </c:pt>
                <c:pt idx="11">
                  <c:v>0.05</c:v>
                </c:pt>
              </c:numCache>
            </c:numRef>
          </c:val>
          <c:smooth val="1"/>
          <c:extLst>
            <c:ext xmlns:c16="http://schemas.microsoft.com/office/drawing/2014/chart" uri="{C3380CC4-5D6E-409C-BE32-E72D297353CC}">
              <c16:uniqueId val="{00000000-CF64-944F-8F44-156125B9B5A3}"/>
            </c:ext>
          </c:extLst>
        </c:ser>
        <c:ser>
          <c:idx val="1"/>
          <c:order val="1"/>
          <c:tx>
            <c:v>Leads / Day</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Projection'!$C$84:$C$95</c:f>
              <c:numCache>
                <c:formatCode>#,##0.0;[Red]\(#,##0.0\);\-</c:formatCode>
                <c:ptCount val="12"/>
                <c:pt idx="0">
                  <c:v>6</c:v>
                </c:pt>
                <c:pt idx="1">
                  <c:v>6.8999999999999995</c:v>
                </c:pt>
                <c:pt idx="2">
                  <c:v>7.7279999999999998</c:v>
                </c:pt>
                <c:pt idx="3">
                  <c:v>8.5007999999999999</c:v>
                </c:pt>
                <c:pt idx="4">
                  <c:v>9.3508800000000001</c:v>
                </c:pt>
                <c:pt idx="5">
                  <c:v>10.098950400000001</c:v>
                </c:pt>
                <c:pt idx="6">
                  <c:v>10.906866432000003</c:v>
                </c:pt>
                <c:pt idx="7">
                  <c:v>11.561278417920004</c:v>
                </c:pt>
                <c:pt idx="8">
                  <c:v>12.254955122995206</c:v>
                </c:pt>
                <c:pt idx="9">
                  <c:v>12.867702879144966</c:v>
                </c:pt>
                <c:pt idx="10">
                  <c:v>13.511088023102214</c:v>
                </c:pt>
                <c:pt idx="11">
                  <c:v>14.186642424257325</c:v>
                </c:pt>
              </c:numCache>
            </c:numRef>
          </c:val>
          <c:smooth val="1"/>
          <c:extLst>
            <c:ext xmlns:c16="http://schemas.microsoft.com/office/drawing/2014/chart" uri="{C3380CC4-5D6E-409C-BE32-E72D297353CC}">
              <c16:uniqueId val="{00000001-CF64-944F-8F44-156125B9B5A3}"/>
            </c:ext>
          </c:extLst>
        </c:ser>
        <c:ser>
          <c:idx val="2"/>
          <c:order val="2"/>
          <c:tx>
            <c:v>Active Angels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Projection'!$D$84:$D$95</c:f>
              <c:numCache>
                <c:formatCode>#,##0.0;[Red]\(#,##0.0\);\-</c:formatCode>
                <c:ptCount val="12"/>
                <c:pt idx="0">
                  <c:v>3</c:v>
                </c:pt>
                <c:pt idx="1">
                  <c:v>5</c:v>
                </c:pt>
                <c:pt idx="2">
                  <c:v>5</c:v>
                </c:pt>
                <c:pt idx="3">
                  <c:v>6</c:v>
                </c:pt>
                <c:pt idx="4">
                  <c:v>6</c:v>
                </c:pt>
                <c:pt idx="5">
                  <c:v>7</c:v>
                </c:pt>
                <c:pt idx="6">
                  <c:v>7</c:v>
                </c:pt>
                <c:pt idx="7">
                  <c:v>8</c:v>
                </c:pt>
                <c:pt idx="8">
                  <c:v>8</c:v>
                </c:pt>
                <c:pt idx="9">
                  <c:v>9</c:v>
                </c:pt>
                <c:pt idx="10">
                  <c:v>9</c:v>
                </c:pt>
                <c:pt idx="11">
                  <c:v>10</c:v>
                </c:pt>
              </c:numCache>
            </c:numRef>
          </c:val>
          <c:smooth val="1"/>
          <c:extLst>
            <c:ext xmlns:c16="http://schemas.microsoft.com/office/drawing/2014/chart" uri="{C3380CC4-5D6E-409C-BE32-E72D297353CC}">
              <c16:uniqueId val="{00000002-CF64-944F-8F44-156125B9B5A3}"/>
            </c:ext>
          </c:extLst>
        </c:ser>
        <c:ser>
          <c:idx val="3"/>
          <c:order val="3"/>
          <c:tx>
            <c:v>Estimated Customers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Projection'!$E$84:$E$95</c:f>
              <c:numCache>
                <c:formatCode>#,##0.0;[Red]\(#,##0.0\);\-</c:formatCode>
                <c:ptCount val="12"/>
                <c:pt idx="0">
                  <c:v>33.857999999999997</c:v>
                </c:pt>
                <c:pt idx="1">
                  <c:v>38.936699999999995</c:v>
                </c:pt>
                <c:pt idx="2">
                  <c:v>43.609104000000002</c:v>
                </c:pt>
                <c:pt idx="3">
                  <c:v>47.970014400000004</c:v>
                </c:pt>
                <c:pt idx="4">
                  <c:v>52.767015840000006</c:v>
                </c:pt>
                <c:pt idx="5">
                  <c:v>56.988377107200002</c:v>
                </c:pt>
                <c:pt idx="6">
                  <c:v>61.547447275776008</c:v>
                </c:pt>
                <c:pt idx="7">
                  <c:v>65.240294112322587</c:v>
                </c:pt>
                <c:pt idx="8">
                  <c:v>69.154711759061954</c:v>
                </c:pt>
                <c:pt idx="9">
                  <c:v>72.612447347015049</c:v>
                </c:pt>
                <c:pt idx="10">
                  <c:v>76.243069714365788</c:v>
                </c:pt>
                <c:pt idx="11">
                  <c:v>80.055223200084086</c:v>
                </c:pt>
              </c:numCache>
            </c:numRef>
          </c:val>
          <c:smooth val="1"/>
          <c:extLst>
            <c:ext xmlns:c16="http://schemas.microsoft.com/office/drawing/2014/chart" uri="{C3380CC4-5D6E-409C-BE32-E72D297353CC}">
              <c16:uniqueId val="{00000003-CF64-944F-8F44-156125B9B5A3}"/>
            </c:ext>
          </c:extLst>
        </c:ser>
        <c:ser>
          <c:idx val="4"/>
          <c:order val="4"/>
          <c:tx>
            <c:v>Completed Journeys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Projection'!$F$84:$F$95</c:f>
              <c:numCache>
                <c:formatCode>#,##0.0;[Red]\(#,##0.0\);\-</c:formatCode>
                <c:ptCount val="12"/>
                <c:pt idx="0">
                  <c:v>37.619999999999997</c:v>
                </c:pt>
                <c:pt idx="1">
                  <c:v>43.262999999999991</c:v>
                </c:pt>
                <c:pt idx="2">
                  <c:v>48.454560000000001</c:v>
                </c:pt>
                <c:pt idx="3">
                  <c:v>53.300015999999999</c:v>
                </c:pt>
                <c:pt idx="4">
                  <c:v>58.630017600000002</c:v>
                </c:pt>
                <c:pt idx="5">
                  <c:v>63.320419008000002</c:v>
                </c:pt>
                <c:pt idx="6">
                  <c:v>68.386052528640008</c:v>
                </c:pt>
                <c:pt idx="7">
                  <c:v>72.489215680358427</c:v>
                </c:pt>
                <c:pt idx="8">
                  <c:v>76.838568621179945</c:v>
                </c:pt>
                <c:pt idx="9">
                  <c:v>80.680497052238948</c:v>
                </c:pt>
                <c:pt idx="10">
                  <c:v>84.714521904850869</c:v>
                </c:pt>
                <c:pt idx="11">
                  <c:v>88.950248000093424</c:v>
                </c:pt>
              </c:numCache>
            </c:numRef>
          </c:val>
          <c:smooth val="1"/>
          <c:extLst>
            <c:ext xmlns:c16="http://schemas.microsoft.com/office/drawing/2014/chart" uri="{C3380CC4-5D6E-409C-BE32-E72D297353CC}">
              <c16:uniqueId val="{00000004-CF64-944F-8F44-156125B9B5A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Angel Utilization</a:t>
            </a:r>
          </a:p>
        </c:rich>
      </c:tx>
      <c:overlay val="1"/>
    </c:title>
    <c:autoTitleDeleted val="0"/>
    <c:plotArea>
      <c:layout/>
      <c:lineChart>
        <c:grouping val="standard"/>
        <c:varyColors val="0"/>
        <c:ser>
          <c:idx val="0"/>
          <c:order val="0"/>
          <c:tx>
            <c:v>Demand Growth %</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Projection'!$B$84:$B$95</c:f>
              <c:numCache>
                <c:formatCode>0.0%;[Red]\(0.0%\);\-</c:formatCode>
                <c:ptCount val="12"/>
                <c:pt idx="0">
                  <c:v>0</c:v>
                </c:pt>
                <c:pt idx="1">
                  <c:v>0.15</c:v>
                </c:pt>
                <c:pt idx="2">
                  <c:v>0.12</c:v>
                </c:pt>
                <c:pt idx="3">
                  <c:v>0.1</c:v>
                </c:pt>
                <c:pt idx="4">
                  <c:v>0.1</c:v>
                </c:pt>
                <c:pt idx="5">
                  <c:v>0.08</c:v>
                </c:pt>
                <c:pt idx="6">
                  <c:v>0.08</c:v>
                </c:pt>
                <c:pt idx="7">
                  <c:v>0.06</c:v>
                </c:pt>
                <c:pt idx="8">
                  <c:v>0.06</c:v>
                </c:pt>
                <c:pt idx="9">
                  <c:v>0.05</c:v>
                </c:pt>
                <c:pt idx="10">
                  <c:v>0.05</c:v>
                </c:pt>
                <c:pt idx="11">
                  <c:v>0.05</c:v>
                </c:pt>
              </c:numCache>
            </c:numRef>
          </c:val>
          <c:smooth val="1"/>
          <c:extLst>
            <c:ext xmlns:c16="http://schemas.microsoft.com/office/drawing/2014/chart" uri="{C3380CC4-5D6E-409C-BE32-E72D297353CC}">
              <c16:uniqueId val="{00000000-ECB0-094D-8727-4C62542CD6C9}"/>
            </c:ext>
          </c:extLst>
        </c:ser>
        <c:ser>
          <c:idx val="1"/>
          <c:order val="1"/>
          <c:tx>
            <c:v>Leads / Day</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Projection'!$C$84:$C$95</c:f>
              <c:numCache>
                <c:formatCode>#,##0.0;[Red]\(#,##0.0\);\-</c:formatCode>
                <c:ptCount val="12"/>
                <c:pt idx="0">
                  <c:v>6</c:v>
                </c:pt>
                <c:pt idx="1">
                  <c:v>6.8999999999999995</c:v>
                </c:pt>
                <c:pt idx="2">
                  <c:v>7.7279999999999998</c:v>
                </c:pt>
                <c:pt idx="3">
                  <c:v>8.5007999999999999</c:v>
                </c:pt>
                <c:pt idx="4">
                  <c:v>9.3508800000000001</c:v>
                </c:pt>
                <c:pt idx="5">
                  <c:v>10.098950400000001</c:v>
                </c:pt>
                <c:pt idx="6">
                  <c:v>10.906866432000003</c:v>
                </c:pt>
                <c:pt idx="7">
                  <c:v>11.561278417920004</c:v>
                </c:pt>
                <c:pt idx="8">
                  <c:v>12.254955122995206</c:v>
                </c:pt>
                <c:pt idx="9">
                  <c:v>12.867702879144966</c:v>
                </c:pt>
                <c:pt idx="10">
                  <c:v>13.511088023102214</c:v>
                </c:pt>
                <c:pt idx="11">
                  <c:v>14.186642424257325</c:v>
                </c:pt>
              </c:numCache>
            </c:numRef>
          </c:val>
          <c:smooth val="1"/>
          <c:extLst>
            <c:ext xmlns:c16="http://schemas.microsoft.com/office/drawing/2014/chart" uri="{C3380CC4-5D6E-409C-BE32-E72D297353CC}">
              <c16:uniqueId val="{00000001-ECB0-094D-8727-4C62542CD6C9}"/>
            </c:ext>
          </c:extLst>
        </c:ser>
        <c:ser>
          <c:idx val="2"/>
          <c:order val="2"/>
          <c:tx>
            <c:v>Active Angels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Projection'!$D$84:$D$95</c:f>
              <c:numCache>
                <c:formatCode>#,##0.0;[Red]\(#,##0.0\);\-</c:formatCode>
                <c:ptCount val="12"/>
                <c:pt idx="0">
                  <c:v>3</c:v>
                </c:pt>
                <c:pt idx="1">
                  <c:v>5</c:v>
                </c:pt>
                <c:pt idx="2">
                  <c:v>5</c:v>
                </c:pt>
                <c:pt idx="3">
                  <c:v>6</c:v>
                </c:pt>
                <c:pt idx="4">
                  <c:v>6</c:v>
                </c:pt>
                <c:pt idx="5">
                  <c:v>7</c:v>
                </c:pt>
                <c:pt idx="6">
                  <c:v>7</c:v>
                </c:pt>
                <c:pt idx="7">
                  <c:v>8</c:v>
                </c:pt>
                <c:pt idx="8">
                  <c:v>8</c:v>
                </c:pt>
                <c:pt idx="9">
                  <c:v>9</c:v>
                </c:pt>
                <c:pt idx="10">
                  <c:v>9</c:v>
                </c:pt>
                <c:pt idx="11">
                  <c:v>10</c:v>
                </c:pt>
              </c:numCache>
            </c:numRef>
          </c:val>
          <c:smooth val="1"/>
          <c:extLst>
            <c:ext xmlns:c16="http://schemas.microsoft.com/office/drawing/2014/chart" uri="{C3380CC4-5D6E-409C-BE32-E72D297353CC}">
              <c16:uniqueId val="{00000002-ECB0-094D-8727-4C62542CD6C9}"/>
            </c:ext>
          </c:extLst>
        </c:ser>
        <c:ser>
          <c:idx val="3"/>
          <c:order val="3"/>
          <c:tx>
            <c:v>Estimated Customers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Projection'!$E$84:$E$95</c:f>
              <c:numCache>
                <c:formatCode>#,##0.0;[Red]\(#,##0.0\);\-</c:formatCode>
                <c:ptCount val="12"/>
                <c:pt idx="0">
                  <c:v>33.857999999999997</c:v>
                </c:pt>
                <c:pt idx="1">
                  <c:v>38.936699999999995</c:v>
                </c:pt>
                <c:pt idx="2">
                  <c:v>43.609104000000002</c:v>
                </c:pt>
                <c:pt idx="3">
                  <c:v>47.970014400000004</c:v>
                </c:pt>
                <c:pt idx="4">
                  <c:v>52.767015840000006</c:v>
                </c:pt>
                <c:pt idx="5">
                  <c:v>56.988377107200002</c:v>
                </c:pt>
                <c:pt idx="6">
                  <c:v>61.547447275776008</c:v>
                </c:pt>
                <c:pt idx="7">
                  <c:v>65.240294112322587</c:v>
                </c:pt>
                <c:pt idx="8">
                  <c:v>69.154711759061954</c:v>
                </c:pt>
                <c:pt idx="9">
                  <c:v>72.612447347015049</c:v>
                </c:pt>
                <c:pt idx="10">
                  <c:v>76.243069714365788</c:v>
                </c:pt>
                <c:pt idx="11">
                  <c:v>80.055223200084086</c:v>
                </c:pt>
              </c:numCache>
            </c:numRef>
          </c:val>
          <c:smooth val="1"/>
          <c:extLst>
            <c:ext xmlns:c16="http://schemas.microsoft.com/office/drawing/2014/chart" uri="{C3380CC4-5D6E-409C-BE32-E72D297353CC}">
              <c16:uniqueId val="{00000003-ECB0-094D-8727-4C62542CD6C9}"/>
            </c:ext>
          </c:extLst>
        </c:ser>
        <c:ser>
          <c:idx val="4"/>
          <c:order val="4"/>
          <c:tx>
            <c:v>Completed Journeys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Projection'!$F$84:$F$95</c:f>
              <c:numCache>
                <c:formatCode>#,##0.0;[Red]\(#,##0.0\);\-</c:formatCode>
                <c:ptCount val="12"/>
                <c:pt idx="0">
                  <c:v>37.619999999999997</c:v>
                </c:pt>
                <c:pt idx="1">
                  <c:v>43.262999999999991</c:v>
                </c:pt>
                <c:pt idx="2">
                  <c:v>48.454560000000001</c:v>
                </c:pt>
                <c:pt idx="3">
                  <c:v>53.300015999999999</c:v>
                </c:pt>
                <c:pt idx="4">
                  <c:v>58.630017600000002</c:v>
                </c:pt>
                <c:pt idx="5">
                  <c:v>63.320419008000002</c:v>
                </c:pt>
                <c:pt idx="6">
                  <c:v>68.386052528640008</c:v>
                </c:pt>
                <c:pt idx="7">
                  <c:v>72.489215680358427</c:v>
                </c:pt>
                <c:pt idx="8">
                  <c:v>76.838568621179945</c:v>
                </c:pt>
                <c:pt idx="9">
                  <c:v>80.680497052238948</c:v>
                </c:pt>
                <c:pt idx="10">
                  <c:v>84.714521904850869</c:v>
                </c:pt>
                <c:pt idx="11">
                  <c:v>88.950248000093424</c:v>
                </c:pt>
              </c:numCache>
            </c:numRef>
          </c:val>
          <c:smooth val="1"/>
          <c:extLst>
            <c:ext xmlns:c16="http://schemas.microsoft.com/office/drawing/2014/chart" uri="{C3380CC4-5D6E-409C-BE32-E72D297353CC}">
              <c16:uniqueId val="{00000004-ECB0-094D-8727-4C62542CD6C9}"/>
            </c:ext>
          </c:extLst>
        </c:ser>
        <c:ser>
          <c:idx val="5"/>
          <c:order val="5"/>
          <c:tx>
            <c:v>Customer Collections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Projection'!$G$84:$G$95</c:f>
              <c:numCache>
                <c:formatCode>\₹#,##0;[Red]\(\₹#,##0\);\-</c:formatCode>
                <c:ptCount val="12"/>
                <c:pt idx="0">
                  <c:v>79773.811919999978</c:v>
                </c:pt>
                <c:pt idx="1">
                  <c:v>91739.883707999965</c:v>
                </c:pt>
                <c:pt idx="2">
                  <c:v>102748.66975295998</c:v>
                </c:pt>
                <c:pt idx="3">
                  <c:v>113023.53672825597</c:v>
                </c:pt>
                <c:pt idx="4">
                  <c:v>124325.89040108159</c:v>
                </c:pt>
                <c:pt idx="5">
                  <c:v>134271.9616331681</c:v>
                </c:pt>
                <c:pt idx="6">
                  <c:v>145013.71856382157</c:v>
                </c:pt>
                <c:pt idx="7">
                  <c:v>153714.54167765091</c:v>
                </c:pt>
                <c:pt idx="8">
                  <c:v>162937.41417830999</c:v>
                </c:pt>
                <c:pt idx="9">
                  <c:v>171084.28488722548</c:v>
                </c:pt>
                <c:pt idx="10">
                  <c:v>179638.49913158672</c:v>
                </c:pt>
                <c:pt idx="11">
                  <c:v>188620.42408816607</c:v>
                </c:pt>
              </c:numCache>
            </c:numRef>
          </c:val>
          <c:smooth val="1"/>
          <c:extLst>
            <c:ext xmlns:c16="http://schemas.microsoft.com/office/drawing/2014/chart" uri="{C3380CC4-5D6E-409C-BE32-E72D297353CC}">
              <c16:uniqueId val="{00000005-ECB0-094D-8727-4C62542CD6C9}"/>
            </c:ext>
          </c:extLst>
        </c:ser>
        <c:ser>
          <c:idx val="6"/>
          <c:order val="6"/>
          <c:tx>
            <c:v>Contribution</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Projection'!$H$84:$H$95</c:f>
              <c:numCache>
                <c:formatCode>\₹#,##0;[Red]\(\₹#,##0\);\-</c:formatCode>
                <c:ptCount val="12"/>
                <c:pt idx="0">
                  <c:v>56844.399258732199</c:v>
                </c:pt>
                <c:pt idx="1">
                  <c:v>65371.059147542015</c:v>
                </c:pt>
                <c:pt idx="2">
                  <c:v>73215.586245247076</c:v>
                </c:pt>
                <c:pt idx="3">
                  <c:v>80537.144869771786</c:v>
                </c:pt>
                <c:pt idx="4">
                  <c:v>88590.859356748959</c:v>
                </c:pt>
                <c:pt idx="5">
                  <c:v>95678.128105288881</c:v>
                </c:pt>
                <c:pt idx="6">
                  <c:v>103332.378353712</c:v>
                </c:pt>
                <c:pt idx="7">
                  <c:v>109532.32105493474</c:v>
                </c:pt>
                <c:pt idx="8">
                  <c:v>116104.26031823085</c:v>
                </c:pt>
                <c:pt idx="9">
                  <c:v>121909.4733341424</c:v>
                </c:pt>
                <c:pt idx="10">
                  <c:v>128004.94700084948</c:v>
                </c:pt>
                <c:pt idx="11">
                  <c:v>134405.19435089198</c:v>
                </c:pt>
              </c:numCache>
            </c:numRef>
          </c:val>
          <c:smooth val="1"/>
          <c:extLst>
            <c:ext xmlns:c16="http://schemas.microsoft.com/office/drawing/2014/chart" uri="{C3380CC4-5D6E-409C-BE32-E72D297353CC}">
              <c16:uniqueId val="{00000006-ECB0-094D-8727-4C62542CD6C9}"/>
            </c:ext>
          </c:extLst>
        </c:ser>
        <c:ser>
          <c:idx val="7"/>
          <c:order val="7"/>
          <c:tx>
            <c:v>Fixed Cost</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Projection'!$I$84:$I$95</c:f>
              <c:numCache>
                <c:formatCode>\₹#,##0;[Red]\(\₹#,##0\);\-</c:formatCode>
                <c:ptCount val="12"/>
                <c:pt idx="0">
                  <c:v>138000</c:v>
                </c:pt>
                <c:pt idx="1">
                  <c:v>138000</c:v>
                </c:pt>
                <c:pt idx="2">
                  <c:v>138000</c:v>
                </c:pt>
                <c:pt idx="3">
                  <c:v>138000</c:v>
                </c:pt>
                <c:pt idx="4">
                  <c:v>138000</c:v>
                </c:pt>
                <c:pt idx="5">
                  <c:v>138000</c:v>
                </c:pt>
                <c:pt idx="6">
                  <c:v>138000</c:v>
                </c:pt>
                <c:pt idx="7">
                  <c:v>138000</c:v>
                </c:pt>
                <c:pt idx="8">
                  <c:v>138000</c:v>
                </c:pt>
                <c:pt idx="9">
                  <c:v>138000</c:v>
                </c:pt>
                <c:pt idx="10">
                  <c:v>138000</c:v>
                </c:pt>
                <c:pt idx="11">
                  <c:v>138000</c:v>
                </c:pt>
              </c:numCache>
            </c:numRef>
          </c:val>
          <c:smooth val="1"/>
          <c:extLst>
            <c:ext xmlns:c16="http://schemas.microsoft.com/office/drawing/2014/chart" uri="{C3380CC4-5D6E-409C-BE32-E72D297353CC}">
              <c16:uniqueId val="{00000007-ECB0-094D-8727-4C62542CD6C9}"/>
            </c:ext>
          </c:extLst>
        </c:ser>
        <c:ser>
          <c:idx val="8"/>
          <c:order val="8"/>
          <c:tx>
            <c:v>Profit / (Loss)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Projection'!$J$84:$J$95</c:f>
              <c:numCache>
                <c:formatCode>\₹#,##0;[Red]\(\₹#,##0\);\-</c:formatCode>
                <c:ptCount val="12"/>
                <c:pt idx="0">
                  <c:v>-81155.600741267801</c:v>
                </c:pt>
                <c:pt idx="1">
                  <c:v>-72628.940852457978</c:v>
                </c:pt>
                <c:pt idx="2">
                  <c:v>-64784.413754752924</c:v>
                </c:pt>
                <c:pt idx="3">
                  <c:v>-57462.855130228214</c:v>
                </c:pt>
                <c:pt idx="4">
                  <c:v>-49409.140643251041</c:v>
                </c:pt>
                <c:pt idx="5">
                  <c:v>-42321.871894711119</c:v>
                </c:pt>
                <c:pt idx="6">
                  <c:v>-34667.621646287997</c:v>
                </c:pt>
                <c:pt idx="7">
                  <c:v>-28467.678945065258</c:v>
                </c:pt>
                <c:pt idx="8">
                  <c:v>-21895.739681769148</c:v>
                </c:pt>
                <c:pt idx="9">
                  <c:v>-16090.5266658576</c:v>
                </c:pt>
                <c:pt idx="10">
                  <c:v>-9995.0529991505173</c:v>
                </c:pt>
                <c:pt idx="11">
                  <c:v>-3594.8056491080206</c:v>
                </c:pt>
              </c:numCache>
            </c:numRef>
          </c:val>
          <c:smooth val="1"/>
          <c:extLst>
            <c:ext xmlns:c16="http://schemas.microsoft.com/office/drawing/2014/chart" uri="{C3380CC4-5D6E-409C-BE32-E72D297353CC}">
              <c16:uniqueId val="{00000008-ECB0-094D-8727-4C62542CD6C9}"/>
            </c:ext>
          </c:extLst>
        </c:ser>
        <c:ser>
          <c:idx val="9"/>
          <c:order val="9"/>
          <c:tx>
            <c:v>Cumulative P/L</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Projection'!$K$84:$K$95</c:f>
              <c:numCache>
                <c:formatCode>\₹#,##0;[Red]\(\₹#,##0\);\-</c:formatCode>
                <c:ptCount val="12"/>
                <c:pt idx="0">
                  <c:v>-81155.600741267801</c:v>
                </c:pt>
                <c:pt idx="1">
                  <c:v>-153784.54159372579</c:v>
                </c:pt>
                <c:pt idx="2">
                  <c:v>-218568.95534847872</c:v>
                </c:pt>
                <c:pt idx="3">
                  <c:v>-276031.81047870696</c:v>
                </c:pt>
                <c:pt idx="4">
                  <c:v>-325440.95112195797</c:v>
                </c:pt>
                <c:pt idx="5">
                  <c:v>-367762.82301666908</c:v>
                </c:pt>
                <c:pt idx="6">
                  <c:v>-402430.4446629571</c:v>
                </c:pt>
                <c:pt idx="7">
                  <c:v>-430898.12360802235</c:v>
                </c:pt>
                <c:pt idx="8">
                  <c:v>-452793.86328979151</c:v>
                </c:pt>
                <c:pt idx="9">
                  <c:v>-468884.38995564909</c:v>
                </c:pt>
                <c:pt idx="10">
                  <c:v>-478879.44295479963</c:v>
                </c:pt>
                <c:pt idx="11">
                  <c:v>-482474.24860390765</c:v>
                </c:pt>
              </c:numCache>
            </c:numRef>
          </c:val>
          <c:smooth val="1"/>
          <c:extLst>
            <c:ext xmlns:c16="http://schemas.microsoft.com/office/drawing/2014/chart" uri="{C3380CC4-5D6E-409C-BE32-E72D297353CC}">
              <c16:uniqueId val="{00000009-ECB0-094D-8727-4C62542CD6C9}"/>
            </c:ext>
          </c:extLst>
        </c:ser>
        <c:ser>
          <c:idx val="10"/>
          <c:order val="10"/>
          <c:tx>
            <c:v>Angel Utilization</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Projection'!$L$84:$L$95</c:f>
              <c:numCache>
                <c:formatCode>0.0%;[Red]\(0.0%\);\-</c:formatCode>
                <c:ptCount val="12"/>
                <c:pt idx="0">
                  <c:v>0.24139499999999997</c:v>
                </c:pt>
                <c:pt idx="1">
                  <c:v>0.16656254999999998</c:v>
                </c:pt>
                <c:pt idx="2">
                  <c:v>0.18655005599999999</c:v>
                </c:pt>
                <c:pt idx="3">
                  <c:v>0.17100421800000001</c:v>
                </c:pt>
                <c:pt idx="4">
                  <c:v>0.1881046398</c:v>
                </c:pt>
                <c:pt idx="5">
                  <c:v>0.17413115227200002</c:v>
                </c:pt>
                <c:pt idx="6">
                  <c:v>0.18806164445376003</c:v>
                </c:pt>
                <c:pt idx="7">
                  <c:v>0.17442717523086246</c:v>
                </c:pt>
                <c:pt idx="8">
                  <c:v>0.18489280574471423</c:v>
                </c:pt>
                <c:pt idx="9">
                  <c:v>0.17256661869506665</c:v>
                </c:pt>
                <c:pt idx="10">
                  <c:v>0.18119494962981994</c:v>
                </c:pt>
                <c:pt idx="11">
                  <c:v>0.17122922740017985</c:v>
                </c:pt>
              </c:numCache>
            </c:numRef>
          </c:val>
          <c:smooth val="1"/>
          <c:extLst>
            <c:ext xmlns:c16="http://schemas.microsoft.com/office/drawing/2014/chart" uri="{C3380CC4-5D6E-409C-BE32-E72D297353CC}">
              <c16:uniqueId val="{0000000A-ECB0-094D-8727-4C62542CD6C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Break-even Progression — Cumulative P/L</a:t>
            </a:r>
          </a:p>
        </c:rich>
      </c:tx>
      <c:overlay val="1"/>
    </c:title>
    <c:autoTitleDeleted val="0"/>
    <c:plotArea>
      <c:layout/>
      <c:lineChart>
        <c:grouping val="standard"/>
        <c:varyColors val="0"/>
        <c:ser>
          <c:idx val="0"/>
          <c:order val="0"/>
          <c:tx>
            <c:v>Demand Growth %</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Projection'!$B$84:$B$95</c:f>
              <c:numCache>
                <c:formatCode>0.0%;[Red]\(0.0%\);\-</c:formatCode>
                <c:ptCount val="12"/>
                <c:pt idx="0">
                  <c:v>0</c:v>
                </c:pt>
                <c:pt idx="1">
                  <c:v>0.15</c:v>
                </c:pt>
                <c:pt idx="2">
                  <c:v>0.12</c:v>
                </c:pt>
                <c:pt idx="3">
                  <c:v>0.1</c:v>
                </c:pt>
                <c:pt idx="4">
                  <c:v>0.1</c:v>
                </c:pt>
                <c:pt idx="5">
                  <c:v>0.08</c:v>
                </c:pt>
                <c:pt idx="6">
                  <c:v>0.08</c:v>
                </c:pt>
                <c:pt idx="7">
                  <c:v>0.06</c:v>
                </c:pt>
                <c:pt idx="8">
                  <c:v>0.06</c:v>
                </c:pt>
                <c:pt idx="9">
                  <c:v>0.05</c:v>
                </c:pt>
                <c:pt idx="10">
                  <c:v>0.05</c:v>
                </c:pt>
                <c:pt idx="11">
                  <c:v>0.05</c:v>
                </c:pt>
              </c:numCache>
            </c:numRef>
          </c:val>
          <c:smooth val="1"/>
          <c:extLst>
            <c:ext xmlns:c16="http://schemas.microsoft.com/office/drawing/2014/chart" uri="{C3380CC4-5D6E-409C-BE32-E72D297353CC}">
              <c16:uniqueId val="{00000000-1C1E-EE47-8E99-5A129ECB1D36}"/>
            </c:ext>
          </c:extLst>
        </c:ser>
        <c:ser>
          <c:idx val="1"/>
          <c:order val="1"/>
          <c:tx>
            <c:v>Leads / Day</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Projection'!$C$84:$C$95</c:f>
              <c:numCache>
                <c:formatCode>#,##0.0;[Red]\(#,##0.0\);\-</c:formatCode>
                <c:ptCount val="12"/>
                <c:pt idx="0">
                  <c:v>6</c:v>
                </c:pt>
                <c:pt idx="1">
                  <c:v>6.8999999999999995</c:v>
                </c:pt>
                <c:pt idx="2">
                  <c:v>7.7279999999999998</c:v>
                </c:pt>
                <c:pt idx="3">
                  <c:v>8.5007999999999999</c:v>
                </c:pt>
                <c:pt idx="4">
                  <c:v>9.3508800000000001</c:v>
                </c:pt>
                <c:pt idx="5">
                  <c:v>10.098950400000001</c:v>
                </c:pt>
                <c:pt idx="6">
                  <c:v>10.906866432000003</c:v>
                </c:pt>
                <c:pt idx="7">
                  <c:v>11.561278417920004</c:v>
                </c:pt>
                <c:pt idx="8">
                  <c:v>12.254955122995206</c:v>
                </c:pt>
                <c:pt idx="9">
                  <c:v>12.867702879144966</c:v>
                </c:pt>
                <c:pt idx="10">
                  <c:v>13.511088023102214</c:v>
                </c:pt>
                <c:pt idx="11">
                  <c:v>14.186642424257325</c:v>
                </c:pt>
              </c:numCache>
            </c:numRef>
          </c:val>
          <c:smooth val="1"/>
          <c:extLst>
            <c:ext xmlns:c16="http://schemas.microsoft.com/office/drawing/2014/chart" uri="{C3380CC4-5D6E-409C-BE32-E72D297353CC}">
              <c16:uniqueId val="{00000001-1C1E-EE47-8E99-5A129ECB1D36}"/>
            </c:ext>
          </c:extLst>
        </c:ser>
        <c:ser>
          <c:idx val="2"/>
          <c:order val="2"/>
          <c:tx>
            <c:v>Active Angels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Projection'!$D$84:$D$95</c:f>
              <c:numCache>
                <c:formatCode>#,##0.0;[Red]\(#,##0.0\);\-</c:formatCode>
                <c:ptCount val="12"/>
                <c:pt idx="0">
                  <c:v>3</c:v>
                </c:pt>
                <c:pt idx="1">
                  <c:v>5</c:v>
                </c:pt>
                <c:pt idx="2">
                  <c:v>5</c:v>
                </c:pt>
                <c:pt idx="3">
                  <c:v>6</c:v>
                </c:pt>
                <c:pt idx="4">
                  <c:v>6</c:v>
                </c:pt>
                <c:pt idx="5">
                  <c:v>7</c:v>
                </c:pt>
                <c:pt idx="6">
                  <c:v>7</c:v>
                </c:pt>
                <c:pt idx="7">
                  <c:v>8</c:v>
                </c:pt>
                <c:pt idx="8">
                  <c:v>8</c:v>
                </c:pt>
                <c:pt idx="9">
                  <c:v>9</c:v>
                </c:pt>
                <c:pt idx="10">
                  <c:v>9</c:v>
                </c:pt>
                <c:pt idx="11">
                  <c:v>10</c:v>
                </c:pt>
              </c:numCache>
            </c:numRef>
          </c:val>
          <c:smooth val="1"/>
          <c:extLst>
            <c:ext xmlns:c16="http://schemas.microsoft.com/office/drawing/2014/chart" uri="{C3380CC4-5D6E-409C-BE32-E72D297353CC}">
              <c16:uniqueId val="{00000002-1C1E-EE47-8E99-5A129ECB1D36}"/>
            </c:ext>
          </c:extLst>
        </c:ser>
        <c:ser>
          <c:idx val="3"/>
          <c:order val="3"/>
          <c:tx>
            <c:v>Estimated Customers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Projection'!$E$84:$E$95</c:f>
              <c:numCache>
                <c:formatCode>#,##0.0;[Red]\(#,##0.0\);\-</c:formatCode>
                <c:ptCount val="12"/>
                <c:pt idx="0">
                  <c:v>33.857999999999997</c:v>
                </c:pt>
                <c:pt idx="1">
                  <c:v>38.936699999999995</c:v>
                </c:pt>
                <c:pt idx="2">
                  <c:v>43.609104000000002</c:v>
                </c:pt>
                <c:pt idx="3">
                  <c:v>47.970014400000004</c:v>
                </c:pt>
                <c:pt idx="4">
                  <c:v>52.767015840000006</c:v>
                </c:pt>
                <c:pt idx="5">
                  <c:v>56.988377107200002</c:v>
                </c:pt>
                <c:pt idx="6">
                  <c:v>61.547447275776008</c:v>
                </c:pt>
                <c:pt idx="7">
                  <c:v>65.240294112322587</c:v>
                </c:pt>
                <c:pt idx="8">
                  <c:v>69.154711759061954</c:v>
                </c:pt>
                <c:pt idx="9">
                  <c:v>72.612447347015049</c:v>
                </c:pt>
                <c:pt idx="10">
                  <c:v>76.243069714365788</c:v>
                </c:pt>
                <c:pt idx="11">
                  <c:v>80.055223200084086</c:v>
                </c:pt>
              </c:numCache>
            </c:numRef>
          </c:val>
          <c:smooth val="1"/>
          <c:extLst>
            <c:ext xmlns:c16="http://schemas.microsoft.com/office/drawing/2014/chart" uri="{C3380CC4-5D6E-409C-BE32-E72D297353CC}">
              <c16:uniqueId val="{00000003-1C1E-EE47-8E99-5A129ECB1D36}"/>
            </c:ext>
          </c:extLst>
        </c:ser>
        <c:ser>
          <c:idx val="4"/>
          <c:order val="4"/>
          <c:tx>
            <c:v>Completed Journeys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Projection'!$F$84:$F$95</c:f>
              <c:numCache>
                <c:formatCode>#,##0.0;[Red]\(#,##0.0\);\-</c:formatCode>
                <c:ptCount val="12"/>
                <c:pt idx="0">
                  <c:v>37.619999999999997</c:v>
                </c:pt>
                <c:pt idx="1">
                  <c:v>43.262999999999991</c:v>
                </c:pt>
                <c:pt idx="2">
                  <c:v>48.454560000000001</c:v>
                </c:pt>
                <c:pt idx="3">
                  <c:v>53.300015999999999</c:v>
                </c:pt>
                <c:pt idx="4">
                  <c:v>58.630017600000002</c:v>
                </c:pt>
                <c:pt idx="5">
                  <c:v>63.320419008000002</c:v>
                </c:pt>
                <c:pt idx="6">
                  <c:v>68.386052528640008</c:v>
                </c:pt>
                <c:pt idx="7">
                  <c:v>72.489215680358427</c:v>
                </c:pt>
                <c:pt idx="8">
                  <c:v>76.838568621179945</c:v>
                </c:pt>
                <c:pt idx="9">
                  <c:v>80.680497052238948</c:v>
                </c:pt>
                <c:pt idx="10">
                  <c:v>84.714521904850869</c:v>
                </c:pt>
                <c:pt idx="11">
                  <c:v>88.950248000093424</c:v>
                </c:pt>
              </c:numCache>
            </c:numRef>
          </c:val>
          <c:smooth val="1"/>
          <c:extLst>
            <c:ext xmlns:c16="http://schemas.microsoft.com/office/drawing/2014/chart" uri="{C3380CC4-5D6E-409C-BE32-E72D297353CC}">
              <c16:uniqueId val="{00000004-1C1E-EE47-8E99-5A129ECB1D36}"/>
            </c:ext>
          </c:extLst>
        </c:ser>
        <c:ser>
          <c:idx val="5"/>
          <c:order val="5"/>
          <c:tx>
            <c:v>Customer Collections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Projection'!$G$84:$G$95</c:f>
              <c:numCache>
                <c:formatCode>\₹#,##0;[Red]\(\₹#,##0\);\-</c:formatCode>
                <c:ptCount val="12"/>
                <c:pt idx="0">
                  <c:v>79773.811919999978</c:v>
                </c:pt>
                <c:pt idx="1">
                  <c:v>91739.883707999965</c:v>
                </c:pt>
                <c:pt idx="2">
                  <c:v>102748.66975295998</c:v>
                </c:pt>
                <c:pt idx="3">
                  <c:v>113023.53672825597</c:v>
                </c:pt>
                <c:pt idx="4">
                  <c:v>124325.89040108159</c:v>
                </c:pt>
                <c:pt idx="5">
                  <c:v>134271.9616331681</c:v>
                </c:pt>
                <c:pt idx="6">
                  <c:v>145013.71856382157</c:v>
                </c:pt>
                <c:pt idx="7">
                  <c:v>153714.54167765091</c:v>
                </c:pt>
                <c:pt idx="8">
                  <c:v>162937.41417830999</c:v>
                </c:pt>
                <c:pt idx="9">
                  <c:v>171084.28488722548</c:v>
                </c:pt>
                <c:pt idx="10">
                  <c:v>179638.49913158672</c:v>
                </c:pt>
                <c:pt idx="11">
                  <c:v>188620.42408816607</c:v>
                </c:pt>
              </c:numCache>
            </c:numRef>
          </c:val>
          <c:smooth val="1"/>
          <c:extLst>
            <c:ext xmlns:c16="http://schemas.microsoft.com/office/drawing/2014/chart" uri="{C3380CC4-5D6E-409C-BE32-E72D297353CC}">
              <c16:uniqueId val="{00000005-1C1E-EE47-8E99-5A129ECB1D36}"/>
            </c:ext>
          </c:extLst>
        </c:ser>
        <c:ser>
          <c:idx val="6"/>
          <c:order val="6"/>
          <c:tx>
            <c:v>Contribution</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Projection'!$H$84:$H$95</c:f>
              <c:numCache>
                <c:formatCode>\₹#,##0;[Red]\(\₹#,##0\);\-</c:formatCode>
                <c:ptCount val="12"/>
                <c:pt idx="0">
                  <c:v>56844.399258732199</c:v>
                </c:pt>
                <c:pt idx="1">
                  <c:v>65371.059147542015</c:v>
                </c:pt>
                <c:pt idx="2">
                  <c:v>73215.586245247076</c:v>
                </c:pt>
                <c:pt idx="3">
                  <c:v>80537.144869771786</c:v>
                </c:pt>
                <c:pt idx="4">
                  <c:v>88590.859356748959</c:v>
                </c:pt>
                <c:pt idx="5">
                  <c:v>95678.128105288881</c:v>
                </c:pt>
                <c:pt idx="6">
                  <c:v>103332.378353712</c:v>
                </c:pt>
                <c:pt idx="7">
                  <c:v>109532.32105493474</c:v>
                </c:pt>
                <c:pt idx="8">
                  <c:v>116104.26031823085</c:v>
                </c:pt>
                <c:pt idx="9">
                  <c:v>121909.4733341424</c:v>
                </c:pt>
                <c:pt idx="10">
                  <c:v>128004.94700084948</c:v>
                </c:pt>
                <c:pt idx="11">
                  <c:v>134405.19435089198</c:v>
                </c:pt>
              </c:numCache>
            </c:numRef>
          </c:val>
          <c:smooth val="1"/>
          <c:extLst>
            <c:ext xmlns:c16="http://schemas.microsoft.com/office/drawing/2014/chart" uri="{C3380CC4-5D6E-409C-BE32-E72D297353CC}">
              <c16:uniqueId val="{00000006-1C1E-EE47-8E99-5A129ECB1D36}"/>
            </c:ext>
          </c:extLst>
        </c:ser>
        <c:ser>
          <c:idx val="7"/>
          <c:order val="7"/>
          <c:tx>
            <c:v>Fixed Cost</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Projection'!$I$84:$I$95</c:f>
              <c:numCache>
                <c:formatCode>\₹#,##0;[Red]\(\₹#,##0\);\-</c:formatCode>
                <c:ptCount val="12"/>
                <c:pt idx="0">
                  <c:v>138000</c:v>
                </c:pt>
                <c:pt idx="1">
                  <c:v>138000</c:v>
                </c:pt>
                <c:pt idx="2">
                  <c:v>138000</c:v>
                </c:pt>
                <c:pt idx="3">
                  <c:v>138000</c:v>
                </c:pt>
                <c:pt idx="4">
                  <c:v>138000</c:v>
                </c:pt>
                <c:pt idx="5">
                  <c:v>138000</c:v>
                </c:pt>
                <c:pt idx="6">
                  <c:v>138000</c:v>
                </c:pt>
                <c:pt idx="7">
                  <c:v>138000</c:v>
                </c:pt>
                <c:pt idx="8">
                  <c:v>138000</c:v>
                </c:pt>
                <c:pt idx="9">
                  <c:v>138000</c:v>
                </c:pt>
                <c:pt idx="10">
                  <c:v>138000</c:v>
                </c:pt>
                <c:pt idx="11">
                  <c:v>138000</c:v>
                </c:pt>
              </c:numCache>
            </c:numRef>
          </c:val>
          <c:smooth val="1"/>
          <c:extLst>
            <c:ext xmlns:c16="http://schemas.microsoft.com/office/drawing/2014/chart" uri="{C3380CC4-5D6E-409C-BE32-E72D297353CC}">
              <c16:uniqueId val="{00000007-1C1E-EE47-8E99-5A129ECB1D36}"/>
            </c:ext>
          </c:extLst>
        </c:ser>
        <c:ser>
          <c:idx val="8"/>
          <c:order val="8"/>
          <c:tx>
            <c:v>Profit / (Loss)</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Projection'!$J$84:$J$95</c:f>
              <c:numCache>
                <c:formatCode>\₹#,##0;[Red]\(\₹#,##0\);\-</c:formatCode>
                <c:ptCount val="12"/>
                <c:pt idx="0">
                  <c:v>-81155.600741267801</c:v>
                </c:pt>
                <c:pt idx="1">
                  <c:v>-72628.940852457978</c:v>
                </c:pt>
                <c:pt idx="2">
                  <c:v>-64784.413754752924</c:v>
                </c:pt>
                <c:pt idx="3">
                  <c:v>-57462.855130228214</c:v>
                </c:pt>
                <c:pt idx="4">
                  <c:v>-49409.140643251041</c:v>
                </c:pt>
                <c:pt idx="5">
                  <c:v>-42321.871894711119</c:v>
                </c:pt>
                <c:pt idx="6">
                  <c:v>-34667.621646287997</c:v>
                </c:pt>
                <c:pt idx="7">
                  <c:v>-28467.678945065258</c:v>
                </c:pt>
                <c:pt idx="8">
                  <c:v>-21895.739681769148</c:v>
                </c:pt>
                <c:pt idx="9">
                  <c:v>-16090.5266658576</c:v>
                </c:pt>
                <c:pt idx="10">
                  <c:v>-9995.0529991505173</c:v>
                </c:pt>
                <c:pt idx="11">
                  <c:v>-3594.8056491080206</c:v>
                </c:pt>
              </c:numCache>
            </c:numRef>
          </c:val>
          <c:smooth val="1"/>
          <c:extLst>
            <c:ext xmlns:c16="http://schemas.microsoft.com/office/drawing/2014/chart" uri="{C3380CC4-5D6E-409C-BE32-E72D297353CC}">
              <c16:uniqueId val="{00000008-1C1E-EE47-8E99-5A129ECB1D36}"/>
            </c:ext>
          </c:extLst>
        </c:ser>
        <c:ser>
          <c:idx val="9"/>
          <c:order val="9"/>
          <c:tx>
            <c:v>Cumulative P/L</c:v>
          </c:tx>
          <c:marker>
            <c:symbol val="none"/>
          </c:marker>
          <c:cat>
            <c:strRef>
              <c:f>'Whitefield Monthly Projection'!$A$84:$A$95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'Whitefield Monthly Projection'!$K$84:$K$95</c:f>
              <c:numCache>
                <c:formatCode>\₹#,##0;[Red]\(\₹#,##0\);\-</c:formatCode>
                <c:ptCount val="12"/>
                <c:pt idx="0">
                  <c:v>-81155.600741267801</c:v>
                </c:pt>
                <c:pt idx="1">
                  <c:v>-153784.54159372579</c:v>
                </c:pt>
                <c:pt idx="2">
                  <c:v>-218568.95534847872</c:v>
                </c:pt>
                <c:pt idx="3">
                  <c:v>-276031.81047870696</c:v>
                </c:pt>
                <c:pt idx="4">
                  <c:v>-325440.95112195797</c:v>
                </c:pt>
                <c:pt idx="5">
                  <c:v>-367762.82301666908</c:v>
                </c:pt>
                <c:pt idx="6">
                  <c:v>-402430.4446629571</c:v>
                </c:pt>
                <c:pt idx="7">
                  <c:v>-430898.12360802235</c:v>
                </c:pt>
                <c:pt idx="8">
                  <c:v>-452793.86328979151</c:v>
                </c:pt>
                <c:pt idx="9">
                  <c:v>-468884.38995564909</c:v>
                </c:pt>
                <c:pt idx="10">
                  <c:v>-478879.44295479963</c:v>
                </c:pt>
                <c:pt idx="11">
                  <c:v>-482474.24860390765</c:v>
                </c:pt>
              </c:numCache>
            </c:numRef>
          </c:val>
          <c:smooth val="1"/>
          <c:extLst>
            <c:ext xmlns:c16="http://schemas.microsoft.com/office/drawing/2014/chart" uri="{C3380CC4-5D6E-409C-BE32-E72D297353CC}">
              <c16:uniqueId val="{00000009-1C1E-EE47-8E99-5A129ECB1D3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Profit vs Journeys / Day</a:t>
            </a:r>
          </a:p>
        </c:rich>
      </c:tx>
      <c:overlay val="1"/>
    </c:title>
    <c:autoTitleDeleted val="0"/>
    <c:plotArea>
      <c:layout/>
      <c:lineChart>
        <c:grouping val="standard"/>
        <c:varyColors val="0"/>
        <c:ser>
          <c:idx val="0"/>
          <c:order val="0"/>
          <c:tx>
            <c:v>Monthly Operating Profit</c:v>
          </c:tx>
          <c:marker>
            <c:symbol val="none"/>
          </c:marker>
          <c:cat>
            <c:numRef>
              <c:f>'Path to Profitability'!$U$77:$U$84</c:f>
              <c:numCache>
                <c:formatCode>General</c:formatCode>
                <c:ptCount val="8"/>
                <c:pt idx="0">
                  <c:v>3</c:v>
                </c:pt>
                <c:pt idx="1">
                  <c:v>5</c:v>
                </c:pt>
                <c:pt idx="2">
                  <c:v>8</c:v>
                </c:pt>
                <c:pt idx="3">
                  <c:v>10</c:v>
                </c:pt>
                <c:pt idx="4">
                  <c:v>12</c:v>
                </c:pt>
                <c:pt idx="5">
                  <c:v>15</c:v>
                </c:pt>
                <c:pt idx="6">
                  <c:v>20</c:v>
                </c:pt>
                <c:pt idx="7">
                  <c:v>25</c:v>
                </c:pt>
              </c:numCache>
            </c:numRef>
          </c:cat>
          <c:val>
            <c:numRef>
              <c:f>'Path to Profitability'!$V$77:$V$84</c:f>
              <c:numCache>
                <c:formatCode>\₹#,##0;[Red]\(\₹#,##0\);\-</c:formatCode>
                <c:ptCount val="8"/>
                <c:pt idx="0">
                  <c:v>25991.38578644066</c:v>
                </c:pt>
                <c:pt idx="1">
                  <c:v>116652.30964406778</c:v>
                </c:pt>
                <c:pt idx="2">
                  <c:v>252643.69543050847</c:v>
                </c:pt>
                <c:pt idx="3">
                  <c:v>343304.61928813555</c:v>
                </c:pt>
                <c:pt idx="4">
                  <c:v>433965.54314576264</c:v>
                </c:pt>
                <c:pt idx="5">
                  <c:v>569956.92893220333</c:v>
                </c:pt>
                <c:pt idx="6">
                  <c:v>796609.23857627111</c:v>
                </c:pt>
                <c:pt idx="7">
                  <c:v>1023261.548220339</c:v>
                </c:pt>
              </c:numCache>
            </c:numRef>
          </c:val>
          <c:smooth val="1"/>
          <c:extLst>
            <c:ext xmlns:c16="http://schemas.microsoft.com/office/drawing/2014/chart" uri="{C3380CC4-5D6E-409C-BE32-E72D297353CC}">
              <c16:uniqueId val="{00000000-12F5-F943-9828-DC10F60E17E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Profit vs Average Service Price</a:t>
            </a:r>
          </a:p>
        </c:rich>
      </c:tx>
      <c:overlay val="1"/>
    </c:title>
    <c:autoTitleDeleted val="0"/>
    <c:plotArea>
      <c:layout/>
      <c:lineChart>
        <c:grouping val="standard"/>
        <c:varyColors val="0"/>
        <c:ser>
          <c:idx val="0"/>
          <c:order val="0"/>
          <c:tx>
            <c:v>Monthly Operating Profit</c:v>
          </c:tx>
          <c:marker>
            <c:symbol val="none"/>
          </c:marker>
          <c:cat>
            <c:numRef>
              <c:f>'Path to Profitability'!$U$87:$U$92</c:f>
              <c:numCache>
                <c:formatCode>\₹#,##0;[Red]\(\₹#,##0\);\-</c:formatCode>
                <c:ptCount val="6"/>
                <c:pt idx="0">
                  <c:v>1499</c:v>
                </c:pt>
                <c:pt idx="1">
                  <c:v>1699</c:v>
                </c:pt>
                <c:pt idx="2">
                  <c:v>1799</c:v>
                </c:pt>
                <c:pt idx="3">
                  <c:v>1999</c:v>
                </c:pt>
                <c:pt idx="4">
                  <c:v>2199</c:v>
                </c:pt>
                <c:pt idx="5">
                  <c:v>2499</c:v>
                </c:pt>
              </c:numCache>
            </c:numRef>
          </c:cat>
          <c:val>
            <c:numRef>
              <c:f>'Path to Profitability'!$V$87:$V$92</c:f>
              <c:numCache>
                <c:formatCode>\₹#,##0;[Red]\(\₹#,##0\);\-</c:formatCode>
                <c:ptCount val="6"/>
                <c:pt idx="0">
                  <c:v>-64693.973554827106</c:v>
                </c:pt>
                <c:pt idx="1">
                  <c:v>-58317.702368386432</c:v>
                </c:pt>
                <c:pt idx="2">
                  <c:v>-55129.566775166088</c:v>
                </c:pt>
                <c:pt idx="3">
                  <c:v>-48753.295588725414</c:v>
                </c:pt>
                <c:pt idx="4">
                  <c:v>-42377.024402284733</c:v>
                </c:pt>
                <c:pt idx="5">
                  <c:v>-32812.617622623715</c:v>
                </c:pt>
              </c:numCache>
            </c:numRef>
          </c:val>
          <c:smooth val="1"/>
          <c:extLst>
            <c:ext xmlns:c16="http://schemas.microsoft.com/office/drawing/2014/chart" uri="{C3380CC4-5D6E-409C-BE32-E72D297353CC}">
              <c16:uniqueId val="{00000000-B8EB-7048-9EAB-87B2AE4C57D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Red]\(\₹#,##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Profit vs Fixed Monthly Cost</a:t>
            </a:r>
          </a:p>
        </c:rich>
      </c:tx>
      <c:overlay val="1"/>
    </c:title>
    <c:autoTitleDeleted val="0"/>
    <c:plotArea>
      <c:layout/>
      <c:lineChart>
        <c:grouping val="standard"/>
        <c:varyColors val="0"/>
        <c:ser>
          <c:idx val="0"/>
          <c:order val="0"/>
          <c:tx>
            <c:v>Monthly Operating Profit</c:v>
          </c:tx>
          <c:marker>
            <c:symbol val="none"/>
          </c:marker>
          <c:cat>
            <c:numRef>
              <c:f>'Path to Profitability'!$U$95:$U$101</c:f>
              <c:numCache>
                <c:formatCode>\₹#,##0;[Red]\(\₹#,##0\);\-</c:formatCode>
                <c:ptCount val="7"/>
                <c:pt idx="0">
                  <c:v>75000</c:v>
                </c:pt>
                <c:pt idx="1">
                  <c:v>100000</c:v>
                </c:pt>
                <c:pt idx="2">
                  <c:v>125000</c:v>
                </c:pt>
                <c:pt idx="3">
                  <c:v>150000</c:v>
                </c:pt>
                <c:pt idx="4">
                  <c:v>200000</c:v>
                </c:pt>
                <c:pt idx="5">
                  <c:v>240000</c:v>
                </c:pt>
                <c:pt idx="6">
                  <c:v>300000</c:v>
                </c:pt>
              </c:numCache>
            </c:numRef>
          </c:cat>
          <c:val>
            <c:numRef>
              <c:f>'Path to Profitability'!$V$95:$V$101</c:f>
              <c:numCache>
                <c:formatCode>\₹#,##0;[Red]\(\₹#,##0\);\-</c:formatCode>
                <c:ptCount val="7"/>
                <c:pt idx="0">
                  <c:v>-18155.600741267794</c:v>
                </c:pt>
                <c:pt idx="1">
                  <c:v>-43155.600741267794</c:v>
                </c:pt>
                <c:pt idx="2">
                  <c:v>-68155.600741267786</c:v>
                </c:pt>
                <c:pt idx="3">
                  <c:v>-93155.600741267786</c:v>
                </c:pt>
                <c:pt idx="4">
                  <c:v>-143155.60074126779</c:v>
                </c:pt>
                <c:pt idx="5">
                  <c:v>-183155.60074126779</c:v>
                </c:pt>
                <c:pt idx="6">
                  <c:v>-243155.60074126779</c:v>
                </c:pt>
              </c:numCache>
            </c:numRef>
          </c:val>
          <c:smooth val="1"/>
          <c:extLst>
            <c:ext xmlns:c16="http://schemas.microsoft.com/office/drawing/2014/chart" uri="{C3380CC4-5D6E-409C-BE32-E72D297353CC}">
              <c16:uniqueId val="{00000000-9FAF-4241-B7C0-D815F33801D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Red]\(\₹#,##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Profit vs Angel Utilization</a:t>
            </a:r>
          </a:p>
        </c:rich>
      </c:tx>
      <c:overlay val="1"/>
    </c:title>
    <c:autoTitleDeleted val="0"/>
    <c:plotArea>
      <c:layout/>
      <c:lineChart>
        <c:grouping val="standard"/>
        <c:varyColors val="0"/>
        <c:ser>
          <c:idx val="0"/>
          <c:order val="0"/>
          <c:tx>
            <c:v>Operating Profit</c:v>
          </c:tx>
          <c:marker>
            <c:symbol val="none"/>
          </c:marker>
          <c:cat>
            <c:numRef>
              <c:f>'Path to Profitability'!$U$104:$U$110</c:f>
              <c:numCache>
                <c:formatCode>0.0%;[Red]\(0.0%\);\-</c:formatCode>
                <c:ptCount val="7"/>
                <c:pt idx="0">
                  <c:v>0.3</c:v>
                </c:pt>
                <c:pt idx="1">
                  <c:v>0.4</c:v>
                </c:pt>
                <c:pt idx="2">
                  <c:v>0.5</c:v>
                </c:pt>
                <c:pt idx="3">
                  <c:v>0.6</c:v>
                </c:pt>
                <c:pt idx="4">
                  <c:v>0.7</c:v>
                </c:pt>
                <c:pt idx="5">
                  <c:v>0.8</c:v>
                </c:pt>
                <c:pt idx="6">
                  <c:v>0.9</c:v>
                </c:pt>
              </c:numCache>
            </c:numRef>
          </c:cat>
          <c:val>
            <c:numRef>
              <c:f>'Path to Profitability'!$V$104:$V$110</c:f>
              <c:numCache>
                <c:formatCode>\₹#,##0;[Red]\(\₹#,##0\);\-</c:formatCode>
                <c:ptCount val="7"/>
                <c:pt idx="0">
                  <c:v>-125155.60074126779</c:v>
                </c:pt>
                <c:pt idx="1">
                  <c:v>-125155.60074126779</c:v>
                </c:pt>
                <c:pt idx="2">
                  <c:v>-125155.60074126779</c:v>
                </c:pt>
                <c:pt idx="3">
                  <c:v>-125155.60074126779</c:v>
                </c:pt>
                <c:pt idx="4">
                  <c:v>-125155.60074126779</c:v>
                </c:pt>
                <c:pt idx="5">
                  <c:v>-125155.60074126779</c:v>
                </c:pt>
                <c:pt idx="6">
                  <c:v>-125155.60074126779</c:v>
                </c:pt>
              </c:numCache>
            </c:numRef>
          </c:val>
          <c:smooth val="1"/>
          <c:extLst>
            <c:ext xmlns:c16="http://schemas.microsoft.com/office/drawing/2014/chart" uri="{C3380CC4-5D6E-409C-BE32-E72D297353CC}">
              <c16:uniqueId val="{00000000-711C-E140-A780-D6BAC9E86D7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Red]\(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Contribution by Selected Services</a:t>
            </a:r>
          </a:p>
        </c:rich>
      </c:tx>
      <c:overlay val="1"/>
    </c:title>
    <c:autoTitleDeleted val="0"/>
    <c:plotArea>
      <c:layout/>
      <c:barChart>
        <c:barDir val="col"/>
        <c:grouping val="clustered"/>
        <c:varyColors val="0"/>
        <c:ser>
          <c:idx val="0"/>
          <c:order val="0"/>
          <c:tx>
            <c:v>Contribution / Journey</c:v>
          </c:tx>
          <c:invertIfNegative val="1"/>
          <c:cat>
            <c:strRef>
              <c:f>'Path to Profitability'!$U$113:$U$124</c:f>
              <c:strCache>
                <c:ptCount val="12"/>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pt idx="10">
                  <c:v>Pre-Surgery Concierge</c:v>
                </c:pt>
                <c:pt idx="11">
                  <c:v>Post-Surgery Follow-up</c:v>
                </c:pt>
              </c:strCache>
            </c:strRef>
          </c:cat>
          <c:val>
            <c:numRef>
              <c:f>'Path to Profitability'!$V$113:$V$124</c:f>
              <c:numCache>
                <c:formatCode>\₹#,##0;[Red]\(\₹#,##0\);\-</c:formatCode>
                <c:ptCount val="12"/>
                <c:pt idx="0">
                  <c:v>1132.4783898305086</c:v>
                </c:pt>
                <c:pt idx="1">
                  <c:v>743.79866101694927</c:v>
                </c:pt>
                <c:pt idx="2">
                  <c:v>598.04376271186447</c:v>
                </c:pt>
                <c:pt idx="3">
                  <c:v>780.23738559322032</c:v>
                </c:pt>
                <c:pt idx="4">
                  <c:v>1253.9408050847455</c:v>
                </c:pt>
                <c:pt idx="5">
                  <c:v>1278.2332881355933</c:v>
                </c:pt>
                <c:pt idx="6">
                  <c:v>1229.6483220338985</c:v>
                </c:pt>
                <c:pt idx="7">
                  <c:v>2881.5371694915252</c:v>
                </c:pt>
                <c:pt idx="8">
                  <c:v>2881.5371694915252</c:v>
                </c:pt>
                <c:pt idx="9">
                  <c:v>1909.8378474576273</c:v>
                </c:pt>
                <c:pt idx="10">
                  <c:v>1229.6483220338985</c:v>
                </c:pt>
                <c:pt idx="11">
                  <c:v>889.55355932203383</c:v>
                </c:pt>
              </c:numCache>
            </c:numRef>
          </c:val>
          <c:extLst>
            <c:ext xmlns:c16="http://schemas.microsoft.com/office/drawing/2014/chart" uri="{C3380CC4-5D6E-409C-BE32-E72D297353CC}">
              <c16:uniqueId val="{00000000-EDD9-B54B-8FEB-97D6E1C8177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Recurring vs One-Time Revenue</a:t>
            </a:r>
          </a:p>
        </c:rich>
      </c:tx>
      <c:overlay val="1"/>
    </c:title>
    <c:autoTitleDeleted val="0"/>
    <c:plotArea>
      <c:layout/>
      <c:barChart>
        <c:barDir val="col"/>
        <c:grouping val="clustered"/>
        <c:varyColors val="0"/>
        <c:ser>
          <c:idx val="0"/>
          <c:order val="0"/>
          <c:tx>
            <c:v>Monthly Revenue</c:v>
          </c:tx>
          <c:invertIfNegative val="1"/>
          <c:cat>
            <c:strRef>
              <c:f>'Path to Profitability'!$U$127:$U$128</c:f>
              <c:strCache>
                <c:ptCount val="2"/>
                <c:pt idx="0">
                  <c:v>Recurring</c:v>
                </c:pt>
                <c:pt idx="1">
                  <c:v>One-time / other</c:v>
                </c:pt>
              </c:strCache>
            </c:strRef>
          </c:cat>
          <c:val>
            <c:numRef>
              <c:f>'Path to Profitability'!$V$127:$V$128</c:f>
              <c:numCache>
                <c:formatCode>\₹#,##0;[Red]\(\₹#,##0\);\-</c:formatCode>
                <c:ptCount val="2"/>
                <c:pt idx="0">
                  <c:v>66699.199999999997</c:v>
                </c:pt>
                <c:pt idx="1">
                  <c:v>13074.61192000001</c:v>
                </c:pt>
              </c:numCache>
            </c:numRef>
          </c:val>
          <c:extLst>
            <c:ext xmlns:c16="http://schemas.microsoft.com/office/drawing/2014/chart" uri="{C3380CC4-5D6E-409C-BE32-E72D297353CC}">
              <c16:uniqueId val="{00000000-7A43-364E-A155-F69A3A599FC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Cash Runway</a:t>
            </a:r>
          </a:p>
        </c:rich>
      </c:tx>
      <c:overlay val="1"/>
    </c:title>
    <c:autoTitleDeleted val="0"/>
    <c:plotArea>
      <c:layout/>
      <c:lineChart>
        <c:grouping val="standard"/>
        <c:varyColors val="0"/>
        <c:ser>
          <c:idx val="0"/>
          <c:order val="0"/>
          <c:tx>
            <c:v>Ending Cash</c:v>
          </c:tx>
          <c:marker>
            <c:symbol val="none"/>
          </c:marker>
          <c:cat>
            <c:strRef>
              <c:f>'Path to Profitability'!$U$131:$U$142</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'Path to Profitability'!$V$131:$V$142</c:f>
              <c:numCache>
                <c:formatCode>\₹#,##0;[Red]\(\₹#,##0\);\-</c:formatCode>
                <c:ptCount val="12"/>
                <c:pt idx="0">
                  <c:v>1174844.3992587323</c:v>
                </c:pt>
                <c:pt idx="1">
                  <c:v>1056510.1264285124</c:v>
                </c:pt>
                <c:pt idx="2">
                  <c:v>945815.74085866613</c:v>
                </c:pt>
                <c:pt idx="3">
                  <c:v>843678.02902043832</c:v>
                </c:pt>
                <c:pt idx="4">
                  <c:v>751123.79176162311</c:v>
                </c:pt>
                <c:pt idx="5">
                  <c:v>669303.04603175004</c:v>
                </c:pt>
                <c:pt idx="6">
                  <c:v>599503.81081429229</c:v>
                </c:pt>
                <c:pt idx="7">
                  <c:v>543168.66737073963</c:v>
                </c:pt>
                <c:pt idx="8">
                  <c:v>501913.3067139606</c:v>
                </c:pt>
                <c:pt idx="9">
                  <c:v>477547.30277836812</c:v>
                </c:pt>
                <c:pt idx="10">
                  <c:v>472097.37837050454</c:v>
                </c:pt>
                <c:pt idx="11">
                  <c:v>487833.46303369734</c:v>
                </c:pt>
              </c:numCache>
            </c:numRef>
          </c:val>
          <c:smooth val="1"/>
          <c:extLst>
            <c:ext xmlns:c16="http://schemas.microsoft.com/office/drawing/2014/chart" uri="{C3380CC4-5D6E-409C-BE32-E72D297353CC}">
              <c16:uniqueId val="{00000000-0285-074C-B5FE-27DEE5D8E82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Path to Break-even — Strategy Profit</a:t>
            </a:r>
          </a:p>
        </c:rich>
      </c:tx>
      <c:overlay val="1"/>
    </c:title>
    <c:autoTitleDeleted val="0"/>
    <c:plotArea>
      <c:layout/>
      <c:barChart>
        <c:barDir val="col"/>
        <c:grouping val="clustered"/>
        <c:varyColors val="0"/>
        <c:ser>
          <c:idx val="0"/>
          <c:order val="0"/>
          <c:tx>
            <c:v>Monthly Profit</c:v>
          </c:tx>
          <c:invertIfNegative val="0"/>
          <c:cat>
            <c:strRef>
              <c:f>'Path to Profitability'!$U$145:$U$150</c:f>
              <c:strCache>
                <c:ptCount val="6"/>
                <c:pt idx="0">
                  <c:v>A — Lean MVP</c:v>
                </c:pt>
                <c:pt idx="1">
                  <c:v>B — Volume Growth</c:v>
                </c:pt>
                <c:pt idx="2">
                  <c:v>C — Pricing Improvement</c:v>
                </c:pt>
                <c:pt idx="3">
                  <c:v>D — Better Service Mix</c:v>
                </c:pt>
                <c:pt idx="4">
                  <c:v>E — Repeat Customer Engine</c:v>
                </c:pt>
                <c:pt idx="5">
                  <c:v>F — Hybrid</c:v>
                </c:pt>
              </c:strCache>
            </c:strRef>
          </c:cat>
          <c:val>
            <c:numRef>
              <c:f>'Path to Profitability'!$V$145:$V$150</c:f>
              <c:numCache>
                <c:formatCode>\₹#,##0;[Red]\(\₹#,##0\);\-</c:formatCode>
                <c:ptCount val="6"/>
                <c:pt idx="0">
                  <c:v>-125155.60074126779</c:v>
                </c:pt>
                <c:pt idx="1">
                  <c:v>0</c:v>
                </c:pt>
                <c:pt idx="2">
                  <c:v>0</c:v>
                </c:pt>
                <c:pt idx="3">
                  <c:v>0</c:v>
                </c:pt>
                <c:pt idx="4">
                  <c:v>0</c:v>
                </c:pt>
                <c:pt idx="5">
                  <c:v>140266.86600082525</c:v>
                </c:pt>
              </c:numCache>
            </c:numRef>
          </c:val>
          <c:extLst>
            <c:ext xmlns:c16="http://schemas.microsoft.com/office/drawing/2014/chart" uri="{C3380CC4-5D6E-409C-BE32-E72D297353CC}">
              <c16:uniqueId val="{00000000-CA6C-F84F-84E6-3AAF533E35B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Profit vs Hourly Price</a:t>
            </a:r>
          </a:p>
        </c:rich>
      </c:tx>
      <c:overlay val="1"/>
    </c:title>
    <c:autoTitleDeleted val="0"/>
    <c:plotArea>
      <c:layout/>
      <c:lineChart>
        <c:grouping val="standard"/>
        <c:varyColors val="1"/>
        <c:ser>
          <c:idx val="0"/>
          <c:order val="0"/>
          <c:tx>
            <c:v>Monthly Profit</c:v>
          </c:tx>
          <c:marker>
            <c:symbol val="none"/>
          </c:marker>
          <c:cat>
            <c:numRef>
              <c:f>'Growth &amp; Pricing Strategy'!$AO$3:$AO$7</c:f>
              <c:numCache>
                <c:formatCode>\₹#,##0;[Red]\(\₹#,##0\);\-</c:formatCode>
                <c:ptCount val="5"/>
                <c:pt idx="0">
                  <c:v>249</c:v>
                </c:pt>
                <c:pt idx="1">
                  <c:v>299</c:v>
                </c:pt>
                <c:pt idx="2">
                  <c:v>349</c:v>
                </c:pt>
                <c:pt idx="3">
                  <c:v>399</c:v>
                </c:pt>
                <c:pt idx="4">
                  <c:v>449</c:v>
                </c:pt>
              </c:numCache>
            </c:numRef>
          </c:cat>
          <c:val>
            <c:numRef>
              <c:f>'Growth &amp; Pricing Strategy'!$AP$3:$AP$7</c:f>
              <c:numCache>
                <c:formatCode>\₹#,##0;[Red]\(\₹#,##0\);\-</c:formatCode>
                <c:ptCount val="5"/>
                <c:pt idx="0">
                  <c:v>-17650.927864113241</c:v>
                </c:pt>
                <c:pt idx="1">
                  <c:v>-4067.362053647259</c:v>
                </c:pt>
                <c:pt idx="2">
                  <c:v>-1193.8737816314388</c:v>
                </c:pt>
                <c:pt idx="3">
                  <c:v>6191.1645258695935</c:v>
                </c:pt>
                <c:pt idx="4">
                  <c:v>15831.977851113188</c:v>
                </c:pt>
              </c:numCache>
            </c:numRef>
          </c:val>
          <c:smooth val="1"/>
          <c:extLst>
            <c:ext xmlns:c16="http://schemas.microsoft.com/office/drawing/2014/chart" uri="{C3380CC4-5D6E-409C-BE32-E72D297353CC}">
              <c16:uniqueId val="{00000000-AB34-2B4C-8EF7-AAC5B2F6C3E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Red]\(\₹#,##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Conversion vs Hourly Price</a:t>
            </a:r>
          </a:p>
        </c:rich>
      </c:tx>
      <c:overlay val="1"/>
    </c:title>
    <c:autoTitleDeleted val="0"/>
    <c:plotArea>
      <c:layout/>
      <c:lineChart>
        <c:grouping val="standard"/>
        <c:varyColors val="1"/>
        <c:ser>
          <c:idx val="0"/>
          <c:order val="0"/>
          <c:tx>
            <c:v>Conversion</c:v>
          </c:tx>
          <c:marker>
            <c:symbol val="none"/>
          </c:marker>
          <c:cat>
            <c:numRef>
              <c:f>'Growth &amp; Pricing Strategy'!$AR$3:$AR$7</c:f>
              <c:numCache>
                <c:formatCode>\₹#,##0;[Red]\(\₹#,##0\);\-</c:formatCode>
                <c:ptCount val="5"/>
                <c:pt idx="0">
                  <c:v>249</c:v>
                </c:pt>
                <c:pt idx="1">
                  <c:v>299</c:v>
                </c:pt>
                <c:pt idx="2">
                  <c:v>349</c:v>
                </c:pt>
                <c:pt idx="3">
                  <c:v>399</c:v>
                </c:pt>
                <c:pt idx="4">
                  <c:v>449</c:v>
                </c:pt>
              </c:numCache>
            </c:numRef>
          </c:cat>
          <c:val>
            <c:numRef>
              <c:f>'Growth &amp; Pricing Strategy'!$AS$3:$AS$7</c:f>
              <c:numCache>
                <c:formatCode>0.0%;[Red]\(0.0%\);\-</c:formatCode>
                <c:ptCount val="5"/>
                <c:pt idx="0">
                  <c:v>0.5</c:v>
                </c:pt>
                <c:pt idx="1">
                  <c:v>0.45</c:v>
                </c:pt>
                <c:pt idx="2">
                  <c:v>0.4</c:v>
                </c:pt>
                <c:pt idx="3">
                  <c:v>0.37</c:v>
                </c:pt>
                <c:pt idx="4">
                  <c:v>0.35</c:v>
                </c:pt>
              </c:numCache>
            </c:numRef>
          </c:val>
          <c:smooth val="1"/>
          <c:extLst>
            <c:ext xmlns:c16="http://schemas.microsoft.com/office/drawing/2014/chart" uri="{C3380CC4-5D6E-409C-BE32-E72D297353CC}">
              <c16:uniqueId val="{00000000-1C6B-504D-B8F9-DCBCB09356F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Red]\(\₹#,##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Profit vs Journeys / Day</a:t>
            </a:r>
          </a:p>
        </c:rich>
      </c:tx>
      <c:overlay val="1"/>
    </c:title>
    <c:autoTitleDeleted val="0"/>
    <c:plotArea>
      <c:layout/>
      <c:lineChart>
        <c:grouping val="standard"/>
        <c:varyColors val="1"/>
        <c:ser>
          <c:idx val="0"/>
          <c:order val="0"/>
          <c:tx>
            <c:v>Monthly Profit</c:v>
          </c:tx>
          <c:marker>
            <c:symbol val="none"/>
          </c:marker>
          <c:cat>
            <c:numRef>
              <c:f>'Growth &amp; Pricing Strategy'!$AU$3:$AU$9</c:f>
              <c:numCache>
                <c:formatCode>General</c:formatCode>
                <c:ptCount val="7"/>
                <c:pt idx="0">
                  <c:v>3</c:v>
                </c:pt>
                <c:pt idx="1">
                  <c:v>5</c:v>
                </c:pt>
                <c:pt idx="2">
                  <c:v>8</c:v>
                </c:pt>
                <c:pt idx="3">
                  <c:v>10</c:v>
                </c:pt>
                <c:pt idx="4">
                  <c:v>12</c:v>
                </c:pt>
                <c:pt idx="5">
                  <c:v>15</c:v>
                </c:pt>
                <c:pt idx="6">
                  <c:v>20</c:v>
                </c:pt>
              </c:numCache>
            </c:numRef>
          </c:cat>
          <c:val>
            <c:numRef>
              <c:f>'Growth &amp; Pricing Strategy'!$AV$3:$AV$9</c:f>
              <c:numCache>
                <c:formatCode>\₹#,##0;[Red]\(\₹#,##0\);\-</c:formatCode>
                <c:ptCount val="7"/>
                <c:pt idx="0">
                  <c:v>-79750.440789830493</c:v>
                </c:pt>
                <c:pt idx="1">
                  <c:v>-11584.067983050831</c:v>
                </c:pt>
                <c:pt idx="2">
                  <c:v>90665.491227118648</c:v>
                </c:pt>
                <c:pt idx="3">
                  <c:v>158831.86403389834</c:v>
                </c:pt>
                <c:pt idx="4">
                  <c:v>226998.23684067803</c:v>
                </c:pt>
                <c:pt idx="5">
                  <c:v>329247.79605084751</c:v>
                </c:pt>
                <c:pt idx="6">
                  <c:v>499663.72806779668</c:v>
                </c:pt>
              </c:numCache>
            </c:numRef>
          </c:val>
          <c:smooth val="1"/>
          <c:extLst>
            <c:ext xmlns:c16="http://schemas.microsoft.com/office/drawing/2014/chart" uri="{C3380CC4-5D6E-409C-BE32-E72D297353CC}">
              <c16:uniqueId val="{00000000-E644-4141-9B98-A9BC8071CFB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Profit vs Angel Utilization</a:t>
            </a:r>
          </a:p>
        </c:rich>
      </c:tx>
      <c:overlay val="1"/>
    </c:title>
    <c:autoTitleDeleted val="0"/>
    <c:plotArea>
      <c:layout/>
      <c:lineChart>
        <c:grouping val="standard"/>
        <c:varyColors val="1"/>
        <c:ser>
          <c:idx val="0"/>
          <c:order val="0"/>
          <c:tx>
            <c:v>Monthly Profit</c:v>
          </c:tx>
          <c:marker>
            <c:symbol val="none"/>
          </c:marker>
          <c:cat>
            <c:numRef>
              <c:f>'Growth &amp; Pricing Strategy'!$AX$3:$AX$9</c:f>
              <c:numCache>
                <c:formatCode>0.0%;[Red]\(0.0%\);\-</c:formatCode>
                <c:ptCount val="7"/>
                <c:pt idx="0">
                  <c:v>0.3</c:v>
                </c:pt>
                <c:pt idx="1">
                  <c:v>0.4</c:v>
                </c:pt>
                <c:pt idx="2">
                  <c:v>0.5</c:v>
                </c:pt>
                <c:pt idx="3">
                  <c:v>0.6</c:v>
                </c:pt>
                <c:pt idx="4">
                  <c:v>0.7</c:v>
                </c:pt>
                <c:pt idx="5">
                  <c:v>0.8</c:v>
                </c:pt>
                <c:pt idx="6">
                  <c:v>0.9</c:v>
                </c:pt>
              </c:numCache>
            </c:numRef>
          </c:cat>
          <c:val>
            <c:numRef>
              <c:f>'Growth &amp; Pricing Strategy'!$AY$3:$AY$9</c:f>
              <c:numCache>
                <c:formatCode>\₹#,##0;[Red]\(\₹#,##0\);\-</c:formatCode>
                <c:ptCount val="7"/>
                <c:pt idx="0">
                  <c:v>-93472.243108078357</c:v>
                </c:pt>
                <c:pt idx="1">
                  <c:v>-63962.990810771138</c:v>
                </c:pt>
                <c:pt idx="2">
                  <c:v>-34453.738513463933</c:v>
                </c:pt>
                <c:pt idx="3">
                  <c:v>-4944.4862161567144</c:v>
                </c:pt>
                <c:pt idx="4">
                  <c:v>-4067.362053647259</c:v>
                </c:pt>
                <c:pt idx="5">
                  <c:v>-4067.362053647259</c:v>
                </c:pt>
                <c:pt idx="6">
                  <c:v>-4067.362053647259</c:v>
                </c:pt>
              </c:numCache>
            </c:numRef>
          </c:val>
          <c:smooth val="1"/>
          <c:extLst>
            <c:ext xmlns:c16="http://schemas.microsoft.com/office/drawing/2014/chart" uri="{C3380CC4-5D6E-409C-BE32-E72D297353CC}">
              <c16:uniqueId val="{00000000-B840-E04D-96C4-318A1F48BAC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Red]\(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Profit vs Fixed Cost</a:t>
            </a:r>
          </a:p>
        </c:rich>
      </c:tx>
      <c:overlay val="1"/>
    </c:title>
    <c:autoTitleDeleted val="0"/>
    <c:plotArea>
      <c:layout/>
      <c:lineChart>
        <c:grouping val="standard"/>
        <c:varyColors val="1"/>
        <c:ser>
          <c:idx val="0"/>
          <c:order val="0"/>
          <c:tx>
            <c:v>Monthly Profit</c:v>
          </c:tx>
          <c:marker>
            <c:symbol val="none"/>
          </c:marker>
          <c:cat>
            <c:numRef>
              <c:f>'Growth &amp; Pricing Strategy'!$AO$13:$AO$19</c:f>
              <c:numCache>
                <c:formatCode>\₹#,##0;[Red]\(\₹#,##0\);\-</c:formatCode>
                <c:ptCount val="7"/>
                <c:pt idx="0">
                  <c:v>68000</c:v>
                </c:pt>
                <c:pt idx="1">
                  <c:v>100000</c:v>
                </c:pt>
                <c:pt idx="2">
                  <c:v>140000</c:v>
                </c:pt>
                <c:pt idx="3">
                  <c:v>180000</c:v>
                </c:pt>
                <c:pt idx="4">
                  <c:v>200000</c:v>
                </c:pt>
                <c:pt idx="5">
                  <c:v>240000</c:v>
                </c:pt>
                <c:pt idx="6">
                  <c:v>300000</c:v>
                </c:pt>
              </c:numCache>
            </c:numRef>
          </c:cat>
          <c:val>
            <c:numRef>
              <c:f>'Growth &amp; Pricing Strategy'!$AP$13:$AP$19</c:f>
              <c:numCache>
                <c:formatCode>\₹#,##0;[Red]\(\₹#,##0\);\-</c:formatCode>
                <c:ptCount val="7"/>
                <c:pt idx="0">
                  <c:v>109932.63794635274</c:v>
                </c:pt>
                <c:pt idx="1">
                  <c:v>77932.637946352741</c:v>
                </c:pt>
                <c:pt idx="2">
                  <c:v>37932.637946352741</c:v>
                </c:pt>
                <c:pt idx="3">
                  <c:v>-2067.362053647259</c:v>
                </c:pt>
                <c:pt idx="4">
                  <c:v>-22067.362053647259</c:v>
                </c:pt>
                <c:pt idx="5">
                  <c:v>-62067.362053647259</c:v>
                </c:pt>
                <c:pt idx="6">
                  <c:v>-122067.36205364726</c:v>
                </c:pt>
              </c:numCache>
            </c:numRef>
          </c:val>
          <c:smooth val="1"/>
          <c:extLst>
            <c:ext xmlns:c16="http://schemas.microsoft.com/office/drawing/2014/chart" uri="{C3380CC4-5D6E-409C-BE32-E72D297353CC}">
              <c16:uniqueId val="{00000000-02A6-D54C-8C05-B6F336AB8CD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Red]\(\₹#,##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CAC vs Customer Contribution</a:t>
            </a:r>
          </a:p>
        </c:rich>
      </c:tx>
      <c:overlay val="1"/>
    </c:title>
    <c:autoTitleDeleted val="0"/>
    <c:plotArea>
      <c:layout/>
      <c:lineChart>
        <c:grouping val="standard"/>
        <c:varyColors val="1"/>
        <c:ser>
          <c:idx val="0"/>
          <c:order val="0"/>
          <c:tx>
            <c:v>Safe CAC</c:v>
          </c:tx>
          <c:marker>
            <c:symbol val="none"/>
          </c:marker>
          <c:cat>
            <c:numRef>
              <c:f>'Growth &amp; Pricing Strategy'!$AR$13:$AR$17</c:f>
              <c:numCache>
                <c:formatCode>General</c:formatCode>
                <c:ptCount val="5"/>
                <c:pt idx="0">
                  <c:v>1</c:v>
                </c:pt>
                <c:pt idx="1">
                  <c:v>2</c:v>
                </c:pt>
                <c:pt idx="2">
                  <c:v>4</c:v>
                </c:pt>
                <c:pt idx="3">
                  <c:v>8</c:v>
                </c:pt>
                <c:pt idx="4">
                  <c:v>12</c:v>
                </c:pt>
              </c:numCache>
            </c:numRef>
          </c:cat>
          <c:val>
            <c:numRef>
              <c:f>'Growth &amp; Pricing Strategy'!$AS$13:$AS$17</c:f>
              <c:numCache>
                <c:formatCode>\₹#,##0;[Red]\(\₹#,##0\);\-</c:formatCode>
                <c:ptCount val="5"/>
                <c:pt idx="0">
                  <c:v>393.26753542372882</c:v>
                </c:pt>
                <c:pt idx="1">
                  <c:v>786.53507084745763</c:v>
                </c:pt>
                <c:pt idx="2">
                  <c:v>1573.0701416949153</c:v>
                </c:pt>
                <c:pt idx="3">
                  <c:v>3146.1402833898305</c:v>
                </c:pt>
                <c:pt idx="4">
                  <c:v>4719.210425084746</c:v>
                </c:pt>
              </c:numCache>
            </c:numRef>
          </c:val>
          <c:smooth val="1"/>
          <c:extLst>
            <c:ext xmlns:c16="http://schemas.microsoft.com/office/drawing/2014/chart" uri="{C3380CC4-5D6E-409C-BE32-E72D297353CC}">
              <c16:uniqueId val="{00000000-98EA-0446-9E8E-D94C613C0FE0}"/>
            </c:ext>
          </c:extLst>
        </c:ser>
        <c:ser>
          <c:idx val="1"/>
          <c:order val="1"/>
          <c:tx>
            <c:v>Cumulative Contribution</c:v>
          </c:tx>
          <c:marker>
            <c:symbol val="none"/>
          </c:marker>
          <c:cat>
            <c:numRef>
              <c:f>'Growth &amp; Pricing Strategy'!$AR$13:$AR$17</c:f>
              <c:numCache>
                <c:formatCode>General</c:formatCode>
                <c:ptCount val="5"/>
                <c:pt idx="0">
                  <c:v>1</c:v>
                </c:pt>
                <c:pt idx="1">
                  <c:v>2</c:v>
                </c:pt>
                <c:pt idx="2">
                  <c:v>4</c:v>
                </c:pt>
                <c:pt idx="3">
                  <c:v>8</c:v>
                </c:pt>
                <c:pt idx="4">
                  <c:v>12</c:v>
                </c:pt>
              </c:numCache>
            </c:numRef>
          </c:cat>
          <c:val>
            <c:numRef>
              <c:f>'Growth &amp; Pricing Strategy'!$AT$13:$AT$17</c:f>
              <c:numCache>
                <c:formatCode>\₹#,##0;[Red]\(\₹#,##0\);\-</c:formatCode>
                <c:ptCount val="5"/>
                <c:pt idx="0">
                  <c:v>1310.8917847457628</c:v>
                </c:pt>
                <c:pt idx="1">
                  <c:v>2621.7835694915257</c:v>
                </c:pt>
                <c:pt idx="2">
                  <c:v>5243.5671389830513</c:v>
                </c:pt>
                <c:pt idx="3">
                  <c:v>10487.134277966103</c:v>
                </c:pt>
                <c:pt idx="4">
                  <c:v>15730.701416949154</c:v>
                </c:pt>
              </c:numCache>
            </c:numRef>
          </c:val>
          <c:smooth val="1"/>
          <c:extLst>
            <c:ext xmlns:c16="http://schemas.microsoft.com/office/drawing/2014/chart" uri="{C3380CC4-5D6E-409C-BE32-E72D297353CC}">
              <c16:uniqueId val="{00000001-98EA-0446-9E8E-D94C613C0FE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Monthly Recurring Revenue</a:t>
            </a:r>
          </a:p>
        </c:rich>
      </c:tx>
      <c:overlay val="1"/>
    </c:title>
    <c:autoTitleDeleted val="0"/>
    <c:plotArea>
      <c:layout/>
      <c:barChart>
        <c:barDir val="col"/>
        <c:grouping val="clustered"/>
        <c:varyColors val="0"/>
        <c:ser>
          <c:idx val="0"/>
          <c:order val="0"/>
          <c:tx>
            <c:v>Monthly Revenue</c:v>
          </c:tx>
          <c:invertIfNegative val="1"/>
          <c:cat>
            <c:strRef>
              <c:f>'Growth &amp; Pricing Strategy'!$AU$13:$AU$19</c:f>
              <c:strCache>
                <c:ptCount val="7"/>
                <c:pt idx="0">
                  <c:v>Dialysis Visit Concierge</c:v>
                </c:pt>
                <c:pt idx="1">
                  <c:v>Chemotherapy Visit Concierge</c:v>
                </c:pt>
                <c:pt idx="2">
                  <c:v>Radiation Therapy Concierge</c:v>
                </c:pt>
                <c:pt idx="3">
                  <c:v>Physiotherapy / Rehab Visit</c:v>
                </c:pt>
                <c:pt idx="4">
                  <c:v>Chronic Care Follow-up</c:v>
                </c:pt>
                <c:pt idx="5">
                  <c:v>NRI Parent Medical Concierge</c:v>
                </c:pt>
                <c:pt idx="6">
                  <c:v>Post-Surgery Follow-up</c:v>
                </c:pt>
              </c:strCache>
            </c:strRef>
          </c:cat>
          <c:val>
            <c:numRef>
              <c:f>'Growth &amp; Pricing Strategy'!$AV$13:$AV$19</c:f>
              <c:numCache>
                <c:formatCode>\₹#,##0;[Red]\(\₹#,##0\);\-</c:formatCode>
                <c:ptCount val="7"/>
                <c:pt idx="0">
                  <c:v>23416</c:v>
                </c:pt>
                <c:pt idx="1">
                  <c:v>7492</c:v>
                </c:pt>
                <c:pt idx="2">
                  <c:v>10226.5</c:v>
                </c:pt>
                <c:pt idx="3">
                  <c:v>8487.5999999999985</c:v>
                </c:pt>
                <c:pt idx="4">
                  <c:v>2937.9</c:v>
                </c:pt>
                <c:pt idx="5">
                  <c:v>9373.2000000000007</c:v>
                </c:pt>
                <c:pt idx="6">
                  <c:v>2132</c:v>
                </c:pt>
              </c:numCache>
            </c:numRef>
          </c:val>
          <c:extLst>
            <c:ext xmlns:c16="http://schemas.microsoft.com/office/drawing/2014/chart" uri="{C3380CC4-5D6E-409C-BE32-E72D297353CC}">
              <c16:uniqueId val="{00000000-1C5E-9F4A-BDD0-B3E7E92616E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Contribution by Service</a:t>
            </a:r>
          </a:p>
        </c:rich>
      </c:tx>
      <c:overlay val="1"/>
    </c:title>
    <c:autoTitleDeleted val="0"/>
    <c:plotArea>
      <c:layout/>
      <c:barChart>
        <c:barDir val="col"/>
        <c:grouping val="clustered"/>
        <c:varyColors val="0"/>
        <c:ser>
          <c:idx val="0"/>
          <c:order val="0"/>
          <c:tx>
            <c:v>Contribution / Journey</c:v>
          </c:tx>
          <c:invertIfNegative val="1"/>
          <c:cat>
            <c:strRef>
              <c:f>'Growth &amp; Pricing Strategy'!$AX$13:$AX$24</c:f>
              <c:strCache>
                <c:ptCount val="12"/>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pt idx="10">
                  <c:v>Pre-Surgery Concierge</c:v>
                </c:pt>
                <c:pt idx="11">
                  <c:v>Post-Surgery Follow-up</c:v>
                </c:pt>
              </c:strCache>
            </c:strRef>
          </c:cat>
          <c:val>
            <c:numRef>
              <c:f>'Growth &amp; Pricing Strategy'!$AY$13:$AY$24</c:f>
              <c:numCache>
                <c:formatCode>\₹#,##0;[Red]\(\₹#,##0\);\-</c:formatCode>
                <c:ptCount val="12"/>
                <c:pt idx="0">
                  <c:v>1111.53093220339</c:v>
                </c:pt>
                <c:pt idx="1">
                  <c:v>752.09967796610181</c:v>
                </c:pt>
                <c:pt idx="2">
                  <c:v>625.84376271186443</c:v>
                </c:pt>
                <c:pt idx="3">
                  <c:v>787.31971610169489</c:v>
                </c:pt>
                <c:pt idx="4">
                  <c:v>1215.9317372881358</c:v>
                </c:pt>
                <c:pt idx="5">
                  <c:v>1249.9737118644068</c:v>
                </c:pt>
                <c:pt idx="6">
                  <c:v>1203.8261186440679</c:v>
                </c:pt>
                <c:pt idx="7">
                  <c:v>2702.1604745762716</c:v>
                </c:pt>
                <c:pt idx="8">
                  <c:v>2702.1604745762716</c:v>
                </c:pt>
                <c:pt idx="9">
                  <c:v>1820.6439491525427</c:v>
                </c:pt>
                <c:pt idx="10">
                  <c:v>1203.8261186440679</c:v>
                </c:pt>
                <c:pt idx="11">
                  <c:v>892.97983050847461</c:v>
                </c:pt>
              </c:numCache>
            </c:numRef>
          </c:val>
          <c:extLst>
            <c:ext xmlns:c16="http://schemas.microsoft.com/office/drawing/2014/chart" uri="{C3380CC4-5D6E-409C-BE32-E72D297353CC}">
              <c16:uniqueId val="{00000000-8360-AC4B-9F7B-0C31E0282DF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Contribution per Angel Hour</a:t>
            </a:r>
          </a:p>
        </c:rich>
      </c:tx>
      <c:overlay val="1"/>
    </c:title>
    <c:autoTitleDeleted val="0"/>
    <c:plotArea>
      <c:layout/>
      <c:barChart>
        <c:barDir val="col"/>
        <c:grouping val="clustered"/>
        <c:varyColors val="0"/>
        <c:ser>
          <c:idx val="0"/>
          <c:order val="0"/>
          <c:tx>
            <c:v>Contribution / Angel Hr</c:v>
          </c:tx>
          <c:invertIfNegative val="1"/>
          <c:cat>
            <c:strRef>
              <c:f>'Growth &amp; Pricing Strategy'!$AO$23:$AO$34</c:f>
              <c:strCache>
                <c:ptCount val="12"/>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pt idx="10">
                  <c:v>Pre-Surgery Concierge</c:v>
                </c:pt>
                <c:pt idx="11">
                  <c:v>Post-Surgery Follow-up</c:v>
                </c:pt>
              </c:strCache>
            </c:strRef>
          </c:cat>
          <c:val>
            <c:numRef>
              <c:f>'Growth &amp; Pricing Strategy'!$AP$23:$AP$34</c:f>
              <c:numCache>
                <c:formatCode>\₹#,##0;[Red]\(\₹#,##0\);\-</c:formatCode>
                <c:ptCount val="12"/>
                <c:pt idx="0">
                  <c:v>277.88273305084749</c:v>
                </c:pt>
                <c:pt idx="1">
                  <c:v>250.69989265536728</c:v>
                </c:pt>
                <c:pt idx="2">
                  <c:v>312.92188135593221</c:v>
                </c:pt>
                <c:pt idx="3">
                  <c:v>262.43990536723163</c:v>
                </c:pt>
                <c:pt idx="4">
                  <c:v>243.18634745762716</c:v>
                </c:pt>
                <c:pt idx="5">
                  <c:v>312.49342796610171</c:v>
                </c:pt>
                <c:pt idx="6">
                  <c:v>300.95652966101699</c:v>
                </c:pt>
                <c:pt idx="7">
                  <c:v>225.18003954802262</c:v>
                </c:pt>
                <c:pt idx="8">
                  <c:v>225.18003954802262</c:v>
                </c:pt>
                <c:pt idx="9">
                  <c:v>303.44065819209044</c:v>
                </c:pt>
                <c:pt idx="10">
                  <c:v>300.95652966101699</c:v>
                </c:pt>
                <c:pt idx="11">
                  <c:v>297.65994350282489</c:v>
                </c:pt>
              </c:numCache>
            </c:numRef>
          </c:val>
          <c:extLst>
            <c:ext xmlns:c16="http://schemas.microsoft.com/office/drawing/2014/chart" uri="{C3380CC4-5D6E-409C-BE32-E72D297353CC}">
              <c16:uniqueId val="{00000000-860A-D945-906D-8B01362B45D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Cash Runway</a:t>
            </a:r>
          </a:p>
        </c:rich>
      </c:tx>
      <c:overlay val="1"/>
    </c:title>
    <c:autoTitleDeleted val="0"/>
    <c:plotArea>
      <c:layout/>
      <c:lineChart>
        <c:grouping val="standard"/>
        <c:varyColors val="1"/>
        <c:ser>
          <c:idx val="0"/>
          <c:order val="0"/>
          <c:tx>
            <c:v>Ending Cash</c:v>
          </c:tx>
          <c:marker>
            <c:symbol val="none"/>
          </c:marker>
          <c:cat>
            <c:strRef>
              <c:f>'Growth &amp; Pricing Strategy'!$AR$23:$AR$34</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'Growth &amp; Pricing Strategy'!$AS$23:$AS$34</c:f>
              <c:numCache>
                <c:formatCode>\₹#,##0;[Red]\(\₹#,##0\);\-</c:formatCode>
                <c:ptCount val="12"/>
                <c:pt idx="0">
                  <c:v>1295932.6379463528</c:v>
                </c:pt>
                <c:pt idx="1">
                  <c:v>1213217.1924462679</c:v>
                </c:pt>
                <c:pt idx="2">
                  <c:v>1154415.8934861729</c:v>
                </c:pt>
                <c:pt idx="3">
                  <c:v>1122398.4386508665</c:v>
                </c:pt>
                <c:pt idx="4">
                  <c:v>1120378.8892353233</c:v>
                </c:pt>
                <c:pt idx="5">
                  <c:v>1151956.9938899148</c:v>
                </c:pt>
                <c:pt idx="6">
                  <c:v>1221164.4711030575</c:v>
                </c:pt>
                <c:pt idx="7">
                  <c:v>1332516.8455817774</c:v>
                </c:pt>
                <c:pt idx="8">
                  <c:v>1491071.5049979435</c:v>
                </c:pt>
                <c:pt idx="9">
                  <c:v>1702492.7235440498</c:v>
                </c:pt>
                <c:pt idx="10">
                  <c:v>1957918.1142292372</c:v>
                </c:pt>
                <c:pt idx="11">
                  <c:v>2243994.5517966473</c:v>
                </c:pt>
              </c:numCache>
            </c:numRef>
          </c:val>
          <c:smooth val="1"/>
          <c:extLst>
            <c:ext xmlns:c16="http://schemas.microsoft.com/office/drawing/2014/chart" uri="{C3380CC4-5D6E-409C-BE32-E72D297353CC}">
              <c16:uniqueId val="{00000000-6264-C549-A4BC-366490977EB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Journey Growth</a:t>
            </a:r>
          </a:p>
        </c:rich>
      </c:tx>
      <c:overlay val="1"/>
    </c:title>
    <c:autoTitleDeleted val="0"/>
    <c:plotArea>
      <c:layout/>
      <c:lineChart>
        <c:grouping val="standard"/>
        <c:varyColors val="1"/>
        <c:ser>
          <c:idx val="0"/>
          <c:order val="0"/>
          <c:tx>
            <c:v>Monthly Journeys</c:v>
          </c:tx>
          <c:marker>
            <c:symbol val="none"/>
          </c:marker>
          <c:cat>
            <c:strRef>
              <c:f>'Growth &amp; Pricing Strategy'!$AU$23:$AU$34</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'Growth &amp; Pricing Strategy'!$AV$23:$AV$34</c:f>
              <c:numCache>
                <c:formatCode>#,##0.0;[Red]\(#,##0.0\);\-</c:formatCode>
                <c:ptCount val="12"/>
                <c:pt idx="0">
                  <c:v>135.73403999999999</c:v>
                </c:pt>
                <c:pt idx="1">
                  <c:v>152.0221248</c:v>
                </c:pt>
                <c:pt idx="2">
                  <c:v>170.26477977600001</c:v>
                </c:pt>
                <c:pt idx="3">
                  <c:v>190.69655334912002</c:v>
                </c:pt>
                <c:pt idx="4">
                  <c:v>213.58013975101446</c:v>
                </c:pt>
                <c:pt idx="5">
                  <c:v>239.20975652113623</c:v>
                </c:pt>
                <c:pt idx="6">
                  <c:v>267.91492730367258</c:v>
                </c:pt>
                <c:pt idx="7">
                  <c:v>300.06471858011332</c:v>
                </c:pt>
                <c:pt idx="8">
                  <c:v>336.07248480972697</c:v>
                </c:pt>
                <c:pt idx="9">
                  <c:v>376.40118298689424</c:v>
                </c:pt>
                <c:pt idx="10">
                  <c:v>421.56932494532157</c:v>
                </c:pt>
                <c:pt idx="11">
                  <c:v>472.1576439387602</c:v>
                </c:pt>
              </c:numCache>
            </c:numRef>
          </c:val>
          <c:smooth val="1"/>
          <c:extLst>
            <c:ext xmlns:c16="http://schemas.microsoft.com/office/drawing/2014/chart" uri="{C3380CC4-5D6E-409C-BE32-E72D297353CC}">
              <c16:uniqueId val="{00000000-418B-F045-AF2C-6E6F43C3535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Break-even Progression</a:t>
            </a:r>
          </a:p>
        </c:rich>
      </c:tx>
      <c:overlay val="1"/>
    </c:title>
    <c:autoTitleDeleted val="0"/>
    <c:plotArea>
      <c:layout/>
      <c:barChart>
        <c:barDir val="col"/>
        <c:grouping val="clustered"/>
        <c:varyColors val="0"/>
        <c:ser>
          <c:idx val="0"/>
          <c:order val="0"/>
          <c:tx>
            <c:v>Break-even Journeys / Day</c:v>
          </c:tx>
          <c:invertIfNegative val="1"/>
          <c:cat>
            <c:strRef>
              <c:f>'Growth &amp; Pricing Strategy'!$AX$28:$AX$30</c:f>
              <c:strCache>
                <c:ptCount val="3"/>
                <c:pt idx="0">
                  <c:v>Ultra-Lean Pilot</c:v>
                </c:pt>
                <c:pt idx="1">
                  <c:v>Lean MVP</c:v>
                </c:pt>
                <c:pt idx="2">
                  <c:v>Scale / Full Team</c:v>
                </c:pt>
              </c:strCache>
            </c:strRef>
          </c:cat>
          <c:val>
            <c:numRef>
              <c:f>'Growth &amp; Pricing Strategy'!$AY$28:$AY$30</c:f>
              <c:numCache>
                <c:formatCode>#,##0.0;[Red]\(#,##0.0\);\-</c:formatCode>
                <c:ptCount val="3"/>
                <c:pt idx="0">
                  <c:v>3.2273977760794001</c:v>
                </c:pt>
                <c:pt idx="1">
                  <c:v>5.339876320422281</c:v>
                </c:pt>
                <c:pt idx="2">
                  <c:v>8.2738742986762794</c:v>
                </c:pt>
              </c:numCache>
            </c:numRef>
          </c:val>
          <c:extLst>
            <c:ext xmlns:c16="http://schemas.microsoft.com/office/drawing/2014/chart" uri="{C3380CC4-5D6E-409C-BE32-E72D297353CC}">
              <c16:uniqueId val="{00000000-B605-494F-9808-CDE6BBE0E17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lineChart>
        <c:grouping val="standard"/>
        <c:varyColors val="0"/>
        <c:ser>
          <c:idx val="0"/>
          <c:order val="0"/>
          <c:tx>
            <c:v>Customer Service Price</c:v>
          </c:tx>
          <c:marker>
            <c:symbol val="none"/>
          </c:marker>
          <c:cat>
            <c:numRef>
              <c:f>'MVP1 Pricing &amp; SKU'!$A$31:$A$39</c:f>
              <c:numCache>
                <c:formatCode>0.0</c:formatCode>
                <c:ptCount val="9"/>
                <c:pt idx="0">
                  <c:v>2</c:v>
                </c:pt>
                <c:pt idx="1">
                  <c:v>3</c:v>
                </c:pt>
                <c:pt idx="2">
                  <c:v>4</c:v>
                </c:pt>
                <c:pt idx="3">
                  <c:v>5</c:v>
                </c:pt>
                <c:pt idx="4">
                  <c:v>6</c:v>
                </c:pt>
                <c:pt idx="5">
                  <c:v>7</c:v>
                </c:pt>
                <c:pt idx="6">
                  <c:v>8</c:v>
                </c:pt>
                <c:pt idx="7">
                  <c:v>10</c:v>
                </c:pt>
                <c:pt idx="8">
                  <c:v>12</c:v>
                </c:pt>
              </c:numCache>
            </c:numRef>
          </c:cat>
          <c:val>
            <c:numRef>
              <c:f>'MVP1 Pricing &amp; SKU'!$G$31:$G$39</c:f>
              <c:numCache>
                <c:formatCode>\₹#,##0.00;[Red]\(\₹#,##0.00\);\-</c:formatCode>
                <c:ptCount val="9"/>
                <c:pt idx="0">
                  <c:v>797</c:v>
                </c:pt>
                <c:pt idx="1">
                  <c:v>1096</c:v>
                </c:pt>
                <c:pt idx="2">
                  <c:v>1395</c:v>
                </c:pt>
                <c:pt idx="3">
                  <c:v>1694</c:v>
                </c:pt>
                <c:pt idx="4">
                  <c:v>1993</c:v>
                </c:pt>
                <c:pt idx="5">
                  <c:v>2292</c:v>
                </c:pt>
                <c:pt idx="6">
                  <c:v>2591</c:v>
                </c:pt>
                <c:pt idx="7">
                  <c:v>3189</c:v>
                </c:pt>
                <c:pt idx="8">
                  <c:v>3787</c:v>
                </c:pt>
              </c:numCache>
            </c:numRef>
          </c:val>
          <c:smooth val="1"/>
          <c:extLst>
            <c:ext xmlns:c16="http://schemas.microsoft.com/office/drawing/2014/chart" uri="{C3380CC4-5D6E-409C-BE32-E72D297353CC}">
              <c16:uniqueId val="{00000000-4250-234A-AB8E-1839432D9C6A}"/>
            </c:ext>
          </c:extLst>
        </c:ser>
        <c:ser>
          <c:idx val="1"/>
          <c:order val="1"/>
          <c:tx>
            <c:v>Blended Contribution</c:v>
          </c:tx>
          <c:marker>
            <c:symbol val="none"/>
          </c:marker>
          <c:cat>
            <c:numRef>
              <c:f>'MVP1 Pricing &amp; SKU'!$A$31:$A$39</c:f>
              <c:numCache>
                <c:formatCode>0.0</c:formatCode>
                <c:ptCount val="9"/>
                <c:pt idx="0">
                  <c:v>2</c:v>
                </c:pt>
                <c:pt idx="1">
                  <c:v>3</c:v>
                </c:pt>
                <c:pt idx="2">
                  <c:v>4</c:v>
                </c:pt>
                <c:pt idx="3">
                  <c:v>5</c:v>
                </c:pt>
                <c:pt idx="4">
                  <c:v>6</c:v>
                </c:pt>
                <c:pt idx="5">
                  <c:v>7</c:v>
                </c:pt>
                <c:pt idx="6">
                  <c:v>8</c:v>
                </c:pt>
                <c:pt idx="7">
                  <c:v>10</c:v>
                </c:pt>
                <c:pt idx="8">
                  <c:v>12</c:v>
                </c:pt>
              </c:numCache>
            </c:numRef>
          </c:cat>
          <c:val>
            <c:numRef>
              <c:f>'MVP1 Pricing &amp; SKU'!$Q$31:$Q$39</c:f>
              <c:numCache>
                <c:formatCode>\₹#,##0.00;[Red]\(\₹#,##0.00\);\-</c:formatCode>
                <c:ptCount val="9"/>
                <c:pt idx="0">
                  <c:v>674.42872881355936</c:v>
                </c:pt>
                <c:pt idx="1">
                  <c:v>917.3535593220339</c:v>
                </c:pt>
                <c:pt idx="2">
                  <c:v>1160.2783898305086</c:v>
                </c:pt>
                <c:pt idx="3">
                  <c:v>1403.2032203389833</c:v>
                </c:pt>
                <c:pt idx="4">
                  <c:v>1646.1280508474579</c:v>
                </c:pt>
                <c:pt idx="5">
                  <c:v>1889.0528813559324</c:v>
                </c:pt>
                <c:pt idx="6">
                  <c:v>2131.977711864407</c:v>
                </c:pt>
                <c:pt idx="7">
                  <c:v>2617.827372881356</c:v>
                </c:pt>
                <c:pt idx="8">
                  <c:v>3103.6770338983051</c:v>
                </c:pt>
              </c:numCache>
            </c:numRef>
          </c:val>
          <c:smooth val="1"/>
          <c:extLst>
            <c:ext xmlns:c16="http://schemas.microsoft.com/office/drawing/2014/chart" uri="{C3380CC4-5D6E-409C-BE32-E72D297353CC}">
              <c16:uniqueId val="{00000001-4250-234A-AB8E-1839432D9C6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Red]\(\₹#,##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Journey Density vs Effective Payroll Cost</a:t>
            </a:r>
          </a:p>
        </c:rich>
      </c:tx>
      <c:overlay val="1"/>
    </c:title>
    <c:autoTitleDeleted val="0"/>
    <c:plotArea>
      <c:layout/>
      <c:lineChart>
        <c:grouping val="standard"/>
        <c:varyColors val="0"/>
        <c:ser>
          <c:idx val="0"/>
          <c:order val="0"/>
          <c:tx>
            <c:v>Avg Hours / Journey</c:v>
          </c:tx>
          <c:marker>
            <c:symbol val="none"/>
          </c:marker>
          <c:cat>
            <c:numRef>
              <c:f>'Angel Economics'!$F$18:$F$25</c:f>
              <c:numCache>
                <c:formatCode>General</c:formatCode>
                <c:ptCount val="8"/>
                <c:pt idx="0">
                  <c:v>25</c:v>
                </c:pt>
                <c:pt idx="1">
                  <c:v>50</c:v>
                </c:pt>
                <c:pt idx="2">
                  <c:v>75</c:v>
                </c:pt>
                <c:pt idx="3">
                  <c:v>100</c:v>
                </c:pt>
                <c:pt idx="4">
                  <c:v>150</c:v>
                </c:pt>
                <c:pt idx="5">
                  <c:v>200</c:v>
                </c:pt>
                <c:pt idx="6">
                  <c:v>250</c:v>
                </c:pt>
                <c:pt idx="7">
                  <c:v>300</c:v>
                </c:pt>
              </c:numCache>
            </c:numRef>
          </c:cat>
          <c:val>
            <c:numRef>
              <c:f>'Angel Economics'!$G$18:$G$25</c:f>
              <c:numCache>
                <c:formatCode>General</c:formatCode>
                <c:ptCount val="8"/>
                <c:pt idx="0">
                  <c:v>4.62</c:v>
                </c:pt>
                <c:pt idx="1">
                  <c:v>4.62</c:v>
                </c:pt>
                <c:pt idx="2">
                  <c:v>4.62</c:v>
                </c:pt>
                <c:pt idx="3">
                  <c:v>4.62</c:v>
                </c:pt>
                <c:pt idx="4">
                  <c:v>4.62</c:v>
                </c:pt>
                <c:pt idx="5">
                  <c:v>4.62</c:v>
                </c:pt>
                <c:pt idx="6">
                  <c:v>4.62</c:v>
                </c:pt>
                <c:pt idx="7">
                  <c:v>4.62</c:v>
                </c:pt>
              </c:numCache>
            </c:numRef>
          </c:val>
          <c:smooth val="1"/>
          <c:extLst>
            <c:ext xmlns:c16="http://schemas.microsoft.com/office/drawing/2014/chart" uri="{C3380CC4-5D6E-409C-BE32-E72D297353CC}">
              <c16:uniqueId val="{00000000-E337-454A-81F6-7111EB66E931}"/>
            </c:ext>
          </c:extLst>
        </c:ser>
        <c:ser>
          <c:idx val="1"/>
          <c:order val="1"/>
          <c:tx>
            <c:v>Productive Hours</c:v>
          </c:tx>
          <c:marker>
            <c:symbol val="none"/>
          </c:marker>
          <c:cat>
            <c:numRef>
              <c:f>'Angel Economics'!$F$18:$F$25</c:f>
              <c:numCache>
                <c:formatCode>General</c:formatCode>
                <c:ptCount val="8"/>
                <c:pt idx="0">
                  <c:v>25</c:v>
                </c:pt>
                <c:pt idx="1">
                  <c:v>50</c:v>
                </c:pt>
                <c:pt idx="2">
                  <c:v>75</c:v>
                </c:pt>
                <c:pt idx="3">
                  <c:v>100</c:v>
                </c:pt>
                <c:pt idx="4">
                  <c:v>150</c:v>
                </c:pt>
                <c:pt idx="5">
                  <c:v>200</c:v>
                </c:pt>
                <c:pt idx="6">
                  <c:v>250</c:v>
                </c:pt>
                <c:pt idx="7">
                  <c:v>300</c:v>
                </c:pt>
              </c:numCache>
            </c:numRef>
          </c:cat>
          <c:val>
            <c:numRef>
              <c:f>'Angel Economics'!$H$18:$H$25</c:f>
              <c:numCache>
                <c:formatCode>General</c:formatCode>
                <c:ptCount val="8"/>
                <c:pt idx="0">
                  <c:v>115.5</c:v>
                </c:pt>
                <c:pt idx="1">
                  <c:v>231</c:v>
                </c:pt>
                <c:pt idx="2">
                  <c:v>346.5</c:v>
                </c:pt>
                <c:pt idx="3">
                  <c:v>462</c:v>
                </c:pt>
                <c:pt idx="4">
                  <c:v>693</c:v>
                </c:pt>
                <c:pt idx="5">
                  <c:v>924</c:v>
                </c:pt>
                <c:pt idx="6">
                  <c:v>1155</c:v>
                </c:pt>
                <c:pt idx="7">
                  <c:v>1386</c:v>
                </c:pt>
              </c:numCache>
            </c:numRef>
          </c:val>
          <c:smooth val="1"/>
          <c:extLst>
            <c:ext xmlns:c16="http://schemas.microsoft.com/office/drawing/2014/chart" uri="{C3380CC4-5D6E-409C-BE32-E72D297353CC}">
              <c16:uniqueId val="{00000001-E337-454A-81F6-7111EB66E931}"/>
            </c:ext>
          </c:extLst>
        </c:ser>
        <c:ser>
          <c:idx val="2"/>
          <c:order val="2"/>
          <c:tx>
            <c:v>Utilization</c:v>
          </c:tx>
          <c:marker>
            <c:symbol val="none"/>
          </c:marker>
          <c:cat>
            <c:numRef>
              <c:f>'Angel Economics'!$F$18:$F$25</c:f>
              <c:numCache>
                <c:formatCode>General</c:formatCode>
                <c:ptCount val="8"/>
                <c:pt idx="0">
                  <c:v>25</c:v>
                </c:pt>
                <c:pt idx="1">
                  <c:v>50</c:v>
                </c:pt>
                <c:pt idx="2">
                  <c:v>75</c:v>
                </c:pt>
                <c:pt idx="3">
                  <c:v>100</c:v>
                </c:pt>
                <c:pt idx="4">
                  <c:v>150</c:v>
                </c:pt>
                <c:pt idx="5">
                  <c:v>200</c:v>
                </c:pt>
                <c:pt idx="6">
                  <c:v>250</c:v>
                </c:pt>
                <c:pt idx="7">
                  <c:v>300</c:v>
                </c:pt>
              </c:numCache>
            </c:numRef>
          </c:cat>
          <c:val>
            <c:numRef>
              <c:f>'Angel Economics'!$I$18:$I$25</c:f>
              <c:numCache>
                <c:formatCode>0.0%</c:formatCode>
                <c:ptCount val="8"/>
                <c:pt idx="0">
                  <c:v>0.1203125</c:v>
                </c:pt>
                <c:pt idx="1">
                  <c:v>0.24062500000000001</c:v>
                </c:pt>
                <c:pt idx="2">
                  <c:v>0.36093750000000002</c:v>
                </c:pt>
                <c:pt idx="3">
                  <c:v>0.48125000000000001</c:v>
                </c:pt>
                <c:pt idx="4">
                  <c:v>0.72187500000000004</c:v>
                </c:pt>
                <c:pt idx="5">
                  <c:v>0.96250000000000002</c:v>
                </c:pt>
                <c:pt idx="6">
                  <c:v>1.203125</c:v>
                </c:pt>
                <c:pt idx="7">
                  <c:v>1.4437500000000001</c:v>
                </c:pt>
              </c:numCache>
            </c:numRef>
          </c:val>
          <c:smooth val="1"/>
          <c:extLst>
            <c:ext xmlns:c16="http://schemas.microsoft.com/office/drawing/2014/chart" uri="{C3380CC4-5D6E-409C-BE32-E72D297353CC}">
              <c16:uniqueId val="{00000002-E337-454A-81F6-7111EB66E931}"/>
            </c:ext>
          </c:extLst>
        </c:ser>
        <c:ser>
          <c:idx val="3"/>
          <c:order val="3"/>
          <c:tx>
            <c:v>Effective Payroll Cost / Productive Hr</c:v>
          </c:tx>
          <c:marker>
            <c:symbol val="none"/>
          </c:marker>
          <c:cat>
            <c:numRef>
              <c:f>'Angel Economics'!$F$18:$F$25</c:f>
              <c:numCache>
                <c:formatCode>General</c:formatCode>
                <c:ptCount val="8"/>
                <c:pt idx="0">
                  <c:v>25</c:v>
                </c:pt>
                <c:pt idx="1">
                  <c:v>50</c:v>
                </c:pt>
                <c:pt idx="2">
                  <c:v>75</c:v>
                </c:pt>
                <c:pt idx="3">
                  <c:v>100</c:v>
                </c:pt>
                <c:pt idx="4">
                  <c:v>150</c:v>
                </c:pt>
                <c:pt idx="5">
                  <c:v>200</c:v>
                </c:pt>
                <c:pt idx="6">
                  <c:v>250</c:v>
                </c:pt>
                <c:pt idx="7">
                  <c:v>300</c:v>
                </c:pt>
              </c:numCache>
            </c:numRef>
          </c:cat>
          <c:val>
            <c:numRef>
              <c:f>'Angel Economics'!$J$18:$J$25</c:f>
              <c:numCache>
                <c:formatCode>#,##0;[Red]\(#,##0\);\-</c:formatCode>
                <c:ptCount val="8"/>
                <c:pt idx="0">
                  <c:v>363.63636363636363</c:v>
                </c:pt>
                <c:pt idx="1">
                  <c:v>181.81818181818181</c:v>
                </c:pt>
                <c:pt idx="2">
                  <c:v>121.21212121212122</c:v>
                </c:pt>
                <c:pt idx="3">
                  <c:v>90.909090909090907</c:v>
                </c:pt>
                <c:pt idx="4">
                  <c:v>60.606060606060609</c:v>
                </c:pt>
                <c:pt idx="5">
                  <c:v>45.454545454545453</c:v>
                </c:pt>
                <c:pt idx="6">
                  <c:v>36.363636363636367</c:v>
                </c:pt>
                <c:pt idx="7">
                  <c:v>30.303030303030305</c:v>
                </c:pt>
              </c:numCache>
            </c:numRef>
          </c:val>
          <c:smooth val="1"/>
          <c:extLst>
            <c:ext xmlns:c16="http://schemas.microsoft.com/office/drawing/2014/chart" uri="{C3380CC4-5D6E-409C-BE32-E72D297353CC}">
              <c16:uniqueId val="{00000003-E337-454A-81F6-7111EB66E93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Angel Utilization by Monthly Journey Volume</a:t>
            </a:r>
          </a:p>
        </c:rich>
      </c:tx>
      <c:overlay val="1"/>
    </c:title>
    <c:autoTitleDeleted val="0"/>
    <c:plotArea>
      <c:layout/>
      <c:barChart>
        <c:barDir val="col"/>
        <c:grouping val="clustered"/>
        <c:varyColors val="0"/>
        <c:ser>
          <c:idx val="0"/>
          <c:order val="0"/>
          <c:tx>
            <c:v>Avg Hours / Journey</c:v>
          </c:tx>
          <c:invertIfNegative val="1"/>
          <c:cat>
            <c:numRef>
              <c:f>'Angel Economics'!$F$18:$F$25</c:f>
              <c:numCache>
                <c:formatCode>General</c:formatCode>
                <c:ptCount val="8"/>
                <c:pt idx="0">
                  <c:v>25</c:v>
                </c:pt>
                <c:pt idx="1">
                  <c:v>50</c:v>
                </c:pt>
                <c:pt idx="2">
                  <c:v>75</c:v>
                </c:pt>
                <c:pt idx="3">
                  <c:v>100</c:v>
                </c:pt>
                <c:pt idx="4">
                  <c:v>150</c:v>
                </c:pt>
                <c:pt idx="5">
                  <c:v>200</c:v>
                </c:pt>
                <c:pt idx="6">
                  <c:v>250</c:v>
                </c:pt>
                <c:pt idx="7">
                  <c:v>300</c:v>
                </c:pt>
              </c:numCache>
            </c:numRef>
          </c:cat>
          <c:val>
            <c:numRef>
              <c:f>'Angel Economics'!$G$18:$G$25</c:f>
              <c:numCache>
                <c:formatCode>General</c:formatCode>
                <c:ptCount val="8"/>
                <c:pt idx="0">
                  <c:v>4.62</c:v>
                </c:pt>
                <c:pt idx="1">
                  <c:v>4.62</c:v>
                </c:pt>
                <c:pt idx="2">
                  <c:v>4.62</c:v>
                </c:pt>
                <c:pt idx="3">
                  <c:v>4.62</c:v>
                </c:pt>
                <c:pt idx="4">
                  <c:v>4.62</c:v>
                </c:pt>
                <c:pt idx="5">
                  <c:v>4.62</c:v>
                </c:pt>
                <c:pt idx="6">
                  <c:v>4.62</c:v>
                </c:pt>
                <c:pt idx="7">
                  <c:v>4.62</c:v>
                </c:pt>
              </c:numCache>
            </c:numRef>
          </c:val>
          <c:extLst>
            <c:ext xmlns:c16="http://schemas.microsoft.com/office/drawing/2014/chart" uri="{C3380CC4-5D6E-409C-BE32-E72D297353CC}">
              <c16:uniqueId val="{00000000-29D4-C846-9879-BA2452D099B0}"/>
            </c:ext>
          </c:extLst>
        </c:ser>
        <c:ser>
          <c:idx val="1"/>
          <c:order val="1"/>
          <c:tx>
            <c:v>Productive Hours</c:v>
          </c:tx>
          <c:invertIfNegative val="1"/>
          <c:cat>
            <c:numRef>
              <c:f>'Angel Economics'!$F$18:$F$25</c:f>
              <c:numCache>
                <c:formatCode>General</c:formatCode>
                <c:ptCount val="8"/>
                <c:pt idx="0">
                  <c:v>25</c:v>
                </c:pt>
                <c:pt idx="1">
                  <c:v>50</c:v>
                </c:pt>
                <c:pt idx="2">
                  <c:v>75</c:v>
                </c:pt>
                <c:pt idx="3">
                  <c:v>100</c:v>
                </c:pt>
                <c:pt idx="4">
                  <c:v>150</c:v>
                </c:pt>
                <c:pt idx="5">
                  <c:v>200</c:v>
                </c:pt>
                <c:pt idx="6">
                  <c:v>250</c:v>
                </c:pt>
                <c:pt idx="7">
                  <c:v>300</c:v>
                </c:pt>
              </c:numCache>
            </c:numRef>
          </c:cat>
          <c:val>
            <c:numRef>
              <c:f>'Angel Economics'!$H$18:$H$25</c:f>
              <c:numCache>
                <c:formatCode>General</c:formatCode>
                <c:ptCount val="8"/>
                <c:pt idx="0">
                  <c:v>115.5</c:v>
                </c:pt>
                <c:pt idx="1">
                  <c:v>231</c:v>
                </c:pt>
                <c:pt idx="2">
                  <c:v>346.5</c:v>
                </c:pt>
                <c:pt idx="3">
                  <c:v>462</c:v>
                </c:pt>
                <c:pt idx="4">
                  <c:v>693</c:v>
                </c:pt>
                <c:pt idx="5">
                  <c:v>924</c:v>
                </c:pt>
                <c:pt idx="6">
                  <c:v>1155</c:v>
                </c:pt>
                <c:pt idx="7">
                  <c:v>1386</c:v>
                </c:pt>
              </c:numCache>
            </c:numRef>
          </c:val>
          <c:extLst>
            <c:ext xmlns:c16="http://schemas.microsoft.com/office/drawing/2014/chart" uri="{C3380CC4-5D6E-409C-BE32-E72D297353CC}">
              <c16:uniqueId val="{00000001-29D4-C846-9879-BA2452D099B0}"/>
            </c:ext>
          </c:extLst>
        </c:ser>
        <c:ser>
          <c:idx val="2"/>
          <c:order val="2"/>
          <c:tx>
            <c:v>Utilization</c:v>
          </c:tx>
          <c:invertIfNegative val="1"/>
          <c:cat>
            <c:numRef>
              <c:f>'Angel Economics'!$F$18:$F$25</c:f>
              <c:numCache>
                <c:formatCode>General</c:formatCode>
                <c:ptCount val="8"/>
                <c:pt idx="0">
                  <c:v>25</c:v>
                </c:pt>
                <c:pt idx="1">
                  <c:v>50</c:v>
                </c:pt>
                <c:pt idx="2">
                  <c:v>75</c:v>
                </c:pt>
                <c:pt idx="3">
                  <c:v>100</c:v>
                </c:pt>
                <c:pt idx="4">
                  <c:v>150</c:v>
                </c:pt>
                <c:pt idx="5">
                  <c:v>200</c:v>
                </c:pt>
                <c:pt idx="6">
                  <c:v>250</c:v>
                </c:pt>
                <c:pt idx="7">
                  <c:v>300</c:v>
                </c:pt>
              </c:numCache>
            </c:numRef>
          </c:cat>
          <c:val>
            <c:numRef>
              <c:f>'Angel Economics'!$I$18:$I$25</c:f>
              <c:numCache>
                <c:formatCode>0.0%</c:formatCode>
                <c:ptCount val="8"/>
                <c:pt idx="0">
                  <c:v>0.1203125</c:v>
                </c:pt>
                <c:pt idx="1">
                  <c:v>0.24062500000000001</c:v>
                </c:pt>
                <c:pt idx="2">
                  <c:v>0.36093750000000002</c:v>
                </c:pt>
                <c:pt idx="3">
                  <c:v>0.48125000000000001</c:v>
                </c:pt>
                <c:pt idx="4">
                  <c:v>0.72187500000000004</c:v>
                </c:pt>
                <c:pt idx="5">
                  <c:v>0.96250000000000002</c:v>
                </c:pt>
                <c:pt idx="6">
                  <c:v>1.203125</c:v>
                </c:pt>
                <c:pt idx="7">
                  <c:v>1.4437500000000001</c:v>
                </c:pt>
              </c:numCache>
            </c:numRef>
          </c:val>
          <c:extLst>
            <c:ext xmlns:c16="http://schemas.microsoft.com/office/drawing/2014/chart" uri="{C3380CC4-5D6E-409C-BE32-E72D297353CC}">
              <c16:uniqueId val="{00000002-29D4-C846-9879-BA2452D099B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Customer LTV by Horizon</a:t>
            </a:r>
          </a:p>
        </c:rich>
      </c:tx>
      <c:overlay val="1"/>
    </c:title>
    <c:autoTitleDeleted val="0"/>
    <c:plotArea>
      <c:layout/>
      <c:barChart>
        <c:barDir val="col"/>
        <c:grouping val="clustered"/>
        <c:varyColors val="0"/>
        <c:ser>
          <c:idx val="0"/>
          <c:order val="0"/>
          <c:tx>
            <c:v>Series 1</c:v>
          </c:tx>
          <c:invertIfNegative val="1"/>
          <c:cat>
            <c:strRef>
              <c:f>'Customer Economics'!$A$17:$A$20</c:f>
              <c:strCache>
                <c:ptCount val="4"/>
                <c:pt idx="0">
                  <c:v>First-journey contribution</c:v>
                </c:pt>
                <c:pt idx="1">
                  <c:v>3-month LTV</c:v>
                </c:pt>
                <c:pt idx="2">
                  <c:v>6-month LTV</c:v>
                </c:pt>
                <c:pt idx="3">
                  <c:v>12-month LTV</c:v>
                </c:pt>
              </c:strCache>
            </c:strRef>
          </c:cat>
          <c:val>
            <c:numRef>
              <c:f>'Customer Economics'!$B$17:$B$20</c:f>
              <c:numCache>
                <c:formatCode>#,##0;[Red]\(#,##0\);\-</c:formatCode>
                <c:ptCount val="4"/>
                <c:pt idx="0">
                  <c:v>1032.6130307632134</c:v>
                </c:pt>
                <c:pt idx="1">
                  <c:v>1548.9195461448201</c:v>
                </c:pt>
                <c:pt idx="2">
                  <c:v>2581.5325769080337</c:v>
                </c:pt>
                <c:pt idx="3">
                  <c:v>4130.4521230528535</c:v>
                </c:pt>
              </c:numCache>
            </c:numRef>
          </c:val>
          <c:extLst>
            <c:ext xmlns:c16="http://schemas.microsoft.com/office/drawing/2014/chart" uri="{C3380CC4-5D6E-409C-BE32-E72D297353CC}">
              <c16:uniqueId val="{00000000-C6FA-C443-8461-F5FF21408C1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Retention Planning Metrics</a:t>
            </a:r>
          </a:p>
        </c:rich>
      </c:tx>
      <c:overlay val="1"/>
    </c:title>
    <c:autoTitleDeleted val="0"/>
    <c:plotArea>
      <c:layout/>
      <c:barChart>
        <c:barDir val="col"/>
        <c:grouping val="clustered"/>
        <c:varyColors val="0"/>
        <c:ser>
          <c:idx val="0"/>
          <c:order val="0"/>
          <c:tx>
            <c:v>Series 1</c:v>
          </c:tx>
          <c:invertIfNegative val="1"/>
          <c:cat>
            <c:strRef>
              <c:f>'Customer Economics'!$F$17:$F$23</c:f>
              <c:strCache>
                <c:ptCount val="7"/>
                <c:pt idx="0">
                  <c:v>Repeat rate</c:v>
                </c:pt>
                <c:pt idx="1">
                  <c:v>Second journey rate</c:v>
                </c:pt>
                <c:pt idx="2">
                  <c:v>Third journey rate</c:v>
                </c:pt>
                <c:pt idx="3">
                  <c:v>Journeys / active family / month</c:v>
                </c:pt>
                <c:pt idx="4">
                  <c:v>Average days between journeys</c:v>
                </c:pt>
                <c:pt idx="5">
                  <c:v>NRI Parent repeat rate</c:v>
                </c:pt>
                <c:pt idx="6">
                  <c:v>Recurring-treatment repeat rate</c:v>
                </c:pt>
              </c:strCache>
            </c:strRef>
          </c:cat>
          <c:val>
            <c:numRef>
              <c:f>'Customer Economics'!$G$17:$G$23</c:f>
              <c:numCache>
                <c:formatCode>0.0%</c:formatCode>
                <c:ptCount val="7"/>
                <c:pt idx="0">
                  <c:v>0.4</c:v>
                </c:pt>
                <c:pt idx="1">
                  <c:v>0.35</c:v>
                </c:pt>
                <c:pt idx="2">
                  <c:v>0.25</c:v>
                </c:pt>
                <c:pt idx="3" formatCode="General">
                  <c:v>1.4</c:v>
                </c:pt>
                <c:pt idx="4" formatCode="General">
                  <c:v>45</c:v>
                </c:pt>
                <c:pt idx="5">
                  <c:v>0.6</c:v>
                </c:pt>
                <c:pt idx="6">
                  <c:v>0.75</c:v>
                </c:pt>
              </c:numCache>
            </c:numRef>
          </c:val>
          <c:extLst>
            <c:ext xmlns:c16="http://schemas.microsoft.com/office/drawing/2014/chart" uri="{C3380CC4-5D6E-409C-BE32-E72D297353CC}">
              <c16:uniqueId val="{00000000-5774-6E44-AD2F-685C19AA171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CAC vs Customer LTV</a:t>
            </a:r>
          </a:p>
        </c:rich>
      </c:tx>
      <c:overlay val="1"/>
    </c:title>
    <c:autoTitleDeleted val="0"/>
    <c:plotArea>
      <c:layout/>
      <c:barChart>
        <c:barDir val="col"/>
        <c:grouping val="clustered"/>
        <c:varyColors val="0"/>
        <c:ser>
          <c:idx val="0"/>
          <c:order val="0"/>
          <c:tx>
            <c:v>₹</c:v>
          </c:tx>
          <c:invertIfNegative val="1"/>
          <c:cat>
            <c:strRef>
              <c:f>'Customer Economics'!$K$34:$K$36</c:f>
              <c:strCache>
                <c:ptCount val="3"/>
                <c:pt idx="0">
                  <c:v>Blended CAC</c:v>
                </c:pt>
                <c:pt idx="1">
                  <c:v>3M LTV</c:v>
                </c:pt>
                <c:pt idx="2">
                  <c:v>12M LTV</c:v>
                </c:pt>
              </c:strCache>
            </c:strRef>
          </c:cat>
          <c:val>
            <c:numRef>
              <c:f>'Customer Economics'!$L$34:$L$36</c:f>
              <c:numCache>
                <c:formatCode>#,##0;[Red]\(#,##0\);\-</c:formatCode>
                <c:ptCount val="3"/>
                <c:pt idx="0">
                  <c:v>204.5</c:v>
                </c:pt>
                <c:pt idx="1">
                  <c:v>1548.9195461448201</c:v>
                </c:pt>
                <c:pt idx="2">
                  <c:v>4130.4521230528535</c:v>
                </c:pt>
              </c:numCache>
            </c:numRef>
          </c:val>
          <c:extLst>
            <c:ext xmlns:c16="http://schemas.microsoft.com/office/drawing/2014/chart" uri="{C3380CC4-5D6E-409C-BE32-E72D297353CC}">
              <c16:uniqueId val="{00000000-33EC-9445-BEC8-E378979D3B8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Contribution / Angel Hour — Leading Services</a:t>
            </a:r>
          </a:p>
        </c:rich>
      </c:tx>
      <c:overlay val="1"/>
    </c:title>
    <c:autoTitleDeleted val="0"/>
    <c:plotArea>
      <c:layout/>
      <c:barChart>
        <c:barDir val="col"/>
        <c:grouping val="clustered"/>
        <c:varyColors val="0"/>
        <c:ser>
          <c:idx val="0"/>
          <c:order val="0"/>
          <c:tx>
            <c:v>Customer Price</c:v>
          </c:tx>
          <c:invertIfNegative val="1"/>
          <c:cat>
            <c:strRef>
              <c:f>'Service Portfolio'!$H$5:$H$14</c:f>
              <c:strCache>
                <c:ptCount val="10"/>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strCache>
            </c:strRef>
          </c:cat>
          <c:val>
            <c:numRef>
              <c:f>'Service Portfolio'!$I$5:$I$14</c:f>
              <c:numCache>
                <c:formatCode>#,##0;[Red]\(#,##0\);\-</c:formatCode>
                <c:ptCount val="10"/>
                <c:pt idx="0">
                  <c:v>1395</c:v>
                </c:pt>
                <c:pt idx="1">
                  <c:v>916.6</c:v>
                </c:pt>
                <c:pt idx="2">
                  <c:v>737.2</c:v>
                </c:pt>
                <c:pt idx="3">
                  <c:v>961.44999999999993</c:v>
                </c:pt>
                <c:pt idx="4">
                  <c:v>1544.5</c:v>
                </c:pt>
                <c:pt idx="5">
                  <c:v>1574.3999999999999</c:v>
                </c:pt>
                <c:pt idx="6">
                  <c:v>1514.6000000000001</c:v>
                </c:pt>
                <c:pt idx="7">
                  <c:v>3547.7999999999997</c:v>
                </c:pt>
                <c:pt idx="8">
                  <c:v>3547.7999999999997</c:v>
                </c:pt>
                <c:pt idx="9">
                  <c:v>2351.7999999999997</c:v>
                </c:pt>
              </c:numCache>
            </c:numRef>
          </c:val>
          <c:extLst>
            <c:ext xmlns:c16="http://schemas.microsoft.com/office/drawing/2014/chart" uri="{C3380CC4-5D6E-409C-BE32-E72D297353CC}">
              <c16:uniqueId val="{00000000-A66A-9B42-B92F-F0509B6CF599}"/>
            </c:ext>
          </c:extLst>
        </c:ser>
        <c:ser>
          <c:idx val="1"/>
          <c:order val="1"/>
          <c:tx>
            <c:v>Net Revenue</c:v>
          </c:tx>
          <c:invertIfNegative val="1"/>
          <c:cat>
            <c:strRef>
              <c:f>'Service Portfolio'!$H$5:$H$14</c:f>
              <c:strCache>
                <c:ptCount val="10"/>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strCache>
            </c:strRef>
          </c:cat>
          <c:val>
            <c:numRef>
              <c:f>'Service Portfolio'!$J$5:$J$14</c:f>
              <c:numCache>
                <c:formatCode>#,##0;[Red]\(#,##0\);\-</c:formatCode>
                <c:ptCount val="10"/>
                <c:pt idx="0">
                  <c:v>1182.2033898305085</c:v>
                </c:pt>
                <c:pt idx="1">
                  <c:v>776.77966101694926</c:v>
                </c:pt>
                <c:pt idx="2">
                  <c:v>624.74576271186447</c:v>
                </c:pt>
                <c:pt idx="3">
                  <c:v>814.78813559322032</c:v>
                </c:pt>
                <c:pt idx="4">
                  <c:v>1308.8983050847457</c:v>
                </c:pt>
                <c:pt idx="5">
                  <c:v>1334.2372881355932</c:v>
                </c:pt>
                <c:pt idx="6">
                  <c:v>1283.5593220338985</c:v>
                </c:pt>
                <c:pt idx="7">
                  <c:v>3006.6101694915255</c:v>
                </c:pt>
                <c:pt idx="8">
                  <c:v>3006.6101694915255</c:v>
                </c:pt>
                <c:pt idx="9">
                  <c:v>1993.050847457627</c:v>
                </c:pt>
              </c:numCache>
            </c:numRef>
          </c:val>
          <c:extLst>
            <c:ext xmlns:c16="http://schemas.microsoft.com/office/drawing/2014/chart" uri="{C3380CC4-5D6E-409C-BE32-E72D297353CC}">
              <c16:uniqueId val="{00000001-A66A-9B42-B92F-F0509B6CF599}"/>
            </c:ext>
          </c:extLst>
        </c:ser>
        <c:ser>
          <c:idx val="2"/>
          <c:order val="2"/>
          <c:tx>
            <c:v>Incremental Contribution</c:v>
          </c:tx>
          <c:invertIfNegative val="1"/>
          <c:cat>
            <c:strRef>
              <c:f>'Service Portfolio'!$H$5:$H$14</c:f>
              <c:strCache>
                <c:ptCount val="10"/>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strCache>
            </c:strRef>
          </c:cat>
          <c:val>
            <c:numRef>
              <c:f>'Service Portfolio'!$K$5:$K$14</c:f>
              <c:numCache>
                <c:formatCode>#,##0;[Red]\(#,##0\);\-</c:formatCode>
                <c:ptCount val="10"/>
                <c:pt idx="0">
                  <c:v>1076.8783898305085</c:v>
                </c:pt>
                <c:pt idx="1">
                  <c:v>688.19866101694925</c:v>
                </c:pt>
                <c:pt idx="2">
                  <c:v>542.44376271186445</c:v>
                </c:pt>
                <c:pt idx="3">
                  <c:v>724.6373855932203</c:v>
                </c:pt>
                <c:pt idx="4">
                  <c:v>1198.3408050847456</c:v>
                </c:pt>
                <c:pt idx="5">
                  <c:v>1222.6332881355931</c:v>
                </c:pt>
                <c:pt idx="6">
                  <c:v>1174.0483220338986</c:v>
                </c:pt>
                <c:pt idx="7">
                  <c:v>2825.9371694915253</c:v>
                </c:pt>
                <c:pt idx="8">
                  <c:v>2825.9371694915253</c:v>
                </c:pt>
                <c:pt idx="9">
                  <c:v>1854.2378474576271</c:v>
                </c:pt>
              </c:numCache>
            </c:numRef>
          </c:val>
          <c:extLst>
            <c:ext xmlns:c16="http://schemas.microsoft.com/office/drawing/2014/chart" uri="{C3380CC4-5D6E-409C-BE32-E72D297353CC}">
              <c16:uniqueId val="{00000002-A66A-9B42-B92F-F0509B6CF599}"/>
            </c:ext>
          </c:extLst>
        </c:ser>
        <c:ser>
          <c:idx val="3"/>
          <c:order val="3"/>
          <c:tx>
            <c:v>Fully Loaded Contribution</c:v>
          </c:tx>
          <c:invertIfNegative val="1"/>
          <c:cat>
            <c:strRef>
              <c:f>'Service Portfolio'!$H$5:$H$14</c:f>
              <c:strCache>
                <c:ptCount val="10"/>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strCache>
            </c:strRef>
          </c:cat>
          <c:val>
            <c:numRef>
              <c:f>'Service Portfolio'!$L$5:$L$14</c:f>
              <c:numCache>
                <c:formatCode>#,##0;[Red]\(#,##0\);\-</c:formatCode>
                <c:ptCount val="10"/>
                <c:pt idx="0">
                  <c:v>662.67720639855588</c:v>
                </c:pt>
                <c:pt idx="1">
                  <c:v>377.54777344298475</c:v>
                </c:pt>
                <c:pt idx="2">
                  <c:v>335.34317099588816</c:v>
                </c:pt>
                <c:pt idx="3">
                  <c:v>413.98649801925581</c:v>
                </c:pt>
                <c:pt idx="4">
                  <c:v>680.58932579480484</c:v>
                </c:pt>
                <c:pt idx="5">
                  <c:v>808.43210470364056</c:v>
                </c:pt>
                <c:pt idx="6">
                  <c:v>759.84713860194597</c:v>
                </c:pt>
                <c:pt idx="7">
                  <c:v>1583.3336191956673</c:v>
                </c:pt>
                <c:pt idx="8">
                  <c:v>1583.3336191956673</c:v>
                </c:pt>
                <c:pt idx="9">
                  <c:v>1232.9360723096981</c:v>
                </c:pt>
              </c:numCache>
            </c:numRef>
          </c:val>
          <c:extLst>
            <c:ext xmlns:c16="http://schemas.microsoft.com/office/drawing/2014/chart" uri="{C3380CC4-5D6E-409C-BE32-E72D297353CC}">
              <c16:uniqueId val="{00000003-A66A-9B42-B92F-F0509B6CF599}"/>
            </c:ext>
          </c:extLst>
        </c:ser>
        <c:ser>
          <c:idx val="4"/>
          <c:order val="4"/>
          <c:tx>
            <c:v>Fully Loaded Margin</c:v>
          </c:tx>
          <c:invertIfNegative val="1"/>
          <c:cat>
            <c:strRef>
              <c:f>'Service Portfolio'!$H$5:$H$14</c:f>
              <c:strCache>
                <c:ptCount val="10"/>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strCache>
            </c:strRef>
          </c:cat>
          <c:val>
            <c:numRef>
              <c:f>'Service Portfolio'!$M$5:$M$14</c:f>
              <c:numCache>
                <c:formatCode>0.0%</c:formatCode>
                <c:ptCount val="10"/>
                <c:pt idx="0">
                  <c:v>0.5605441602511082</c:v>
                </c:pt>
                <c:pt idx="1">
                  <c:v>0.48604230052664404</c:v>
                </c:pt>
                <c:pt idx="2">
                  <c:v>0.53676741966243624</c:v>
                </c:pt>
                <c:pt idx="3">
                  <c:v>0.50809097473890674</c:v>
                </c:pt>
                <c:pt idx="4">
                  <c:v>0.51997112621422448</c:v>
                </c:pt>
                <c:pt idx="5">
                  <c:v>0.60591328985664117</c:v>
                </c:pt>
                <c:pt idx="6">
                  <c:v>0.59198443387712674</c:v>
                </c:pt>
                <c:pt idx="7">
                  <c:v>0.52661752935647088</c:v>
                </c:pt>
                <c:pt idx="8">
                  <c:v>0.52661752935647088</c:v>
                </c:pt>
                <c:pt idx="9">
                  <c:v>0.61861746973613563</c:v>
                </c:pt>
              </c:numCache>
            </c:numRef>
          </c:val>
          <c:extLst>
            <c:ext xmlns:c16="http://schemas.microsoft.com/office/drawing/2014/chart" uri="{C3380CC4-5D6E-409C-BE32-E72D297353CC}">
              <c16:uniqueId val="{00000004-A66A-9B42-B92F-F0509B6CF599}"/>
            </c:ext>
          </c:extLst>
        </c:ser>
        <c:ser>
          <c:idx val="5"/>
          <c:order val="5"/>
          <c:tx>
            <c:v>Contribution / Angel Hr</c:v>
          </c:tx>
          <c:invertIfNegative val="1"/>
          <c:cat>
            <c:strRef>
              <c:f>'Service Portfolio'!$H$5:$H$14</c:f>
              <c:strCache>
                <c:ptCount val="10"/>
                <c:pt idx="0">
                  <c:v>Hospital Visit</c:v>
                </c:pt>
                <c:pt idx="1">
                  <c:v>Hospital Visit — Concierge at Hospital</c:v>
                </c:pt>
                <c:pt idx="2">
                  <c:v>Clinic Visit</c:v>
                </c:pt>
                <c:pt idx="3">
                  <c:v>Diagnostic Center Visit</c:v>
                </c:pt>
                <c:pt idx="4">
                  <c:v>Health Check-up Concierge</c:v>
                </c:pt>
                <c:pt idx="5">
                  <c:v>Hospital Admission Concierge</c:v>
                </c:pt>
                <c:pt idx="6">
                  <c:v>Hospital Discharge Concierge</c:v>
                </c:pt>
                <c:pt idx="7">
                  <c:v>Overnight Hospital Concierge</c:v>
                </c:pt>
                <c:pt idx="8">
                  <c:v>Multi-Day Hospital Concierge (per 12h shift)</c:v>
                </c:pt>
                <c:pt idx="9">
                  <c:v>Day Surgery / Procedure Concierge</c:v>
                </c:pt>
              </c:strCache>
            </c:strRef>
          </c:cat>
          <c:val>
            <c:numRef>
              <c:f>'Service Portfolio'!$N$5:$N$14</c:f>
              <c:numCache>
                <c:formatCode>#,##0;[Red]\(#,##0\);\-</c:formatCode>
                <c:ptCount val="10"/>
                <c:pt idx="0">
                  <c:v>165.66930159963897</c:v>
                </c:pt>
                <c:pt idx="1">
                  <c:v>125.84925781432825</c:v>
                </c:pt>
                <c:pt idx="2">
                  <c:v>167.67158549794408</c:v>
                </c:pt>
                <c:pt idx="3">
                  <c:v>137.99549933975194</c:v>
                </c:pt>
                <c:pt idx="4">
                  <c:v>136.11786515896097</c:v>
                </c:pt>
                <c:pt idx="5">
                  <c:v>202.10802617591014</c:v>
                </c:pt>
                <c:pt idx="6">
                  <c:v>189.96178465048649</c:v>
                </c:pt>
                <c:pt idx="7">
                  <c:v>131.94446826630562</c:v>
                </c:pt>
                <c:pt idx="8">
                  <c:v>131.94446826630562</c:v>
                </c:pt>
                <c:pt idx="9">
                  <c:v>205.4893453849497</c:v>
                </c:pt>
              </c:numCache>
            </c:numRef>
          </c:val>
          <c:extLst>
            <c:ext xmlns:c16="http://schemas.microsoft.com/office/drawing/2014/chart" uri="{C3380CC4-5D6E-409C-BE32-E72D297353CC}">
              <c16:uniqueId val="{00000005-A66A-9B42-B92F-F0509B6CF59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Hospital Concierge Multiplier Sensitivity</a:t>
            </a:r>
          </a:p>
        </c:rich>
      </c:tx>
      <c:overlay val="1"/>
    </c:title>
    <c:autoTitleDeleted val="0"/>
    <c:plotArea>
      <c:layout/>
      <c:lineChart>
        <c:grouping val="standard"/>
        <c:varyColors val="0"/>
        <c:ser>
          <c:idx val="0"/>
          <c:order val="0"/>
          <c:tx>
            <c:v>Customer Price</c:v>
          </c:tx>
          <c:marker>
            <c:symbol val="none"/>
          </c:marker>
          <c:cat>
            <c:numRef>
              <c:f>'Service Portfolio'!$H$40:$H$47</c:f>
              <c:numCache>
                <c:formatCode>0.00\x</c:formatCode>
                <c:ptCount val="8"/>
                <c:pt idx="0">
                  <c:v>0.6</c:v>
                </c:pt>
                <c:pt idx="1">
                  <c:v>0.7</c:v>
                </c:pt>
                <c:pt idx="2">
                  <c:v>0.8</c:v>
                </c:pt>
                <c:pt idx="3">
                  <c:v>0.9</c:v>
                </c:pt>
                <c:pt idx="4">
                  <c:v>1</c:v>
                </c:pt>
                <c:pt idx="5">
                  <c:v>1.1000000000000001</c:v>
                </c:pt>
                <c:pt idx="6">
                  <c:v>1.2</c:v>
                </c:pt>
                <c:pt idx="7">
                  <c:v>1.3</c:v>
                </c:pt>
              </c:numCache>
            </c:numRef>
          </c:cat>
          <c:val>
            <c:numRef>
              <c:f>'Service Portfolio'!$I$40:$I$47</c:f>
              <c:numCache>
                <c:formatCode>#,##0;[Red]\(#,##0\);\-</c:formatCode>
                <c:ptCount val="8"/>
                <c:pt idx="0">
                  <c:v>1239.3999999999999</c:v>
                </c:pt>
                <c:pt idx="1">
                  <c:v>1412.8</c:v>
                </c:pt>
                <c:pt idx="2">
                  <c:v>1586.2</c:v>
                </c:pt>
                <c:pt idx="3">
                  <c:v>1759.6000000000001</c:v>
                </c:pt>
                <c:pt idx="4">
                  <c:v>1933</c:v>
                </c:pt>
                <c:pt idx="5">
                  <c:v>2106.4</c:v>
                </c:pt>
                <c:pt idx="6">
                  <c:v>2279.7999999999997</c:v>
                </c:pt>
                <c:pt idx="7">
                  <c:v>2453.2000000000003</c:v>
                </c:pt>
              </c:numCache>
            </c:numRef>
          </c:val>
          <c:smooth val="1"/>
          <c:extLst>
            <c:ext xmlns:c16="http://schemas.microsoft.com/office/drawing/2014/chart" uri="{C3380CC4-5D6E-409C-BE32-E72D297353CC}">
              <c16:uniqueId val="{00000000-3BC8-4A47-B873-D6DAD766DCC9}"/>
            </c:ext>
          </c:extLst>
        </c:ser>
        <c:ser>
          <c:idx val="1"/>
          <c:order val="1"/>
          <c:tx>
            <c:v>Net Revenue</c:v>
          </c:tx>
          <c:marker>
            <c:symbol val="none"/>
          </c:marker>
          <c:cat>
            <c:numRef>
              <c:f>'Service Portfolio'!$H$40:$H$47</c:f>
              <c:numCache>
                <c:formatCode>0.00\x</c:formatCode>
                <c:ptCount val="8"/>
                <c:pt idx="0">
                  <c:v>0.6</c:v>
                </c:pt>
                <c:pt idx="1">
                  <c:v>0.7</c:v>
                </c:pt>
                <c:pt idx="2">
                  <c:v>0.8</c:v>
                </c:pt>
                <c:pt idx="3">
                  <c:v>0.9</c:v>
                </c:pt>
                <c:pt idx="4">
                  <c:v>1</c:v>
                </c:pt>
                <c:pt idx="5">
                  <c:v>1.1000000000000001</c:v>
                </c:pt>
                <c:pt idx="6">
                  <c:v>1.2</c:v>
                </c:pt>
                <c:pt idx="7">
                  <c:v>1.3</c:v>
                </c:pt>
              </c:numCache>
            </c:numRef>
          </c:cat>
          <c:val>
            <c:numRef>
              <c:f>'Service Portfolio'!$J$40:$J$47</c:f>
              <c:numCache>
                <c:formatCode>#,##0;[Red]\(#,##0\);\-</c:formatCode>
                <c:ptCount val="8"/>
                <c:pt idx="0">
                  <c:v>1050.3389830508474</c:v>
                </c:pt>
                <c:pt idx="1">
                  <c:v>1197.2881355932204</c:v>
                </c:pt>
                <c:pt idx="2">
                  <c:v>1344.2372881355934</c:v>
                </c:pt>
                <c:pt idx="3">
                  <c:v>1491.1864406779664</c:v>
                </c:pt>
                <c:pt idx="4">
                  <c:v>1638.1355932203392</c:v>
                </c:pt>
                <c:pt idx="5">
                  <c:v>1785.0847457627121</c:v>
                </c:pt>
                <c:pt idx="6">
                  <c:v>1932.0338983050847</c:v>
                </c:pt>
                <c:pt idx="7">
                  <c:v>2078.9830508474579</c:v>
                </c:pt>
              </c:numCache>
            </c:numRef>
          </c:val>
          <c:smooth val="1"/>
          <c:extLst>
            <c:ext xmlns:c16="http://schemas.microsoft.com/office/drawing/2014/chart" uri="{C3380CC4-5D6E-409C-BE32-E72D297353CC}">
              <c16:uniqueId val="{00000001-3BC8-4A47-B873-D6DAD766DCC9}"/>
            </c:ext>
          </c:extLst>
        </c:ser>
        <c:ser>
          <c:idx val="2"/>
          <c:order val="2"/>
          <c:tx>
            <c:v>Variable Cost</c:v>
          </c:tx>
          <c:marker>
            <c:symbol val="none"/>
          </c:marker>
          <c:cat>
            <c:numRef>
              <c:f>'Service Portfolio'!$H$40:$H$47</c:f>
              <c:numCache>
                <c:formatCode>0.00\x</c:formatCode>
                <c:ptCount val="8"/>
                <c:pt idx="0">
                  <c:v>0.6</c:v>
                </c:pt>
                <c:pt idx="1">
                  <c:v>0.7</c:v>
                </c:pt>
                <c:pt idx="2">
                  <c:v>0.8</c:v>
                </c:pt>
                <c:pt idx="3">
                  <c:v>0.9</c:v>
                </c:pt>
                <c:pt idx="4">
                  <c:v>1</c:v>
                </c:pt>
                <c:pt idx="5">
                  <c:v>1.1000000000000001</c:v>
                </c:pt>
                <c:pt idx="6">
                  <c:v>1.2</c:v>
                </c:pt>
                <c:pt idx="7">
                  <c:v>1.3</c:v>
                </c:pt>
              </c:numCache>
            </c:numRef>
          </c:cat>
          <c:val>
            <c:numRef>
              <c:f>'Service Portfolio'!$K$40:$K$47</c:f>
              <c:numCache>
                <c:formatCode>#,##0;[Red]\(#,##0\);\-</c:formatCode>
                <c:ptCount val="8"/>
                <c:pt idx="0">
                  <c:v>721.18077514792901</c:v>
                </c:pt>
                <c:pt idx="1">
                  <c:v>727.24977514792897</c:v>
                </c:pt>
                <c:pt idx="2">
                  <c:v>733.31877514792905</c:v>
                </c:pt>
                <c:pt idx="3">
                  <c:v>739.38777514792901</c:v>
                </c:pt>
                <c:pt idx="4">
                  <c:v>745.45677514792897</c:v>
                </c:pt>
                <c:pt idx="5">
                  <c:v>751.52577514792904</c:v>
                </c:pt>
                <c:pt idx="6">
                  <c:v>757.594775147929</c:v>
                </c:pt>
                <c:pt idx="7">
                  <c:v>763.66377514792896</c:v>
                </c:pt>
              </c:numCache>
            </c:numRef>
          </c:val>
          <c:smooth val="1"/>
          <c:extLst>
            <c:ext xmlns:c16="http://schemas.microsoft.com/office/drawing/2014/chart" uri="{C3380CC4-5D6E-409C-BE32-E72D297353CC}">
              <c16:uniqueId val="{00000002-3BC8-4A47-B873-D6DAD766DCC9}"/>
            </c:ext>
          </c:extLst>
        </c:ser>
        <c:ser>
          <c:idx val="3"/>
          <c:order val="3"/>
          <c:tx>
            <c:v>Contribution</c:v>
          </c:tx>
          <c:marker>
            <c:symbol val="none"/>
          </c:marker>
          <c:cat>
            <c:numRef>
              <c:f>'Service Portfolio'!$H$40:$H$47</c:f>
              <c:numCache>
                <c:formatCode>0.00\x</c:formatCode>
                <c:ptCount val="8"/>
                <c:pt idx="0">
                  <c:v>0.6</c:v>
                </c:pt>
                <c:pt idx="1">
                  <c:v>0.7</c:v>
                </c:pt>
                <c:pt idx="2">
                  <c:v>0.8</c:v>
                </c:pt>
                <c:pt idx="3">
                  <c:v>0.9</c:v>
                </c:pt>
                <c:pt idx="4">
                  <c:v>1</c:v>
                </c:pt>
                <c:pt idx="5">
                  <c:v>1.1000000000000001</c:v>
                </c:pt>
                <c:pt idx="6">
                  <c:v>1.2</c:v>
                </c:pt>
                <c:pt idx="7">
                  <c:v>1.3</c:v>
                </c:pt>
              </c:numCache>
            </c:numRef>
          </c:cat>
          <c:val>
            <c:numRef>
              <c:f>'Service Portfolio'!$L$40:$L$47</c:f>
              <c:numCache>
                <c:formatCode>#,##0;[Red]\(#,##0\);\-</c:formatCode>
                <c:ptCount val="8"/>
                <c:pt idx="0">
                  <c:v>329.15820790291843</c:v>
                </c:pt>
                <c:pt idx="1">
                  <c:v>470.03836044529146</c:v>
                </c:pt>
                <c:pt idx="2">
                  <c:v>610.91851298766437</c:v>
                </c:pt>
                <c:pt idx="3">
                  <c:v>751.7986655300374</c:v>
                </c:pt>
                <c:pt idx="4">
                  <c:v>892.67881807241019</c:v>
                </c:pt>
                <c:pt idx="5">
                  <c:v>1033.558970614783</c:v>
                </c:pt>
                <c:pt idx="6">
                  <c:v>1174.4391231571558</c:v>
                </c:pt>
                <c:pt idx="7">
                  <c:v>1315.319275699529</c:v>
                </c:pt>
              </c:numCache>
            </c:numRef>
          </c:val>
          <c:smooth val="1"/>
          <c:extLst>
            <c:ext xmlns:c16="http://schemas.microsoft.com/office/drawing/2014/chart" uri="{C3380CC4-5D6E-409C-BE32-E72D297353CC}">
              <c16:uniqueId val="{00000003-3BC8-4A47-B873-D6DAD766DCC9}"/>
            </c:ext>
          </c:extLst>
        </c:ser>
        <c:ser>
          <c:idx val="4"/>
          <c:order val="4"/>
          <c:tx>
            <c:v>Contribution / Hour</c:v>
          </c:tx>
          <c:marker>
            <c:symbol val="none"/>
          </c:marker>
          <c:cat>
            <c:numRef>
              <c:f>'Service Portfolio'!$H$40:$H$47</c:f>
              <c:numCache>
                <c:formatCode>0.00\x</c:formatCode>
                <c:ptCount val="8"/>
                <c:pt idx="0">
                  <c:v>0.6</c:v>
                </c:pt>
                <c:pt idx="1">
                  <c:v>0.7</c:v>
                </c:pt>
                <c:pt idx="2">
                  <c:v>0.8</c:v>
                </c:pt>
                <c:pt idx="3">
                  <c:v>0.9</c:v>
                </c:pt>
                <c:pt idx="4">
                  <c:v>1</c:v>
                </c:pt>
                <c:pt idx="5">
                  <c:v>1.1000000000000001</c:v>
                </c:pt>
                <c:pt idx="6">
                  <c:v>1.2</c:v>
                </c:pt>
                <c:pt idx="7">
                  <c:v>1.3</c:v>
                </c:pt>
              </c:numCache>
            </c:numRef>
          </c:cat>
          <c:val>
            <c:numRef>
              <c:f>'Service Portfolio'!$M$40:$M$47</c:f>
              <c:numCache>
                <c:formatCode>#,##0;[Red]\(#,##0\);\-</c:formatCode>
                <c:ptCount val="8"/>
                <c:pt idx="0">
                  <c:v>54.859701317153075</c:v>
                </c:pt>
                <c:pt idx="1">
                  <c:v>78.339726740881915</c:v>
                </c:pt>
                <c:pt idx="2">
                  <c:v>101.81975216461073</c:v>
                </c:pt>
                <c:pt idx="3">
                  <c:v>125.29977758833957</c:v>
                </c:pt>
                <c:pt idx="4">
                  <c:v>148.77980301206836</c:v>
                </c:pt>
                <c:pt idx="5">
                  <c:v>172.25982843579717</c:v>
                </c:pt>
                <c:pt idx="6">
                  <c:v>195.73985385952597</c:v>
                </c:pt>
                <c:pt idx="7">
                  <c:v>219.21987928325484</c:v>
                </c:pt>
              </c:numCache>
            </c:numRef>
          </c:val>
          <c:smooth val="1"/>
          <c:extLst>
            <c:ext xmlns:c16="http://schemas.microsoft.com/office/drawing/2014/chart" uri="{C3380CC4-5D6E-409C-BE32-E72D297353CC}">
              <c16:uniqueId val="{00000004-3BC8-4A47-B873-D6DAD766DCC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x"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Ending Cash — 18 Month Runway</a:t>
            </a:r>
          </a:p>
        </c:rich>
      </c:tx>
      <c:overlay val="1"/>
    </c:title>
    <c:autoTitleDeleted val="0"/>
    <c:plotArea>
      <c:layout/>
      <c:lineChart>
        <c:grouping val="standard"/>
        <c:varyColors val="0"/>
        <c:ser>
          <c:idx val="0"/>
          <c:order val="0"/>
          <c:tx>
            <c:v>Opening Cash</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Runway'!$B$18:$B$35</c:f>
              <c:numCache>
                <c:formatCode>#,##0;[Red]\(#,##0\);\-</c:formatCode>
                <c:ptCount val="18"/>
                <c:pt idx="0">
                  <c:v>1300000</c:v>
                </c:pt>
                <c:pt idx="1">
                  <c:v>1174844.3992587323</c:v>
                </c:pt>
                <c:pt idx="2">
                  <c:v>1056510.1264285124</c:v>
                </c:pt>
                <c:pt idx="3">
                  <c:v>945815.74085866613</c:v>
                </c:pt>
                <c:pt idx="4">
                  <c:v>843678.02902043832</c:v>
                </c:pt>
                <c:pt idx="5">
                  <c:v>751123.79176162311</c:v>
                </c:pt>
                <c:pt idx="6">
                  <c:v>669303.04603175004</c:v>
                </c:pt>
                <c:pt idx="7">
                  <c:v>599503.81081429229</c:v>
                </c:pt>
                <c:pt idx="8">
                  <c:v>543168.66737073963</c:v>
                </c:pt>
                <c:pt idx="9">
                  <c:v>501913.3067139606</c:v>
                </c:pt>
                <c:pt idx="10">
                  <c:v>477547.30277836812</c:v>
                </c:pt>
                <c:pt idx="11">
                  <c:v>472097.37837050454</c:v>
                </c:pt>
                <c:pt idx="12">
                  <c:v>487833.46303369734</c:v>
                </c:pt>
                <c:pt idx="13">
                  <c:v>527297.87785647332</c:v>
                </c:pt>
                <c:pt idx="14">
                  <c:v>593338.02245798241</c:v>
                </c:pt>
                <c:pt idx="15">
                  <c:v>689142.98441167269</c:v>
                </c:pt>
                <c:pt idx="16">
                  <c:v>818284.54179980583</c:v>
                </c:pt>
                <c:pt idx="17">
                  <c:v>984763.08607451501</c:v>
                </c:pt>
              </c:numCache>
            </c:numRef>
          </c:val>
          <c:smooth val="1"/>
          <c:extLst>
            <c:ext xmlns:c16="http://schemas.microsoft.com/office/drawing/2014/chart" uri="{C3380CC4-5D6E-409C-BE32-E72D297353CC}">
              <c16:uniqueId val="{00000000-AA5E-444E-B6F8-5F88AFD09F61}"/>
            </c:ext>
          </c:extLst>
        </c:ser>
        <c:ser>
          <c:idx val="1"/>
          <c:order val="1"/>
          <c:tx>
            <c:v>Journeys</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Runway'!$C$18:$C$35</c:f>
              <c:numCache>
                <c:formatCode>General</c:formatCode>
                <c:ptCount val="18"/>
                <c:pt idx="0">
                  <c:v>37.620000000000005</c:v>
                </c:pt>
                <c:pt idx="1">
                  <c:v>42.134400000000007</c:v>
                </c:pt>
                <c:pt idx="2">
                  <c:v>47.190528000000015</c:v>
                </c:pt>
                <c:pt idx="3">
                  <c:v>52.853391360000025</c:v>
                </c:pt>
                <c:pt idx="4">
                  <c:v>59.19579832320003</c:v>
                </c:pt>
                <c:pt idx="5">
                  <c:v>66.299294121984033</c:v>
                </c:pt>
                <c:pt idx="6">
                  <c:v>74.255209416622122</c:v>
                </c:pt>
                <c:pt idx="7">
                  <c:v>83.165834546616779</c:v>
                </c:pt>
                <c:pt idx="8">
                  <c:v>93.145734692210794</c:v>
                </c:pt>
                <c:pt idx="9">
                  <c:v>104.3232228552761</c:v>
                </c:pt>
                <c:pt idx="10">
                  <c:v>116.84200959790924</c:v>
                </c:pt>
                <c:pt idx="11">
                  <c:v>130.86305074965836</c:v>
                </c:pt>
                <c:pt idx="12">
                  <c:v>146.56661683961738</c:v>
                </c:pt>
                <c:pt idx="13">
                  <c:v>164.15461086037149</c:v>
                </c:pt>
                <c:pt idx="14">
                  <c:v>183.8531641636161</c:v>
                </c:pt>
                <c:pt idx="15">
                  <c:v>205.91554386325006</c:v>
                </c:pt>
                <c:pt idx="16">
                  <c:v>230.62540912684008</c:v>
                </c:pt>
                <c:pt idx="17">
                  <c:v>258.30045822206091</c:v>
                </c:pt>
              </c:numCache>
            </c:numRef>
          </c:val>
          <c:smooth val="1"/>
          <c:extLst>
            <c:ext xmlns:c16="http://schemas.microsoft.com/office/drawing/2014/chart" uri="{C3380CC4-5D6E-409C-BE32-E72D297353CC}">
              <c16:uniqueId val="{00000001-AA5E-444E-B6F8-5F88AFD09F61}"/>
            </c:ext>
          </c:extLst>
        </c:ser>
        <c:ser>
          <c:idx val="2"/>
          <c:order val="2"/>
          <c:tx>
            <c:v>Net Operating Revenue</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Runway'!$D$18:$D$35</c:f>
              <c:numCache>
                <c:formatCode>#,##0;[Red]\(#,##0\);\-</c:formatCode>
                <c:ptCount val="18"/>
                <c:pt idx="0">
                  <c:v>69094.677355932217</c:v>
                </c:pt>
                <c:pt idx="1">
                  <c:v>77386.03863864408</c:v>
                </c:pt>
                <c:pt idx="2">
                  <c:v>86672.363275281386</c:v>
                </c:pt>
                <c:pt idx="3">
                  <c:v>97073.04686831517</c:v>
                </c:pt>
                <c:pt idx="4">
                  <c:v>108721.812492513</c:v>
                </c:pt>
                <c:pt idx="5">
                  <c:v>121768.42999161455</c:v>
                </c:pt>
                <c:pt idx="6">
                  <c:v>136380.64159060831</c:v>
                </c:pt>
                <c:pt idx="7">
                  <c:v>152746.31858148129</c:v>
                </c:pt>
                <c:pt idx="8">
                  <c:v>171075.87681125908</c:v>
                </c:pt>
                <c:pt idx="9">
                  <c:v>191604.98202861016</c:v>
                </c:pt>
                <c:pt idx="10">
                  <c:v>214597.5798720434</c:v>
                </c:pt>
                <c:pt idx="11">
                  <c:v>240349.28945668862</c:v>
                </c:pt>
                <c:pt idx="12">
                  <c:v>269191.2041914913</c:v>
                </c:pt>
                <c:pt idx="13">
                  <c:v>301494.14869447029</c:v>
                </c:pt>
                <c:pt idx="14">
                  <c:v>337673.44653780677</c:v>
                </c:pt>
                <c:pt idx="15">
                  <c:v>378194.26012234366</c:v>
                </c:pt>
                <c:pt idx="16">
                  <c:v>423577.57133702491</c:v>
                </c:pt>
                <c:pt idx="17">
                  <c:v>474406.87989746797</c:v>
                </c:pt>
              </c:numCache>
            </c:numRef>
          </c:val>
          <c:smooth val="1"/>
          <c:extLst>
            <c:ext xmlns:c16="http://schemas.microsoft.com/office/drawing/2014/chart" uri="{C3380CC4-5D6E-409C-BE32-E72D297353CC}">
              <c16:uniqueId val="{00000002-AA5E-444E-B6F8-5F88AFD09F61}"/>
            </c:ext>
          </c:extLst>
        </c:ser>
        <c:ser>
          <c:idx val="3"/>
          <c:order val="3"/>
          <c:tx>
            <c:v>Variable Delivery Cost</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Runway'!$E$18:$E$35</c:f>
              <c:numCache>
                <c:formatCode>#,##0;[Red]\(#,##0\);\-</c:formatCode>
                <c:ptCount val="18"/>
                <c:pt idx="0">
                  <c:v>12250.278097200011</c:v>
                </c:pt>
                <c:pt idx="1">
                  <c:v>13720.311468864005</c:v>
                </c:pt>
                <c:pt idx="2">
                  <c:v>15366.748845127688</c:v>
                </c:pt>
                <c:pt idx="3">
                  <c:v>17210.758706543027</c:v>
                </c:pt>
                <c:pt idx="4">
                  <c:v>19276.049751328188</c:v>
                </c:pt>
                <c:pt idx="5">
                  <c:v>21589.175721487569</c:v>
                </c:pt>
                <c:pt idx="6">
                  <c:v>24179.876808066081</c:v>
                </c:pt>
                <c:pt idx="7">
                  <c:v>27081.462025033979</c:v>
                </c:pt>
                <c:pt idx="8">
                  <c:v>30331.237468038104</c:v>
                </c:pt>
                <c:pt idx="9">
                  <c:v>33970.985964202642</c:v>
                </c:pt>
                <c:pt idx="10">
                  <c:v>38047.504279906978</c:v>
                </c:pt>
                <c:pt idx="11">
                  <c:v>42613.204793495795</c:v>
                </c:pt>
                <c:pt idx="12">
                  <c:v>47726.789368715312</c:v>
                </c:pt>
                <c:pt idx="13">
                  <c:v>53454.004092961142</c:v>
                </c:pt>
                <c:pt idx="14">
                  <c:v>59868.484584116493</c:v>
                </c:pt>
                <c:pt idx="15">
                  <c:v>67052.70273421047</c:v>
                </c:pt>
                <c:pt idx="16">
                  <c:v>75099.027062315727</c:v>
                </c:pt>
                <c:pt idx="17">
                  <c:v>84110.91030979366</c:v>
                </c:pt>
              </c:numCache>
            </c:numRef>
          </c:val>
          <c:smooth val="1"/>
          <c:extLst>
            <c:ext xmlns:c16="http://schemas.microsoft.com/office/drawing/2014/chart" uri="{C3380CC4-5D6E-409C-BE32-E72D297353CC}">
              <c16:uniqueId val="{00000003-AA5E-444E-B6F8-5F88AFD09F61}"/>
            </c:ext>
          </c:extLst>
        </c:ser>
        <c:ser>
          <c:idx val="4"/>
          <c:order val="4"/>
          <c:tx>
            <c:v>Contribution</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Runway'!$F$18:$F$35</c:f>
              <c:numCache>
                <c:formatCode>#,##0;[Red]\(#,##0\);\-</c:formatCode>
                <c:ptCount val="18"/>
                <c:pt idx="0">
                  <c:v>56844.399258732206</c:v>
                </c:pt>
                <c:pt idx="1">
                  <c:v>63665.727169780075</c:v>
                </c:pt>
                <c:pt idx="2">
                  <c:v>71305.614430153699</c:v>
                </c:pt>
                <c:pt idx="3">
                  <c:v>79862.288161772143</c:v>
                </c:pt>
                <c:pt idx="4">
                  <c:v>89445.762741184808</c:v>
                </c:pt>
                <c:pt idx="5">
                  <c:v>100179.25427012698</c:v>
                </c:pt>
                <c:pt idx="6">
                  <c:v>112200.76478254223</c:v>
                </c:pt>
                <c:pt idx="7">
                  <c:v>125664.85655644731</c:v>
                </c:pt>
                <c:pt idx="8">
                  <c:v>140744.63934322097</c:v>
                </c:pt>
                <c:pt idx="9">
                  <c:v>157633.99606440752</c:v>
                </c:pt>
                <c:pt idx="10">
                  <c:v>176550.07559213642</c:v>
                </c:pt>
                <c:pt idx="11">
                  <c:v>197736.08466319283</c:v>
                </c:pt>
                <c:pt idx="12">
                  <c:v>221464.41482277599</c:v>
                </c:pt>
                <c:pt idx="13">
                  <c:v>248040.14460150915</c:v>
                </c:pt>
                <c:pt idx="14">
                  <c:v>277804.96195369028</c:v>
                </c:pt>
                <c:pt idx="15">
                  <c:v>311141.55738813319</c:v>
                </c:pt>
                <c:pt idx="16">
                  <c:v>348478.54427470919</c:v>
                </c:pt>
                <c:pt idx="17">
                  <c:v>390295.96958767431</c:v>
                </c:pt>
              </c:numCache>
            </c:numRef>
          </c:val>
          <c:smooth val="1"/>
          <c:extLst>
            <c:ext xmlns:c16="http://schemas.microsoft.com/office/drawing/2014/chart" uri="{C3380CC4-5D6E-409C-BE32-E72D297353CC}">
              <c16:uniqueId val="{00000004-AA5E-444E-B6F8-5F88AFD09F61}"/>
            </c:ext>
          </c:extLst>
        </c:ser>
        <c:ser>
          <c:idx val="5"/>
          <c:order val="5"/>
          <c:tx>
            <c:v>Fixed Operating Cost</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Runway'!$G$18:$G$35</c:f>
              <c:numCache>
                <c:formatCode>#,##0;[Red]\(#,##0\);\-</c:formatCode>
                <c:ptCount val="18"/>
                <c:pt idx="0">
                  <c:v>182000</c:v>
                </c:pt>
                <c:pt idx="1">
                  <c:v>182000</c:v>
                </c:pt>
                <c:pt idx="2">
                  <c:v>182000</c:v>
                </c:pt>
                <c:pt idx="3">
                  <c:v>182000</c:v>
                </c:pt>
                <c:pt idx="4">
                  <c:v>182000</c:v>
                </c:pt>
                <c:pt idx="5">
                  <c:v>182000</c:v>
                </c:pt>
                <c:pt idx="6">
                  <c:v>182000</c:v>
                </c:pt>
                <c:pt idx="7">
                  <c:v>182000</c:v>
                </c:pt>
                <c:pt idx="8">
                  <c:v>182000</c:v>
                </c:pt>
                <c:pt idx="9">
                  <c:v>182000</c:v>
                </c:pt>
                <c:pt idx="10">
                  <c:v>182000</c:v>
                </c:pt>
                <c:pt idx="11">
                  <c:v>182000</c:v>
                </c:pt>
                <c:pt idx="12">
                  <c:v>182000</c:v>
                </c:pt>
                <c:pt idx="13">
                  <c:v>182000</c:v>
                </c:pt>
                <c:pt idx="14">
                  <c:v>182000</c:v>
                </c:pt>
                <c:pt idx="15">
                  <c:v>182000</c:v>
                </c:pt>
                <c:pt idx="16">
                  <c:v>182000</c:v>
                </c:pt>
                <c:pt idx="17">
                  <c:v>182000</c:v>
                </c:pt>
              </c:numCache>
            </c:numRef>
          </c:val>
          <c:smooth val="1"/>
          <c:extLst>
            <c:ext xmlns:c16="http://schemas.microsoft.com/office/drawing/2014/chart" uri="{C3380CC4-5D6E-409C-BE32-E72D297353CC}">
              <c16:uniqueId val="{00000005-AA5E-444E-B6F8-5F88AFD09F61}"/>
            </c:ext>
          </c:extLst>
        </c:ser>
        <c:ser>
          <c:idx val="6"/>
          <c:order val="6"/>
          <c:tx>
            <c:v>EBITDA</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Runway'!$H$18:$H$35</c:f>
              <c:numCache>
                <c:formatCode>#,##0;[Red]\(#,##0\);\-</c:formatCode>
                <c:ptCount val="18"/>
                <c:pt idx="0">
                  <c:v>-125155.60074126779</c:v>
                </c:pt>
                <c:pt idx="1">
                  <c:v>-118334.27283021992</c:v>
                </c:pt>
                <c:pt idx="2">
                  <c:v>-110694.3855698463</c:v>
                </c:pt>
                <c:pt idx="3">
                  <c:v>-102137.71183822786</c:v>
                </c:pt>
                <c:pt idx="4">
                  <c:v>-92554.237258815192</c:v>
                </c:pt>
                <c:pt idx="5">
                  <c:v>-81820.745729873015</c:v>
                </c:pt>
                <c:pt idx="6">
                  <c:v>-69799.235217457768</c:v>
                </c:pt>
                <c:pt idx="7">
                  <c:v>-56335.14344355269</c:v>
                </c:pt>
                <c:pt idx="8">
                  <c:v>-41255.360656779027</c:v>
                </c:pt>
                <c:pt idx="9">
                  <c:v>-24366.003935592482</c:v>
                </c:pt>
                <c:pt idx="10">
                  <c:v>-5449.924407863582</c:v>
                </c:pt>
                <c:pt idx="11">
                  <c:v>15736.084663192829</c:v>
                </c:pt>
                <c:pt idx="12">
                  <c:v>39464.414822775987</c:v>
                </c:pt>
                <c:pt idx="13">
                  <c:v>66040.14460150915</c:v>
                </c:pt>
                <c:pt idx="14">
                  <c:v>95804.961953690276</c:v>
                </c:pt>
                <c:pt idx="15">
                  <c:v>129141.55738813319</c:v>
                </c:pt>
                <c:pt idx="16">
                  <c:v>166478.54427470919</c:v>
                </c:pt>
                <c:pt idx="17">
                  <c:v>208295.96958767431</c:v>
                </c:pt>
              </c:numCache>
            </c:numRef>
          </c:val>
          <c:smooth val="1"/>
          <c:extLst>
            <c:ext xmlns:c16="http://schemas.microsoft.com/office/drawing/2014/chart" uri="{C3380CC4-5D6E-409C-BE32-E72D297353CC}">
              <c16:uniqueId val="{00000006-AA5E-444E-B6F8-5F88AFD09F61}"/>
            </c:ext>
          </c:extLst>
        </c:ser>
        <c:ser>
          <c:idx val="7"/>
          <c:order val="7"/>
          <c:tx>
            <c:v>Capex / One-Off</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Runway'!$I$18:$I$35</c:f>
              <c:numCache>
                <c:formatCode>#,##0;[Red]\(#,##0\);\-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1"/>
          <c:extLst>
            <c:ext xmlns:c16="http://schemas.microsoft.com/office/drawing/2014/chart" uri="{C3380CC4-5D6E-409C-BE32-E72D297353CC}">
              <c16:uniqueId val="{00000007-AA5E-444E-B6F8-5F88AFD09F61}"/>
            </c:ext>
          </c:extLst>
        </c:ser>
        <c:ser>
          <c:idx val="8"/>
          <c:order val="8"/>
          <c:tx>
            <c:v>Funding</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Runway'!$J$18:$J$35</c:f>
              <c:numCache>
                <c:formatCode>#,##0;[Red]\(#,##0\);\-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1"/>
          <c:extLst>
            <c:ext xmlns:c16="http://schemas.microsoft.com/office/drawing/2014/chart" uri="{C3380CC4-5D6E-409C-BE32-E72D297353CC}">
              <c16:uniqueId val="{00000008-AA5E-444E-B6F8-5F88AFD09F61}"/>
            </c:ext>
          </c:extLst>
        </c:ser>
        <c:ser>
          <c:idx val="9"/>
          <c:order val="9"/>
          <c:tx>
            <c:v>Ending Cash</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Runway'!$K$18:$K$35</c:f>
              <c:numCache>
                <c:formatCode>#,##0;[Red]\(#,##0\);\-</c:formatCode>
                <c:ptCount val="18"/>
                <c:pt idx="0">
                  <c:v>1174844.3992587323</c:v>
                </c:pt>
                <c:pt idx="1">
                  <c:v>1056510.1264285124</c:v>
                </c:pt>
                <c:pt idx="2">
                  <c:v>945815.74085866613</c:v>
                </c:pt>
                <c:pt idx="3">
                  <c:v>843678.02902043832</c:v>
                </c:pt>
                <c:pt idx="4">
                  <c:v>751123.79176162311</c:v>
                </c:pt>
                <c:pt idx="5">
                  <c:v>669303.04603175004</c:v>
                </c:pt>
                <c:pt idx="6">
                  <c:v>599503.81081429229</c:v>
                </c:pt>
                <c:pt idx="7">
                  <c:v>543168.66737073963</c:v>
                </c:pt>
                <c:pt idx="8">
                  <c:v>501913.3067139606</c:v>
                </c:pt>
                <c:pt idx="9">
                  <c:v>477547.30277836812</c:v>
                </c:pt>
                <c:pt idx="10">
                  <c:v>472097.37837050454</c:v>
                </c:pt>
                <c:pt idx="11">
                  <c:v>487833.46303369734</c:v>
                </c:pt>
                <c:pt idx="12">
                  <c:v>527297.87785647332</c:v>
                </c:pt>
                <c:pt idx="13">
                  <c:v>593338.02245798241</c:v>
                </c:pt>
                <c:pt idx="14">
                  <c:v>689142.98441167269</c:v>
                </c:pt>
                <c:pt idx="15">
                  <c:v>818284.54179980583</c:v>
                </c:pt>
                <c:pt idx="16">
                  <c:v>984763.08607451501</c:v>
                </c:pt>
                <c:pt idx="17">
                  <c:v>1193059.0556621894</c:v>
                </c:pt>
              </c:numCache>
            </c:numRef>
          </c:val>
          <c:smooth val="1"/>
          <c:extLst>
            <c:ext xmlns:c16="http://schemas.microsoft.com/office/drawing/2014/chart" uri="{C3380CC4-5D6E-409C-BE32-E72D297353CC}">
              <c16:uniqueId val="{00000009-AA5E-444E-B6F8-5F88AFD09F6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Journeys, Contribution &amp; EBITDA Ramp</a:t>
            </a:r>
          </a:p>
        </c:rich>
      </c:tx>
      <c:overlay val="1"/>
    </c:title>
    <c:autoTitleDeleted val="0"/>
    <c:plotArea>
      <c:layout/>
      <c:lineChart>
        <c:grouping val="standard"/>
        <c:varyColors val="0"/>
        <c:ser>
          <c:idx val="0"/>
          <c:order val="0"/>
          <c:tx>
            <c:v>Opening Cash</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Runway'!$B$18:$B$35</c:f>
              <c:numCache>
                <c:formatCode>#,##0;[Red]\(#,##0\);\-</c:formatCode>
                <c:ptCount val="18"/>
                <c:pt idx="0">
                  <c:v>1300000</c:v>
                </c:pt>
                <c:pt idx="1">
                  <c:v>1174844.3992587323</c:v>
                </c:pt>
                <c:pt idx="2">
                  <c:v>1056510.1264285124</c:v>
                </c:pt>
                <c:pt idx="3">
                  <c:v>945815.74085866613</c:v>
                </c:pt>
                <c:pt idx="4">
                  <c:v>843678.02902043832</c:v>
                </c:pt>
                <c:pt idx="5">
                  <c:v>751123.79176162311</c:v>
                </c:pt>
                <c:pt idx="6">
                  <c:v>669303.04603175004</c:v>
                </c:pt>
                <c:pt idx="7">
                  <c:v>599503.81081429229</c:v>
                </c:pt>
                <c:pt idx="8">
                  <c:v>543168.66737073963</c:v>
                </c:pt>
                <c:pt idx="9">
                  <c:v>501913.3067139606</c:v>
                </c:pt>
                <c:pt idx="10">
                  <c:v>477547.30277836812</c:v>
                </c:pt>
                <c:pt idx="11">
                  <c:v>472097.37837050454</c:v>
                </c:pt>
                <c:pt idx="12">
                  <c:v>487833.46303369734</c:v>
                </c:pt>
                <c:pt idx="13">
                  <c:v>527297.87785647332</c:v>
                </c:pt>
                <c:pt idx="14">
                  <c:v>593338.02245798241</c:v>
                </c:pt>
                <c:pt idx="15">
                  <c:v>689142.98441167269</c:v>
                </c:pt>
                <c:pt idx="16">
                  <c:v>818284.54179980583</c:v>
                </c:pt>
                <c:pt idx="17">
                  <c:v>984763.08607451501</c:v>
                </c:pt>
              </c:numCache>
            </c:numRef>
          </c:val>
          <c:smooth val="1"/>
          <c:extLst>
            <c:ext xmlns:c16="http://schemas.microsoft.com/office/drawing/2014/chart" uri="{C3380CC4-5D6E-409C-BE32-E72D297353CC}">
              <c16:uniqueId val="{00000000-44C1-384E-9619-A31AFEACA6B3}"/>
            </c:ext>
          </c:extLst>
        </c:ser>
        <c:ser>
          <c:idx val="1"/>
          <c:order val="1"/>
          <c:tx>
            <c:v>Journeys</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Runway'!$C$18:$C$35</c:f>
              <c:numCache>
                <c:formatCode>General</c:formatCode>
                <c:ptCount val="18"/>
                <c:pt idx="0">
                  <c:v>37.620000000000005</c:v>
                </c:pt>
                <c:pt idx="1">
                  <c:v>42.134400000000007</c:v>
                </c:pt>
                <c:pt idx="2">
                  <c:v>47.190528000000015</c:v>
                </c:pt>
                <c:pt idx="3">
                  <c:v>52.853391360000025</c:v>
                </c:pt>
                <c:pt idx="4">
                  <c:v>59.19579832320003</c:v>
                </c:pt>
                <c:pt idx="5">
                  <c:v>66.299294121984033</c:v>
                </c:pt>
                <c:pt idx="6">
                  <c:v>74.255209416622122</c:v>
                </c:pt>
                <c:pt idx="7">
                  <c:v>83.165834546616779</c:v>
                </c:pt>
                <c:pt idx="8">
                  <c:v>93.145734692210794</c:v>
                </c:pt>
                <c:pt idx="9">
                  <c:v>104.3232228552761</c:v>
                </c:pt>
                <c:pt idx="10">
                  <c:v>116.84200959790924</c:v>
                </c:pt>
                <c:pt idx="11">
                  <c:v>130.86305074965836</c:v>
                </c:pt>
                <c:pt idx="12">
                  <c:v>146.56661683961738</c:v>
                </c:pt>
                <c:pt idx="13">
                  <c:v>164.15461086037149</c:v>
                </c:pt>
                <c:pt idx="14">
                  <c:v>183.8531641636161</c:v>
                </c:pt>
                <c:pt idx="15">
                  <c:v>205.91554386325006</c:v>
                </c:pt>
                <c:pt idx="16">
                  <c:v>230.62540912684008</c:v>
                </c:pt>
                <c:pt idx="17">
                  <c:v>258.30045822206091</c:v>
                </c:pt>
              </c:numCache>
            </c:numRef>
          </c:val>
          <c:smooth val="1"/>
          <c:extLst>
            <c:ext xmlns:c16="http://schemas.microsoft.com/office/drawing/2014/chart" uri="{C3380CC4-5D6E-409C-BE32-E72D297353CC}">
              <c16:uniqueId val="{00000001-44C1-384E-9619-A31AFEACA6B3}"/>
            </c:ext>
          </c:extLst>
        </c:ser>
        <c:ser>
          <c:idx val="2"/>
          <c:order val="2"/>
          <c:tx>
            <c:v>Net Operating Revenue</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Runway'!$D$18:$D$35</c:f>
              <c:numCache>
                <c:formatCode>#,##0;[Red]\(#,##0\);\-</c:formatCode>
                <c:ptCount val="18"/>
                <c:pt idx="0">
                  <c:v>69094.677355932217</c:v>
                </c:pt>
                <c:pt idx="1">
                  <c:v>77386.03863864408</c:v>
                </c:pt>
                <c:pt idx="2">
                  <c:v>86672.363275281386</c:v>
                </c:pt>
                <c:pt idx="3">
                  <c:v>97073.04686831517</c:v>
                </c:pt>
                <c:pt idx="4">
                  <c:v>108721.812492513</c:v>
                </c:pt>
                <c:pt idx="5">
                  <c:v>121768.42999161455</c:v>
                </c:pt>
                <c:pt idx="6">
                  <c:v>136380.64159060831</c:v>
                </c:pt>
                <c:pt idx="7">
                  <c:v>152746.31858148129</c:v>
                </c:pt>
                <c:pt idx="8">
                  <c:v>171075.87681125908</c:v>
                </c:pt>
                <c:pt idx="9">
                  <c:v>191604.98202861016</c:v>
                </c:pt>
                <c:pt idx="10">
                  <c:v>214597.5798720434</c:v>
                </c:pt>
                <c:pt idx="11">
                  <c:v>240349.28945668862</c:v>
                </c:pt>
                <c:pt idx="12">
                  <c:v>269191.2041914913</c:v>
                </c:pt>
                <c:pt idx="13">
                  <c:v>301494.14869447029</c:v>
                </c:pt>
                <c:pt idx="14">
                  <c:v>337673.44653780677</c:v>
                </c:pt>
                <c:pt idx="15">
                  <c:v>378194.26012234366</c:v>
                </c:pt>
                <c:pt idx="16">
                  <c:v>423577.57133702491</c:v>
                </c:pt>
                <c:pt idx="17">
                  <c:v>474406.87989746797</c:v>
                </c:pt>
              </c:numCache>
            </c:numRef>
          </c:val>
          <c:smooth val="1"/>
          <c:extLst>
            <c:ext xmlns:c16="http://schemas.microsoft.com/office/drawing/2014/chart" uri="{C3380CC4-5D6E-409C-BE32-E72D297353CC}">
              <c16:uniqueId val="{00000002-44C1-384E-9619-A31AFEACA6B3}"/>
            </c:ext>
          </c:extLst>
        </c:ser>
        <c:ser>
          <c:idx val="3"/>
          <c:order val="3"/>
          <c:tx>
            <c:v>Variable Delivery Cost</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Runway'!$E$18:$E$35</c:f>
              <c:numCache>
                <c:formatCode>#,##0;[Red]\(#,##0\);\-</c:formatCode>
                <c:ptCount val="18"/>
                <c:pt idx="0">
                  <c:v>12250.278097200011</c:v>
                </c:pt>
                <c:pt idx="1">
                  <c:v>13720.311468864005</c:v>
                </c:pt>
                <c:pt idx="2">
                  <c:v>15366.748845127688</c:v>
                </c:pt>
                <c:pt idx="3">
                  <c:v>17210.758706543027</c:v>
                </c:pt>
                <c:pt idx="4">
                  <c:v>19276.049751328188</c:v>
                </c:pt>
                <c:pt idx="5">
                  <c:v>21589.175721487569</c:v>
                </c:pt>
                <c:pt idx="6">
                  <c:v>24179.876808066081</c:v>
                </c:pt>
                <c:pt idx="7">
                  <c:v>27081.462025033979</c:v>
                </c:pt>
                <c:pt idx="8">
                  <c:v>30331.237468038104</c:v>
                </c:pt>
                <c:pt idx="9">
                  <c:v>33970.985964202642</c:v>
                </c:pt>
                <c:pt idx="10">
                  <c:v>38047.504279906978</c:v>
                </c:pt>
                <c:pt idx="11">
                  <c:v>42613.204793495795</c:v>
                </c:pt>
                <c:pt idx="12">
                  <c:v>47726.789368715312</c:v>
                </c:pt>
                <c:pt idx="13">
                  <c:v>53454.004092961142</c:v>
                </c:pt>
                <c:pt idx="14">
                  <c:v>59868.484584116493</c:v>
                </c:pt>
                <c:pt idx="15">
                  <c:v>67052.70273421047</c:v>
                </c:pt>
                <c:pt idx="16">
                  <c:v>75099.027062315727</c:v>
                </c:pt>
                <c:pt idx="17">
                  <c:v>84110.91030979366</c:v>
                </c:pt>
              </c:numCache>
            </c:numRef>
          </c:val>
          <c:smooth val="1"/>
          <c:extLst>
            <c:ext xmlns:c16="http://schemas.microsoft.com/office/drawing/2014/chart" uri="{C3380CC4-5D6E-409C-BE32-E72D297353CC}">
              <c16:uniqueId val="{00000003-44C1-384E-9619-A31AFEACA6B3}"/>
            </c:ext>
          </c:extLst>
        </c:ser>
        <c:ser>
          <c:idx val="4"/>
          <c:order val="4"/>
          <c:tx>
            <c:v>Contribution</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Runway'!$F$18:$F$35</c:f>
              <c:numCache>
                <c:formatCode>#,##0;[Red]\(#,##0\);\-</c:formatCode>
                <c:ptCount val="18"/>
                <c:pt idx="0">
                  <c:v>56844.399258732206</c:v>
                </c:pt>
                <c:pt idx="1">
                  <c:v>63665.727169780075</c:v>
                </c:pt>
                <c:pt idx="2">
                  <c:v>71305.614430153699</c:v>
                </c:pt>
                <c:pt idx="3">
                  <c:v>79862.288161772143</c:v>
                </c:pt>
                <c:pt idx="4">
                  <c:v>89445.762741184808</c:v>
                </c:pt>
                <c:pt idx="5">
                  <c:v>100179.25427012698</c:v>
                </c:pt>
                <c:pt idx="6">
                  <c:v>112200.76478254223</c:v>
                </c:pt>
                <c:pt idx="7">
                  <c:v>125664.85655644731</c:v>
                </c:pt>
                <c:pt idx="8">
                  <c:v>140744.63934322097</c:v>
                </c:pt>
                <c:pt idx="9">
                  <c:v>157633.99606440752</c:v>
                </c:pt>
                <c:pt idx="10">
                  <c:v>176550.07559213642</c:v>
                </c:pt>
                <c:pt idx="11">
                  <c:v>197736.08466319283</c:v>
                </c:pt>
                <c:pt idx="12">
                  <c:v>221464.41482277599</c:v>
                </c:pt>
                <c:pt idx="13">
                  <c:v>248040.14460150915</c:v>
                </c:pt>
                <c:pt idx="14">
                  <c:v>277804.96195369028</c:v>
                </c:pt>
                <c:pt idx="15">
                  <c:v>311141.55738813319</c:v>
                </c:pt>
                <c:pt idx="16">
                  <c:v>348478.54427470919</c:v>
                </c:pt>
                <c:pt idx="17">
                  <c:v>390295.96958767431</c:v>
                </c:pt>
              </c:numCache>
            </c:numRef>
          </c:val>
          <c:smooth val="1"/>
          <c:extLst>
            <c:ext xmlns:c16="http://schemas.microsoft.com/office/drawing/2014/chart" uri="{C3380CC4-5D6E-409C-BE32-E72D297353CC}">
              <c16:uniqueId val="{00000004-44C1-384E-9619-A31AFEACA6B3}"/>
            </c:ext>
          </c:extLst>
        </c:ser>
        <c:ser>
          <c:idx val="5"/>
          <c:order val="5"/>
          <c:tx>
            <c:v>Fixed Operating Cost</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Runway'!$G$18:$G$35</c:f>
              <c:numCache>
                <c:formatCode>#,##0;[Red]\(#,##0\);\-</c:formatCode>
                <c:ptCount val="18"/>
                <c:pt idx="0">
                  <c:v>182000</c:v>
                </c:pt>
                <c:pt idx="1">
                  <c:v>182000</c:v>
                </c:pt>
                <c:pt idx="2">
                  <c:v>182000</c:v>
                </c:pt>
                <c:pt idx="3">
                  <c:v>182000</c:v>
                </c:pt>
                <c:pt idx="4">
                  <c:v>182000</c:v>
                </c:pt>
                <c:pt idx="5">
                  <c:v>182000</c:v>
                </c:pt>
                <c:pt idx="6">
                  <c:v>182000</c:v>
                </c:pt>
                <c:pt idx="7">
                  <c:v>182000</c:v>
                </c:pt>
                <c:pt idx="8">
                  <c:v>182000</c:v>
                </c:pt>
                <c:pt idx="9">
                  <c:v>182000</c:v>
                </c:pt>
                <c:pt idx="10">
                  <c:v>182000</c:v>
                </c:pt>
                <c:pt idx="11">
                  <c:v>182000</c:v>
                </c:pt>
                <c:pt idx="12">
                  <c:v>182000</c:v>
                </c:pt>
                <c:pt idx="13">
                  <c:v>182000</c:v>
                </c:pt>
                <c:pt idx="14">
                  <c:v>182000</c:v>
                </c:pt>
                <c:pt idx="15">
                  <c:v>182000</c:v>
                </c:pt>
                <c:pt idx="16">
                  <c:v>182000</c:v>
                </c:pt>
                <c:pt idx="17">
                  <c:v>182000</c:v>
                </c:pt>
              </c:numCache>
            </c:numRef>
          </c:val>
          <c:smooth val="1"/>
          <c:extLst>
            <c:ext xmlns:c16="http://schemas.microsoft.com/office/drawing/2014/chart" uri="{C3380CC4-5D6E-409C-BE32-E72D297353CC}">
              <c16:uniqueId val="{00000005-44C1-384E-9619-A31AFEACA6B3}"/>
            </c:ext>
          </c:extLst>
        </c:ser>
        <c:ser>
          <c:idx val="6"/>
          <c:order val="6"/>
          <c:tx>
            <c:v>EBITDA</c:v>
          </c:tx>
          <c:marker>
            <c:symbol val="none"/>
          </c:marker>
          <c:cat>
            <c:numRef>
              <c:f>'Cash Runway'!$A$18:$A$35</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'Cash Runway'!$H$18:$H$35</c:f>
              <c:numCache>
                <c:formatCode>#,##0;[Red]\(#,##0\);\-</c:formatCode>
                <c:ptCount val="18"/>
                <c:pt idx="0">
                  <c:v>-125155.60074126779</c:v>
                </c:pt>
                <c:pt idx="1">
                  <c:v>-118334.27283021992</c:v>
                </c:pt>
                <c:pt idx="2">
                  <c:v>-110694.3855698463</c:v>
                </c:pt>
                <c:pt idx="3">
                  <c:v>-102137.71183822786</c:v>
                </c:pt>
                <c:pt idx="4">
                  <c:v>-92554.237258815192</c:v>
                </c:pt>
                <c:pt idx="5">
                  <c:v>-81820.745729873015</c:v>
                </c:pt>
                <c:pt idx="6">
                  <c:v>-69799.235217457768</c:v>
                </c:pt>
                <c:pt idx="7">
                  <c:v>-56335.14344355269</c:v>
                </c:pt>
                <c:pt idx="8">
                  <c:v>-41255.360656779027</c:v>
                </c:pt>
                <c:pt idx="9">
                  <c:v>-24366.003935592482</c:v>
                </c:pt>
                <c:pt idx="10">
                  <c:v>-5449.924407863582</c:v>
                </c:pt>
                <c:pt idx="11">
                  <c:v>15736.084663192829</c:v>
                </c:pt>
                <c:pt idx="12">
                  <c:v>39464.414822775987</c:v>
                </c:pt>
                <c:pt idx="13">
                  <c:v>66040.14460150915</c:v>
                </c:pt>
                <c:pt idx="14">
                  <c:v>95804.961953690276</c:v>
                </c:pt>
                <c:pt idx="15">
                  <c:v>129141.55738813319</c:v>
                </c:pt>
                <c:pt idx="16">
                  <c:v>166478.54427470919</c:v>
                </c:pt>
                <c:pt idx="17">
                  <c:v>208295.96958767431</c:v>
                </c:pt>
              </c:numCache>
            </c:numRef>
          </c:val>
          <c:smooth val="1"/>
          <c:extLst>
            <c:ext xmlns:c16="http://schemas.microsoft.com/office/drawing/2014/chart" uri="{C3380CC4-5D6E-409C-BE32-E72D297353CC}">
              <c16:uniqueId val="{00000006-44C1-384E-9619-A31AFEACA6B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12-Month Revenue, Contribution &amp; EBITDA</a:t>
            </a:r>
          </a:p>
        </c:rich>
      </c:tx>
      <c:overlay val="1"/>
    </c:title>
    <c:autoTitleDeleted val="0"/>
    <c:plotArea>
      <c:layout/>
      <c:lineChart>
        <c:grouping val="standard"/>
        <c:varyColors val="0"/>
        <c:ser>
          <c:idx val="0"/>
          <c:order val="0"/>
          <c:tx>
            <c:v>M2</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P&amp;L'!$C$5:$C$14</c:f>
              <c:numCache>
                <c:formatCode>#,##0;[Red]\(#,##0\);\-</c:formatCode>
                <c:ptCount val="10"/>
                <c:pt idx="0" formatCode="General">
                  <c:v>42.134400000000007</c:v>
                </c:pt>
                <c:pt idx="1">
                  <c:v>89346.669350400014</c:v>
                </c:pt>
                <c:pt idx="2">
                  <c:v>11960.630711755926</c:v>
                </c:pt>
                <c:pt idx="3">
                  <c:v>8426.880000000001</c:v>
                </c:pt>
                <c:pt idx="4">
                  <c:v>77386.03863864408</c:v>
                </c:pt>
                <c:pt idx="5">
                  <c:v>13720.311468864007</c:v>
                </c:pt>
                <c:pt idx="6">
                  <c:v>63665.727169780075</c:v>
                </c:pt>
                <c:pt idx="7" formatCode="0.0%">
                  <c:v>0.82270301322785988</c:v>
                </c:pt>
                <c:pt idx="8">
                  <c:v>182000</c:v>
                </c:pt>
                <c:pt idx="9">
                  <c:v>-118334.27283021992</c:v>
                </c:pt>
              </c:numCache>
            </c:numRef>
          </c:val>
          <c:smooth val="1"/>
          <c:extLst>
            <c:ext xmlns:c16="http://schemas.microsoft.com/office/drawing/2014/chart" uri="{C3380CC4-5D6E-409C-BE32-E72D297353CC}">
              <c16:uniqueId val="{00000000-1406-0444-9E25-1E6EDC066844}"/>
            </c:ext>
          </c:extLst>
        </c:ser>
        <c:ser>
          <c:idx val="1"/>
          <c:order val="1"/>
          <c:tx>
            <c:v>M3</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P&amp;L'!$D$5:$D$14</c:f>
              <c:numCache>
                <c:formatCode>#,##0;[Red]\(#,##0\);\-</c:formatCode>
                <c:ptCount val="10"/>
                <c:pt idx="0" formatCode="General">
                  <c:v>47.190528000000015</c:v>
                </c:pt>
                <c:pt idx="1">
                  <c:v>100068.26967244803</c:v>
                </c:pt>
                <c:pt idx="2">
                  <c:v>13395.90639716664</c:v>
                </c:pt>
                <c:pt idx="3">
                  <c:v>9438.1056000000026</c:v>
                </c:pt>
                <c:pt idx="4">
                  <c:v>86672.363275281386</c:v>
                </c:pt>
                <c:pt idx="5">
                  <c:v>15366.748845127691</c:v>
                </c:pt>
                <c:pt idx="6">
                  <c:v>71305.614430153699</c:v>
                </c:pt>
                <c:pt idx="7" formatCode="0.0%">
                  <c:v>0.82270301322785988</c:v>
                </c:pt>
                <c:pt idx="8">
                  <c:v>182000</c:v>
                </c:pt>
                <c:pt idx="9">
                  <c:v>-110694.3855698463</c:v>
                </c:pt>
              </c:numCache>
            </c:numRef>
          </c:val>
          <c:smooth val="1"/>
          <c:extLst>
            <c:ext xmlns:c16="http://schemas.microsoft.com/office/drawing/2014/chart" uri="{C3380CC4-5D6E-409C-BE32-E72D297353CC}">
              <c16:uniqueId val="{00000001-1406-0444-9E25-1E6EDC066844}"/>
            </c:ext>
          </c:extLst>
        </c:ser>
        <c:ser>
          <c:idx val="2"/>
          <c:order val="2"/>
          <c:tx>
            <c:v>M4</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P&amp;L'!$E$5:$E$14</c:f>
              <c:numCache>
                <c:formatCode>#,##0;[Red]\(#,##0\);\-</c:formatCode>
                <c:ptCount val="10"/>
                <c:pt idx="0" formatCode="General">
                  <c:v>52.853391360000025</c:v>
                </c:pt>
                <c:pt idx="1">
                  <c:v>112076.46203314181</c:v>
                </c:pt>
                <c:pt idx="2">
                  <c:v>15003.415164826638</c:v>
                </c:pt>
                <c:pt idx="3">
                  <c:v>10570.678272000005</c:v>
                </c:pt>
                <c:pt idx="4">
                  <c:v>97073.04686831517</c:v>
                </c:pt>
                <c:pt idx="5">
                  <c:v>17210.758706543016</c:v>
                </c:pt>
                <c:pt idx="6">
                  <c:v>79862.288161772143</c:v>
                </c:pt>
                <c:pt idx="7" formatCode="0.0%">
                  <c:v>0.82270301322785977</c:v>
                </c:pt>
                <c:pt idx="8">
                  <c:v>182000</c:v>
                </c:pt>
                <c:pt idx="9">
                  <c:v>-102137.71183822786</c:v>
                </c:pt>
              </c:numCache>
            </c:numRef>
          </c:val>
          <c:smooth val="1"/>
          <c:extLst>
            <c:ext xmlns:c16="http://schemas.microsoft.com/office/drawing/2014/chart" uri="{C3380CC4-5D6E-409C-BE32-E72D297353CC}">
              <c16:uniqueId val="{00000002-1406-0444-9E25-1E6EDC066844}"/>
            </c:ext>
          </c:extLst>
        </c:ser>
        <c:ser>
          <c:idx val="3"/>
          <c:order val="3"/>
          <c:tx>
            <c:v>M5</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P&amp;L'!$F$5:$F$14</c:f>
              <c:numCache>
                <c:formatCode>#,##0;[Red]\(#,##0\);\-</c:formatCode>
                <c:ptCount val="10"/>
                <c:pt idx="0" formatCode="General">
                  <c:v>59.19579832320003</c:v>
                </c:pt>
                <c:pt idx="1">
                  <c:v>125525.63747711884</c:v>
                </c:pt>
                <c:pt idx="2">
                  <c:v>16803.824984605835</c:v>
                </c:pt>
                <c:pt idx="3">
                  <c:v>11839.159664640007</c:v>
                </c:pt>
                <c:pt idx="4">
                  <c:v>108721.812492513</c:v>
                </c:pt>
                <c:pt idx="5">
                  <c:v>19276.049751328181</c:v>
                </c:pt>
                <c:pt idx="6">
                  <c:v>89445.762741184808</c:v>
                </c:pt>
                <c:pt idx="7" formatCode="0.0%">
                  <c:v>0.82270301322785977</c:v>
                </c:pt>
                <c:pt idx="8">
                  <c:v>182000</c:v>
                </c:pt>
                <c:pt idx="9">
                  <c:v>-92554.237258815192</c:v>
                </c:pt>
              </c:numCache>
            </c:numRef>
          </c:val>
          <c:smooth val="1"/>
          <c:extLst>
            <c:ext xmlns:c16="http://schemas.microsoft.com/office/drawing/2014/chart" uri="{C3380CC4-5D6E-409C-BE32-E72D297353CC}">
              <c16:uniqueId val="{00000003-1406-0444-9E25-1E6EDC066844}"/>
            </c:ext>
          </c:extLst>
        </c:ser>
        <c:ser>
          <c:idx val="4"/>
          <c:order val="4"/>
          <c:tx>
            <c:v>M6</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P&amp;L'!$G$5:$G$14</c:f>
              <c:numCache>
                <c:formatCode>#,##0;[Red]\(#,##0\);\-</c:formatCode>
                <c:ptCount val="10"/>
                <c:pt idx="0" formatCode="General">
                  <c:v>66.299294121984033</c:v>
                </c:pt>
                <c:pt idx="1">
                  <c:v>140588.71397437309</c:v>
                </c:pt>
                <c:pt idx="2">
                  <c:v>18820.283982758534</c:v>
                </c:pt>
                <c:pt idx="3">
                  <c:v>13259.858824396806</c:v>
                </c:pt>
                <c:pt idx="4">
                  <c:v>121768.42999161455</c:v>
                </c:pt>
                <c:pt idx="5">
                  <c:v>21589.175721487562</c:v>
                </c:pt>
                <c:pt idx="6">
                  <c:v>100179.25427012698</c:v>
                </c:pt>
                <c:pt idx="7" formatCode="0.0%">
                  <c:v>0.82270301322785977</c:v>
                </c:pt>
                <c:pt idx="8">
                  <c:v>182000</c:v>
                </c:pt>
                <c:pt idx="9">
                  <c:v>-81820.745729873015</c:v>
                </c:pt>
              </c:numCache>
            </c:numRef>
          </c:val>
          <c:smooth val="1"/>
          <c:extLst>
            <c:ext xmlns:c16="http://schemas.microsoft.com/office/drawing/2014/chart" uri="{C3380CC4-5D6E-409C-BE32-E72D297353CC}">
              <c16:uniqueId val="{00000004-1406-0444-9E25-1E6EDC066844}"/>
            </c:ext>
          </c:extLst>
        </c:ser>
        <c:ser>
          <c:idx val="5"/>
          <c:order val="5"/>
          <c:tx>
            <c:v>M7</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P&amp;L'!$H$5:$H$14</c:f>
              <c:numCache>
                <c:formatCode>#,##0;[Red]\(#,##0\);\-</c:formatCode>
                <c:ptCount val="10"/>
                <c:pt idx="0" formatCode="General">
                  <c:v>74.255209416622122</c:v>
                </c:pt>
                <c:pt idx="1">
                  <c:v>157459.35965129788</c:v>
                </c:pt>
                <c:pt idx="2">
                  <c:v>21078.71806068956</c:v>
                </c:pt>
                <c:pt idx="3">
                  <c:v>14851.041883324424</c:v>
                </c:pt>
                <c:pt idx="4">
                  <c:v>136380.64159060831</c:v>
                </c:pt>
                <c:pt idx="5">
                  <c:v>24179.87680806607</c:v>
                </c:pt>
                <c:pt idx="6">
                  <c:v>112200.76478254223</c:v>
                </c:pt>
                <c:pt idx="7" formatCode="0.0%">
                  <c:v>0.82270301322785977</c:v>
                </c:pt>
                <c:pt idx="8">
                  <c:v>182000</c:v>
                </c:pt>
                <c:pt idx="9">
                  <c:v>-69799.235217457768</c:v>
                </c:pt>
              </c:numCache>
            </c:numRef>
          </c:val>
          <c:smooth val="1"/>
          <c:extLst>
            <c:ext xmlns:c16="http://schemas.microsoft.com/office/drawing/2014/chart" uri="{C3380CC4-5D6E-409C-BE32-E72D297353CC}">
              <c16:uniqueId val="{00000005-1406-0444-9E25-1E6EDC066844}"/>
            </c:ext>
          </c:extLst>
        </c:ser>
        <c:ser>
          <c:idx val="6"/>
          <c:order val="6"/>
          <c:tx>
            <c:v>M8</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P&amp;L'!$I$5:$I$14</c:f>
              <c:numCache>
                <c:formatCode>#,##0;[Red]\(#,##0\);\-</c:formatCode>
                <c:ptCount val="10"/>
                <c:pt idx="0" formatCode="General">
                  <c:v>83.165834546616779</c:v>
                </c:pt>
                <c:pt idx="1">
                  <c:v>176354.48280945362</c:v>
                </c:pt>
                <c:pt idx="2">
                  <c:v>23608.164227972309</c:v>
                </c:pt>
                <c:pt idx="3">
                  <c:v>16633.166909323354</c:v>
                </c:pt>
                <c:pt idx="4">
                  <c:v>152746.31858148129</c:v>
                </c:pt>
                <c:pt idx="5">
                  <c:v>27081.462025033998</c:v>
                </c:pt>
                <c:pt idx="6">
                  <c:v>125664.85655644731</c:v>
                </c:pt>
                <c:pt idx="7" formatCode="0.0%">
                  <c:v>0.82270301322785999</c:v>
                </c:pt>
                <c:pt idx="8">
                  <c:v>182000</c:v>
                </c:pt>
                <c:pt idx="9">
                  <c:v>-56335.14344355269</c:v>
                </c:pt>
              </c:numCache>
            </c:numRef>
          </c:val>
          <c:smooth val="1"/>
          <c:extLst>
            <c:ext xmlns:c16="http://schemas.microsoft.com/office/drawing/2014/chart" uri="{C3380CC4-5D6E-409C-BE32-E72D297353CC}">
              <c16:uniqueId val="{00000006-1406-0444-9E25-1E6EDC066844}"/>
            </c:ext>
          </c:extLst>
        </c:ser>
        <c:ser>
          <c:idx val="7"/>
          <c:order val="7"/>
          <c:tx>
            <c:v>M9</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P&amp;L'!$J$5:$J$14</c:f>
              <c:numCache>
                <c:formatCode>#,##0;[Red]\(#,##0\);\-</c:formatCode>
                <c:ptCount val="10"/>
                <c:pt idx="0" formatCode="General">
                  <c:v>93.145734692210794</c:v>
                </c:pt>
                <c:pt idx="1">
                  <c:v>197517.02074658807</c:v>
                </c:pt>
                <c:pt idx="2">
                  <c:v>26441.143935328986</c:v>
                </c:pt>
                <c:pt idx="3">
                  <c:v>18629.146938442158</c:v>
                </c:pt>
                <c:pt idx="4">
                  <c:v>171075.87681125908</c:v>
                </c:pt>
                <c:pt idx="5">
                  <c:v>30331.237468038078</c:v>
                </c:pt>
                <c:pt idx="6">
                  <c:v>140744.63934322097</c:v>
                </c:pt>
                <c:pt idx="7" formatCode="0.0%">
                  <c:v>0.82270301322785966</c:v>
                </c:pt>
                <c:pt idx="8">
                  <c:v>182000</c:v>
                </c:pt>
                <c:pt idx="9">
                  <c:v>-41255.360656779027</c:v>
                </c:pt>
              </c:numCache>
            </c:numRef>
          </c:val>
          <c:smooth val="1"/>
          <c:extLst>
            <c:ext xmlns:c16="http://schemas.microsoft.com/office/drawing/2014/chart" uri="{C3380CC4-5D6E-409C-BE32-E72D297353CC}">
              <c16:uniqueId val="{00000007-1406-0444-9E25-1E6EDC066844}"/>
            </c:ext>
          </c:extLst>
        </c:ser>
        <c:ser>
          <c:idx val="8"/>
          <c:order val="8"/>
          <c:tx>
            <c:v>M10</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P&amp;L'!$K$5:$K$14</c:f>
              <c:numCache>
                <c:formatCode>#,##0;[Red]\(#,##0\);\-</c:formatCode>
                <c:ptCount val="10"/>
                <c:pt idx="0" formatCode="General">
                  <c:v>104.3232228552761</c:v>
                </c:pt>
                <c:pt idx="1">
                  <c:v>221219.06323617866</c:v>
                </c:pt>
                <c:pt idx="2">
                  <c:v>29614.08120756847</c:v>
                </c:pt>
                <c:pt idx="3">
                  <c:v>20864.644571055222</c:v>
                </c:pt>
                <c:pt idx="4">
                  <c:v>191604.98202861016</c:v>
                </c:pt>
                <c:pt idx="5">
                  <c:v>33970.985964202649</c:v>
                </c:pt>
                <c:pt idx="6">
                  <c:v>157633.99606440752</c:v>
                </c:pt>
                <c:pt idx="7" formatCode="0.0%">
                  <c:v>0.82270301322785988</c:v>
                </c:pt>
                <c:pt idx="8">
                  <c:v>182000</c:v>
                </c:pt>
                <c:pt idx="9">
                  <c:v>-24366.003935592482</c:v>
                </c:pt>
              </c:numCache>
            </c:numRef>
          </c:val>
          <c:smooth val="1"/>
          <c:extLst>
            <c:ext xmlns:c16="http://schemas.microsoft.com/office/drawing/2014/chart" uri="{C3380CC4-5D6E-409C-BE32-E72D297353CC}">
              <c16:uniqueId val="{00000008-1406-0444-9E25-1E6EDC066844}"/>
            </c:ext>
          </c:extLst>
        </c:ser>
        <c:ser>
          <c:idx val="9"/>
          <c:order val="9"/>
          <c:tx>
            <c:v>M11</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P&amp;L'!$L$5:$L$14</c:f>
              <c:numCache>
                <c:formatCode>#,##0;[Red]\(#,##0\);\-</c:formatCode>
                <c:ptCount val="10"/>
                <c:pt idx="0" formatCode="General">
                  <c:v>116.84200959790924</c:v>
                </c:pt>
                <c:pt idx="1">
                  <c:v>247765.35082452011</c:v>
                </c:pt>
                <c:pt idx="2">
                  <c:v>33167.770952476683</c:v>
                </c:pt>
                <c:pt idx="3">
                  <c:v>23368.401919581847</c:v>
                </c:pt>
                <c:pt idx="4">
                  <c:v>214597.5798720434</c:v>
                </c:pt>
                <c:pt idx="5">
                  <c:v>38047.504279906971</c:v>
                </c:pt>
                <c:pt idx="6">
                  <c:v>176550.07559213642</c:v>
                </c:pt>
                <c:pt idx="7" formatCode="0.0%">
                  <c:v>0.82270301322785977</c:v>
                </c:pt>
                <c:pt idx="8">
                  <c:v>182000</c:v>
                </c:pt>
                <c:pt idx="9">
                  <c:v>-5449.924407863582</c:v>
                </c:pt>
              </c:numCache>
            </c:numRef>
          </c:val>
          <c:smooth val="1"/>
          <c:extLst>
            <c:ext xmlns:c16="http://schemas.microsoft.com/office/drawing/2014/chart" uri="{C3380CC4-5D6E-409C-BE32-E72D297353CC}">
              <c16:uniqueId val="{00000009-1406-0444-9E25-1E6EDC066844}"/>
            </c:ext>
          </c:extLst>
        </c:ser>
        <c:ser>
          <c:idx val="10"/>
          <c:order val="10"/>
          <c:tx>
            <c:v>M12</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P&amp;L'!$M$5:$M$14</c:f>
              <c:numCache>
                <c:formatCode>#,##0;[Red]\(#,##0\);\-</c:formatCode>
                <c:ptCount val="10"/>
                <c:pt idx="0" formatCode="General">
                  <c:v>130.86305074965836</c:v>
                </c:pt>
                <c:pt idx="1">
                  <c:v>277497.19292346254</c:v>
                </c:pt>
                <c:pt idx="2">
                  <c:v>37147.903466773889</c:v>
                </c:pt>
                <c:pt idx="3">
                  <c:v>26172.610149931672</c:v>
                </c:pt>
                <c:pt idx="4">
                  <c:v>240349.28945668862</c:v>
                </c:pt>
                <c:pt idx="5">
                  <c:v>42613.20479349581</c:v>
                </c:pt>
                <c:pt idx="6">
                  <c:v>197736.08466319283</c:v>
                </c:pt>
                <c:pt idx="7" formatCode="0.0%">
                  <c:v>0.82270301322785988</c:v>
                </c:pt>
                <c:pt idx="8">
                  <c:v>182000</c:v>
                </c:pt>
                <c:pt idx="9">
                  <c:v>15736.084663192829</c:v>
                </c:pt>
              </c:numCache>
            </c:numRef>
          </c:val>
          <c:smooth val="1"/>
          <c:extLst>
            <c:ext xmlns:c16="http://schemas.microsoft.com/office/drawing/2014/chart" uri="{C3380CC4-5D6E-409C-BE32-E72D297353CC}">
              <c16:uniqueId val="{0000000A-1406-0444-9E25-1E6EDC06684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Current vs Break-even / Target</a:t>
            </a:r>
          </a:p>
        </c:rich>
      </c:tx>
      <c:overlay val="1"/>
    </c:title>
    <c:autoTitleDeleted val="0"/>
    <c:plotArea>
      <c:layout/>
      <c:barChart>
        <c:barDir val="col"/>
        <c:grouping val="clustered"/>
        <c:varyColors val="0"/>
        <c:ser>
          <c:idx val="0"/>
          <c:order val="0"/>
          <c:tx>
            <c:v>Current</c:v>
          </c:tx>
          <c:invertIfNegative val="1"/>
          <c:cat>
            <c:strRef>
              <c:f>'Executive Dashboard'!$A$39:$A$43</c:f>
              <c:strCache>
                <c:ptCount val="5"/>
                <c:pt idx="0">
                  <c:v>Monthly journeys</c:v>
                </c:pt>
                <c:pt idx="1">
                  <c:v>Contribution / journey</c:v>
                </c:pt>
                <c:pt idx="2">
                  <c:v>Angel utilization</c:v>
                </c:pt>
                <c:pt idx="3">
                  <c:v>LTV / CAC</c:v>
                </c:pt>
                <c:pt idx="4">
                  <c:v>EBITDA</c:v>
                </c:pt>
              </c:strCache>
            </c:strRef>
          </c:cat>
          <c:val>
            <c:numRef>
              <c:f>'Executive Dashboard'!$B$39:$B$43</c:f>
              <c:numCache>
                <c:formatCode>General</c:formatCode>
                <c:ptCount val="5"/>
                <c:pt idx="0">
                  <c:v>37.620000000000005</c:v>
                </c:pt>
                <c:pt idx="1">
                  <c:v>1511.0153976271185</c:v>
                </c:pt>
                <c:pt idx="2">
                  <c:v>0.18104625000000002</c:v>
                </c:pt>
                <c:pt idx="3">
                  <c:v>20.19780989267899</c:v>
                </c:pt>
                <c:pt idx="4">
                  <c:v>-81155.600741267786</c:v>
                </c:pt>
              </c:numCache>
            </c:numRef>
          </c:val>
          <c:extLst>
            <c:ext xmlns:c16="http://schemas.microsoft.com/office/drawing/2014/chart" uri="{C3380CC4-5D6E-409C-BE32-E72D297353CC}">
              <c16:uniqueId val="{00000000-6305-774F-9F8D-1C6D3F51A391}"/>
            </c:ext>
          </c:extLst>
        </c:ser>
        <c:ser>
          <c:idx val="1"/>
          <c:order val="1"/>
          <c:tx>
            <c:v>Break-even / Target</c:v>
          </c:tx>
          <c:invertIfNegative val="1"/>
          <c:cat>
            <c:strRef>
              <c:f>'Executive Dashboard'!$A$39:$A$43</c:f>
              <c:strCache>
                <c:ptCount val="5"/>
                <c:pt idx="0">
                  <c:v>Monthly journeys</c:v>
                </c:pt>
                <c:pt idx="1">
                  <c:v>Contribution / journey</c:v>
                </c:pt>
                <c:pt idx="2">
                  <c:v>Angel utilization</c:v>
                </c:pt>
                <c:pt idx="3">
                  <c:v>LTV / CAC</c:v>
                </c:pt>
                <c:pt idx="4">
                  <c:v>EBITDA</c:v>
                </c:pt>
              </c:strCache>
            </c:strRef>
          </c:cat>
          <c:val>
            <c:numRef>
              <c:f>'Executive Dashboard'!$C$39:$C$43</c:f>
              <c:numCache>
                <c:formatCode>General</c:formatCode>
                <c:ptCount val="5"/>
                <c:pt idx="0">
                  <c:v>91.329314192769729</c:v>
                </c:pt>
                <c:pt idx="1">
                  <c:v>500</c:v>
                </c:pt>
                <c:pt idx="2">
                  <c:v>0.65</c:v>
                </c:pt>
                <c:pt idx="3">
                  <c:v>3</c:v>
                </c:pt>
                <c:pt idx="4">
                  <c:v>0</c:v>
                </c:pt>
              </c:numCache>
            </c:numRef>
          </c:val>
          <c:extLst>
            <c:ext xmlns:c16="http://schemas.microsoft.com/office/drawing/2014/chart" uri="{C3380CC4-5D6E-409C-BE32-E72D297353CC}">
              <c16:uniqueId val="{00000001-6305-774F-9F8D-1C6D3F51A39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12-Month Revenue, Contribution &amp; EBITDA</a:t>
            </a:r>
          </a:p>
        </c:rich>
      </c:tx>
      <c:overlay val="1"/>
    </c:title>
    <c:autoTitleDeleted val="0"/>
    <c:plotArea>
      <c:layout/>
      <c:lineChart>
        <c:grouping val="standard"/>
        <c:varyColors val="0"/>
        <c:ser>
          <c:idx val="0"/>
          <c:order val="0"/>
          <c:tx>
            <c:v>M2</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P&amp;L'!$C$5:$C$14</c:f>
              <c:numCache>
                <c:formatCode>#,##0;[Red]\(#,##0\);\-</c:formatCode>
                <c:ptCount val="10"/>
                <c:pt idx="0" formatCode="General">
                  <c:v>42.134400000000007</c:v>
                </c:pt>
                <c:pt idx="1">
                  <c:v>89346.669350400014</c:v>
                </c:pt>
                <c:pt idx="2">
                  <c:v>11960.630711755926</c:v>
                </c:pt>
                <c:pt idx="3">
                  <c:v>8426.880000000001</c:v>
                </c:pt>
                <c:pt idx="4">
                  <c:v>77386.03863864408</c:v>
                </c:pt>
                <c:pt idx="5">
                  <c:v>13720.311468864007</c:v>
                </c:pt>
                <c:pt idx="6">
                  <c:v>63665.727169780075</c:v>
                </c:pt>
                <c:pt idx="7" formatCode="0.0%">
                  <c:v>0.82270301322785988</c:v>
                </c:pt>
                <c:pt idx="8">
                  <c:v>182000</c:v>
                </c:pt>
                <c:pt idx="9">
                  <c:v>-118334.27283021992</c:v>
                </c:pt>
              </c:numCache>
            </c:numRef>
          </c:val>
          <c:smooth val="1"/>
          <c:extLst>
            <c:ext xmlns:c16="http://schemas.microsoft.com/office/drawing/2014/chart" uri="{C3380CC4-5D6E-409C-BE32-E72D297353CC}">
              <c16:uniqueId val="{00000000-5FAA-4E4B-88B7-CAB76F72AF0C}"/>
            </c:ext>
          </c:extLst>
        </c:ser>
        <c:ser>
          <c:idx val="1"/>
          <c:order val="1"/>
          <c:tx>
            <c:v>M3</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P&amp;L'!$D$5:$D$14</c:f>
              <c:numCache>
                <c:formatCode>#,##0;[Red]\(#,##0\);\-</c:formatCode>
                <c:ptCount val="10"/>
                <c:pt idx="0" formatCode="General">
                  <c:v>47.190528000000015</c:v>
                </c:pt>
                <c:pt idx="1">
                  <c:v>100068.26967244803</c:v>
                </c:pt>
                <c:pt idx="2">
                  <c:v>13395.90639716664</c:v>
                </c:pt>
                <c:pt idx="3">
                  <c:v>9438.1056000000026</c:v>
                </c:pt>
                <c:pt idx="4">
                  <c:v>86672.363275281386</c:v>
                </c:pt>
                <c:pt idx="5">
                  <c:v>15366.748845127691</c:v>
                </c:pt>
                <c:pt idx="6">
                  <c:v>71305.614430153699</c:v>
                </c:pt>
                <c:pt idx="7" formatCode="0.0%">
                  <c:v>0.82270301322785988</c:v>
                </c:pt>
                <c:pt idx="8">
                  <c:v>182000</c:v>
                </c:pt>
                <c:pt idx="9">
                  <c:v>-110694.3855698463</c:v>
                </c:pt>
              </c:numCache>
            </c:numRef>
          </c:val>
          <c:smooth val="1"/>
          <c:extLst>
            <c:ext xmlns:c16="http://schemas.microsoft.com/office/drawing/2014/chart" uri="{C3380CC4-5D6E-409C-BE32-E72D297353CC}">
              <c16:uniqueId val="{00000001-5FAA-4E4B-88B7-CAB76F72AF0C}"/>
            </c:ext>
          </c:extLst>
        </c:ser>
        <c:ser>
          <c:idx val="2"/>
          <c:order val="2"/>
          <c:tx>
            <c:v>M4</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P&amp;L'!$E$5:$E$14</c:f>
              <c:numCache>
                <c:formatCode>#,##0;[Red]\(#,##0\);\-</c:formatCode>
                <c:ptCount val="10"/>
                <c:pt idx="0" formatCode="General">
                  <c:v>52.853391360000025</c:v>
                </c:pt>
                <c:pt idx="1">
                  <c:v>112076.46203314181</c:v>
                </c:pt>
                <c:pt idx="2">
                  <c:v>15003.415164826638</c:v>
                </c:pt>
                <c:pt idx="3">
                  <c:v>10570.678272000005</c:v>
                </c:pt>
                <c:pt idx="4">
                  <c:v>97073.04686831517</c:v>
                </c:pt>
                <c:pt idx="5">
                  <c:v>17210.758706543016</c:v>
                </c:pt>
                <c:pt idx="6">
                  <c:v>79862.288161772143</c:v>
                </c:pt>
                <c:pt idx="7" formatCode="0.0%">
                  <c:v>0.82270301322785977</c:v>
                </c:pt>
                <c:pt idx="8">
                  <c:v>182000</c:v>
                </c:pt>
                <c:pt idx="9">
                  <c:v>-102137.71183822786</c:v>
                </c:pt>
              </c:numCache>
            </c:numRef>
          </c:val>
          <c:smooth val="1"/>
          <c:extLst>
            <c:ext xmlns:c16="http://schemas.microsoft.com/office/drawing/2014/chart" uri="{C3380CC4-5D6E-409C-BE32-E72D297353CC}">
              <c16:uniqueId val="{00000002-5FAA-4E4B-88B7-CAB76F72AF0C}"/>
            </c:ext>
          </c:extLst>
        </c:ser>
        <c:ser>
          <c:idx val="3"/>
          <c:order val="3"/>
          <c:tx>
            <c:v>M5</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P&amp;L'!$F$5:$F$14</c:f>
              <c:numCache>
                <c:formatCode>#,##0;[Red]\(#,##0\);\-</c:formatCode>
                <c:ptCount val="10"/>
                <c:pt idx="0" formatCode="General">
                  <c:v>59.19579832320003</c:v>
                </c:pt>
                <c:pt idx="1">
                  <c:v>125525.63747711884</c:v>
                </c:pt>
                <c:pt idx="2">
                  <c:v>16803.824984605835</c:v>
                </c:pt>
                <c:pt idx="3">
                  <c:v>11839.159664640007</c:v>
                </c:pt>
                <c:pt idx="4">
                  <c:v>108721.812492513</c:v>
                </c:pt>
                <c:pt idx="5">
                  <c:v>19276.049751328181</c:v>
                </c:pt>
                <c:pt idx="6">
                  <c:v>89445.762741184808</c:v>
                </c:pt>
                <c:pt idx="7" formatCode="0.0%">
                  <c:v>0.82270301322785977</c:v>
                </c:pt>
                <c:pt idx="8">
                  <c:v>182000</c:v>
                </c:pt>
                <c:pt idx="9">
                  <c:v>-92554.237258815192</c:v>
                </c:pt>
              </c:numCache>
            </c:numRef>
          </c:val>
          <c:smooth val="1"/>
          <c:extLst>
            <c:ext xmlns:c16="http://schemas.microsoft.com/office/drawing/2014/chart" uri="{C3380CC4-5D6E-409C-BE32-E72D297353CC}">
              <c16:uniqueId val="{00000003-5FAA-4E4B-88B7-CAB76F72AF0C}"/>
            </c:ext>
          </c:extLst>
        </c:ser>
        <c:ser>
          <c:idx val="4"/>
          <c:order val="4"/>
          <c:tx>
            <c:v>M6</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P&amp;L'!$G$5:$G$14</c:f>
              <c:numCache>
                <c:formatCode>#,##0;[Red]\(#,##0\);\-</c:formatCode>
                <c:ptCount val="10"/>
                <c:pt idx="0" formatCode="General">
                  <c:v>66.299294121984033</c:v>
                </c:pt>
                <c:pt idx="1">
                  <c:v>140588.71397437309</c:v>
                </c:pt>
                <c:pt idx="2">
                  <c:v>18820.283982758534</c:v>
                </c:pt>
                <c:pt idx="3">
                  <c:v>13259.858824396806</c:v>
                </c:pt>
                <c:pt idx="4">
                  <c:v>121768.42999161455</c:v>
                </c:pt>
                <c:pt idx="5">
                  <c:v>21589.175721487562</c:v>
                </c:pt>
                <c:pt idx="6">
                  <c:v>100179.25427012698</c:v>
                </c:pt>
                <c:pt idx="7" formatCode="0.0%">
                  <c:v>0.82270301322785977</c:v>
                </c:pt>
                <c:pt idx="8">
                  <c:v>182000</c:v>
                </c:pt>
                <c:pt idx="9">
                  <c:v>-81820.745729873015</c:v>
                </c:pt>
              </c:numCache>
            </c:numRef>
          </c:val>
          <c:smooth val="1"/>
          <c:extLst>
            <c:ext xmlns:c16="http://schemas.microsoft.com/office/drawing/2014/chart" uri="{C3380CC4-5D6E-409C-BE32-E72D297353CC}">
              <c16:uniqueId val="{00000004-5FAA-4E4B-88B7-CAB76F72AF0C}"/>
            </c:ext>
          </c:extLst>
        </c:ser>
        <c:ser>
          <c:idx val="5"/>
          <c:order val="5"/>
          <c:tx>
            <c:v>M7</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P&amp;L'!$H$5:$H$14</c:f>
              <c:numCache>
                <c:formatCode>#,##0;[Red]\(#,##0\);\-</c:formatCode>
                <c:ptCount val="10"/>
                <c:pt idx="0" formatCode="General">
                  <c:v>74.255209416622122</c:v>
                </c:pt>
                <c:pt idx="1">
                  <c:v>157459.35965129788</c:v>
                </c:pt>
                <c:pt idx="2">
                  <c:v>21078.71806068956</c:v>
                </c:pt>
                <c:pt idx="3">
                  <c:v>14851.041883324424</c:v>
                </c:pt>
                <c:pt idx="4">
                  <c:v>136380.64159060831</c:v>
                </c:pt>
                <c:pt idx="5">
                  <c:v>24179.87680806607</c:v>
                </c:pt>
                <c:pt idx="6">
                  <c:v>112200.76478254223</c:v>
                </c:pt>
                <c:pt idx="7" formatCode="0.0%">
                  <c:v>0.82270301322785977</c:v>
                </c:pt>
                <c:pt idx="8">
                  <c:v>182000</c:v>
                </c:pt>
                <c:pt idx="9">
                  <c:v>-69799.235217457768</c:v>
                </c:pt>
              </c:numCache>
            </c:numRef>
          </c:val>
          <c:smooth val="1"/>
          <c:extLst>
            <c:ext xmlns:c16="http://schemas.microsoft.com/office/drawing/2014/chart" uri="{C3380CC4-5D6E-409C-BE32-E72D297353CC}">
              <c16:uniqueId val="{00000005-5FAA-4E4B-88B7-CAB76F72AF0C}"/>
            </c:ext>
          </c:extLst>
        </c:ser>
        <c:ser>
          <c:idx val="6"/>
          <c:order val="6"/>
          <c:tx>
            <c:v>M8</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P&amp;L'!$I$5:$I$14</c:f>
              <c:numCache>
                <c:formatCode>#,##0;[Red]\(#,##0\);\-</c:formatCode>
                <c:ptCount val="10"/>
                <c:pt idx="0" formatCode="General">
                  <c:v>83.165834546616779</c:v>
                </c:pt>
                <c:pt idx="1">
                  <c:v>176354.48280945362</c:v>
                </c:pt>
                <c:pt idx="2">
                  <c:v>23608.164227972309</c:v>
                </c:pt>
                <c:pt idx="3">
                  <c:v>16633.166909323354</c:v>
                </c:pt>
                <c:pt idx="4">
                  <c:v>152746.31858148129</c:v>
                </c:pt>
                <c:pt idx="5">
                  <c:v>27081.462025033998</c:v>
                </c:pt>
                <c:pt idx="6">
                  <c:v>125664.85655644731</c:v>
                </c:pt>
                <c:pt idx="7" formatCode="0.0%">
                  <c:v>0.82270301322785999</c:v>
                </c:pt>
                <c:pt idx="8">
                  <c:v>182000</c:v>
                </c:pt>
                <c:pt idx="9">
                  <c:v>-56335.14344355269</c:v>
                </c:pt>
              </c:numCache>
            </c:numRef>
          </c:val>
          <c:smooth val="1"/>
          <c:extLst>
            <c:ext xmlns:c16="http://schemas.microsoft.com/office/drawing/2014/chart" uri="{C3380CC4-5D6E-409C-BE32-E72D297353CC}">
              <c16:uniqueId val="{00000006-5FAA-4E4B-88B7-CAB76F72AF0C}"/>
            </c:ext>
          </c:extLst>
        </c:ser>
        <c:ser>
          <c:idx val="7"/>
          <c:order val="7"/>
          <c:tx>
            <c:v>M9</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P&amp;L'!$J$5:$J$14</c:f>
              <c:numCache>
                <c:formatCode>#,##0;[Red]\(#,##0\);\-</c:formatCode>
                <c:ptCount val="10"/>
                <c:pt idx="0" formatCode="General">
                  <c:v>93.145734692210794</c:v>
                </c:pt>
                <c:pt idx="1">
                  <c:v>197517.02074658807</c:v>
                </c:pt>
                <c:pt idx="2">
                  <c:v>26441.143935328986</c:v>
                </c:pt>
                <c:pt idx="3">
                  <c:v>18629.146938442158</c:v>
                </c:pt>
                <c:pt idx="4">
                  <c:v>171075.87681125908</c:v>
                </c:pt>
                <c:pt idx="5">
                  <c:v>30331.237468038078</c:v>
                </c:pt>
                <c:pt idx="6">
                  <c:v>140744.63934322097</c:v>
                </c:pt>
                <c:pt idx="7" formatCode="0.0%">
                  <c:v>0.82270301322785966</c:v>
                </c:pt>
                <c:pt idx="8">
                  <c:v>182000</c:v>
                </c:pt>
                <c:pt idx="9">
                  <c:v>-41255.360656779027</c:v>
                </c:pt>
              </c:numCache>
            </c:numRef>
          </c:val>
          <c:smooth val="1"/>
          <c:extLst>
            <c:ext xmlns:c16="http://schemas.microsoft.com/office/drawing/2014/chart" uri="{C3380CC4-5D6E-409C-BE32-E72D297353CC}">
              <c16:uniqueId val="{00000007-5FAA-4E4B-88B7-CAB76F72AF0C}"/>
            </c:ext>
          </c:extLst>
        </c:ser>
        <c:ser>
          <c:idx val="8"/>
          <c:order val="8"/>
          <c:tx>
            <c:v>M10</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P&amp;L'!$K$5:$K$14</c:f>
              <c:numCache>
                <c:formatCode>#,##0;[Red]\(#,##0\);\-</c:formatCode>
                <c:ptCount val="10"/>
                <c:pt idx="0" formatCode="General">
                  <c:v>104.3232228552761</c:v>
                </c:pt>
                <c:pt idx="1">
                  <c:v>221219.06323617866</c:v>
                </c:pt>
                <c:pt idx="2">
                  <c:v>29614.08120756847</c:v>
                </c:pt>
                <c:pt idx="3">
                  <c:v>20864.644571055222</c:v>
                </c:pt>
                <c:pt idx="4">
                  <c:v>191604.98202861016</c:v>
                </c:pt>
                <c:pt idx="5">
                  <c:v>33970.985964202649</c:v>
                </c:pt>
                <c:pt idx="6">
                  <c:v>157633.99606440752</c:v>
                </c:pt>
                <c:pt idx="7" formatCode="0.0%">
                  <c:v>0.82270301322785988</c:v>
                </c:pt>
                <c:pt idx="8">
                  <c:v>182000</c:v>
                </c:pt>
                <c:pt idx="9">
                  <c:v>-24366.003935592482</c:v>
                </c:pt>
              </c:numCache>
            </c:numRef>
          </c:val>
          <c:smooth val="1"/>
          <c:extLst>
            <c:ext xmlns:c16="http://schemas.microsoft.com/office/drawing/2014/chart" uri="{C3380CC4-5D6E-409C-BE32-E72D297353CC}">
              <c16:uniqueId val="{00000008-5FAA-4E4B-88B7-CAB76F72AF0C}"/>
            </c:ext>
          </c:extLst>
        </c:ser>
        <c:ser>
          <c:idx val="9"/>
          <c:order val="9"/>
          <c:tx>
            <c:v>M11</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P&amp;L'!$L$5:$L$14</c:f>
              <c:numCache>
                <c:formatCode>#,##0;[Red]\(#,##0\);\-</c:formatCode>
                <c:ptCount val="10"/>
                <c:pt idx="0" formatCode="General">
                  <c:v>116.84200959790924</c:v>
                </c:pt>
                <c:pt idx="1">
                  <c:v>247765.35082452011</c:v>
                </c:pt>
                <c:pt idx="2">
                  <c:v>33167.770952476683</c:v>
                </c:pt>
                <c:pt idx="3">
                  <c:v>23368.401919581847</c:v>
                </c:pt>
                <c:pt idx="4">
                  <c:v>214597.5798720434</c:v>
                </c:pt>
                <c:pt idx="5">
                  <c:v>38047.504279906971</c:v>
                </c:pt>
                <c:pt idx="6">
                  <c:v>176550.07559213642</c:v>
                </c:pt>
                <c:pt idx="7" formatCode="0.0%">
                  <c:v>0.82270301322785977</c:v>
                </c:pt>
                <c:pt idx="8">
                  <c:v>182000</c:v>
                </c:pt>
                <c:pt idx="9">
                  <c:v>-5449.924407863582</c:v>
                </c:pt>
              </c:numCache>
            </c:numRef>
          </c:val>
          <c:smooth val="1"/>
          <c:extLst>
            <c:ext xmlns:c16="http://schemas.microsoft.com/office/drawing/2014/chart" uri="{C3380CC4-5D6E-409C-BE32-E72D297353CC}">
              <c16:uniqueId val="{00000009-5FAA-4E4B-88B7-CAB76F72AF0C}"/>
            </c:ext>
          </c:extLst>
        </c:ser>
        <c:ser>
          <c:idx val="10"/>
          <c:order val="10"/>
          <c:tx>
            <c:v>M12</c:v>
          </c:tx>
          <c:marker>
            <c:symbol val="none"/>
          </c:marker>
          <c:cat>
            <c:numRef>
              <c:f>'Monthly P&amp;L'!$B$5:$B$14</c:f>
              <c:numCache>
                <c:formatCode>#,##0;[Red]\(#,##0\);\-</c:formatCode>
                <c:ptCount val="10"/>
                <c:pt idx="0" formatCode="General">
                  <c:v>37.620000000000005</c:v>
                </c:pt>
                <c:pt idx="1">
                  <c:v>79773.811920000007</c:v>
                </c:pt>
                <c:pt idx="2">
                  <c:v>10679.13456406779</c:v>
                </c:pt>
                <c:pt idx="3">
                  <c:v>7524.0000000000009</c:v>
                </c:pt>
                <c:pt idx="4">
                  <c:v>69094.677355932217</c:v>
                </c:pt>
                <c:pt idx="5">
                  <c:v>12250.278097200007</c:v>
                </c:pt>
                <c:pt idx="6">
                  <c:v>56844.399258732206</c:v>
                </c:pt>
                <c:pt idx="7" formatCode="0.0%">
                  <c:v>0.82270301322785977</c:v>
                </c:pt>
                <c:pt idx="8">
                  <c:v>182000</c:v>
                </c:pt>
                <c:pt idx="9">
                  <c:v>-125155.60074126779</c:v>
                </c:pt>
              </c:numCache>
            </c:numRef>
          </c:cat>
          <c:val>
            <c:numRef>
              <c:f>'Monthly P&amp;L'!$M$5:$M$14</c:f>
              <c:numCache>
                <c:formatCode>#,##0;[Red]\(#,##0\);\-</c:formatCode>
                <c:ptCount val="10"/>
                <c:pt idx="0" formatCode="General">
                  <c:v>130.86305074965836</c:v>
                </c:pt>
                <c:pt idx="1">
                  <c:v>277497.19292346254</c:v>
                </c:pt>
                <c:pt idx="2">
                  <c:v>37147.903466773889</c:v>
                </c:pt>
                <c:pt idx="3">
                  <c:v>26172.610149931672</c:v>
                </c:pt>
                <c:pt idx="4">
                  <c:v>240349.28945668862</c:v>
                </c:pt>
                <c:pt idx="5">
                  <c:v>42613.20479349581</c:v>
                </c:pt>
                <c:pt idx="6">
                  <c:v>197736.08466319283</c:v>
                </c:pt>
                <c:pt idx="7" formatCode="0.0%">
                  <c:v>0.82270301322785988</c:v>
                </c:pt>
                <c:pt idx="8">
                  <c:v>182000</c:v>
                </c:pt>
                <c:pt idx="9">
                  <c:v>15736.084663192829</c:v>
                </c:pt>
              </c:numCache>
            </c:numRef>
          </c:val>
          <c:smooth val="1"/>
          <c:extLst>
            <c:ext xmlns:c16="http://schemas.microsoft.com/office/drawing/2014/chart" uri="{C3380CC4-5D6E-409C-BE32-E72D297353CC}">
              <c16:uniqueId val="{0000000A-5FAA-4E4B-88B7-CAB76F72AF0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Contribution Bridge — Average Current Journey</a:t>
            </a:r>
          </a:p>
        </c:rich>
      </c:tx>
      <c:overlay val="1"/>
    </c:title>
    <c:autoTitleDeleted val="0"/>
    <c:plotArea>
      <c:layout/>
      <c:barChart>
        <c:barDir val="col"/>
        <c:grouping val="clustered"/>
        <c:varyColors val="0"/>
        <c:ser>
          <c:idx val="0"/>
          <c:order val="0"/>
          <c:tx>
            <c:v>₹</c:v>
          </c:tx>
          <c:invertIfNegative val="1"/>
          <c:cat>
            <c:strRef>
              <c:f>'Executive Dashboard'!$R$5:$R$11</c:f>
              <c:strCache>
                <c:ptCount val="7"/>
                <c:pt idx="0">
                  <c:v>Gross customer billings</c:v>
                </c:pt>
                <c:pt idx="1">
                  <c:v>GST / indirect tax</c:v>
                </c:pt>
                <c:pt idx="2">
                  <c:v>Pass-through cab reimbursement</c:v>
                </c:pt>
                <c:pt idx="3">
                  <c:v>Net operating revenue</c:v>
                </c:pt>
                <c:pt idx="4">
                  <c:v>Variable delivery costs</c:v>
                </c:pt>
                <c:pt idx="5">
                  <c:v>Contribution before fixed costs</c:v>
                </c:pt>
                <c:pt idx="6">
                  <c:v>Allocated Angel payroll / journey</c:v>
                </c:pt>
              </c:strCache>
            </c:strRef>
          </c:cat>
          <c:val>
            <c:numRef>
              <c:f>'Executive Dashboard'!$S$5:$S$11</c:f>
              <c:numCache>
                <c:formatCode>\₹#,##0;[Red]\(\₹#,##0\);\-</c:formatCode>
                <c:ptCount val="7"/>
                <c:pt idx="0">
                  <c:v>2120.5160000000001</c:v>
                </c:pt>
                <c:pt idx="1">
                  <c:v>283.86854237288117</c:v>
                </c:pt>
                <c:pt idx="2">
                  <c:v>200</c:v>
                </c:pt>
                <c:pt idx="3">
                  <c:v>1836.6474576271189</c:v>
                </c:pt>
                <c:pt idx="4">
                  <c:v>325.63206000000025</c:v>
                </c:pt>
                <c:pt idx="5">
                  <c:v>1511.0153976271185</c:v>
                </c:pt>
                <c:pt idx="6">
                  <c:v>1116.4274322169058</c:v>
                </c:pt>
              </c:numCache>
            </c:numRef>
          </c:val>
          <c:extLst>
            <c:ext xmlns:c16="http://schemas.microsoft.com/office/drawing/2014/chart" uri="{C3380CC4-5D6E-409C-BE32-E72D297353CC}">
              <c16:uniqueId val="{00000000-D3C3-EF4F-A7DB-72653221E6B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4</xdr:col>
      <xdr:colOff>0</xdr:colOff>
      <xdr:row>9</xdr:row>
      <xdr:rowOff>0</xdr:rowOff>
    </xdr:from>
    <xdr:to>
      <xdr:col>11</xdr:col>
      <xdr:colOff>0</xdr:colOff>
      <xdr:row>24</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86</xdr:row>
      <xdr:rowOff>0</xdr:rowOff>
    </xdr:from>
    <xdr:to>
      <xdr:col>22</xdr:col>
      <xdr:colOff>0</xdr:colOff>
      <xdr:row>100</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86</xdr:row>
      <xdr:rowOff>0</xdr:rowOff>
    </xdr:from>
    <xdr:to>
      <xdr:col>30</xdr:col>
      <xdr:colOff>0</xdr:colOff>
      <xdr:row>100</xdr:row>
      <xdr:rowOff>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101</xdr:row>
      <xdr:rowOff>0</xdr:rowOff>
    </xdr:from>
    <xdr:to>
      <xdr:col>22</xdr:col>
      <xdr:colOff>0</xdr:colOff>
      <xdr:row>115</xdr:row>
      <xdr:rowOff>0</xdr:rowOff>
    </xdr:to>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0</xdr:colOff>
      <xdr:row>101</xdr:row>
      <xdr:rowOff>0</xdr:rowOff>
    </xdr:from>
    <xdr:to>
      <xdr:col>30</xdr:col>
      <xdr:colOff>0</xdr:colOff>
      <xdr:row>115</xdr:row>
      <xdr:rowOff>0</xdr:rowOff>
    </xdr:to>
    <xdr:graphicFrame macro="">
      <xdr:nvGraphicFramePr>
        <xdr:cNvPr id="5" nam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116</xdr:row>
      <xdr:rowOff>0</xdr:rowOff>
    </xdr:from>
    <xdr:to>
      <xdr:col>30</xdr:col>
      <xdr:colOff>0</xdr:colOff>
      <xdr:row>131</xdr:row>
      <xdr:rowOff>0</xdr:rowOff>
    </xdr:to>
    <xdr:graphicFrame macro="">
      <xdr:nvGraphicFramePr>
        <xdr:cNvPr id="6" nam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4</xdr:row>
      <xdr:rowOff>0</xdr:rowOff>
    </xdr:from>
    <xdr:to>
      <xdr:col>20</xdr:col>
      <xdr:colOff>0</xdr:colOff>
      <xdr:row>18</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19</xdr:row>
      <xdr:rowOff>0</xdr:rowOff>
    </xdr:from>
    <xdr:to>
      <xdr:col>20</xdr:col>
      <xdr:colOff>0</xdr:colOff>
      <xdr:row>33</xdr:row>
      <xdr:rowOff>0</xdr:rowOff>
    </xdr:to>
    <xdr:graphicFrame macro="">
      <xdr:nvGraphicFramePr>
        <xdr:cNvPr id="3" nam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34</xdr:row>
      <xdr:rowOff>0</xdr:rowOff>
    </xdr:from>
    <xdr:to>
      <xdr:col>20</xdr:col>
      <xdr:colOff>0</xdr:colOff>
      <xdr:row>48</xdr:row>
      <xdr:rowOff>0</xdr:rowOff>
    </xdr:to>
    <xdr:graphicFrame macro="">
      <xdr:nvGraphicFramePr>
        <xdr:cNvPr id="4" nam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49</xdr:row>
      <xdr:rowOff>0</xdr:rowOff>
    </xdr:from>
    <xdr:to>
      <xdr:col>20</xdr:col>
      <xdr:colOff>0</xdr:colOff>
      <xdr:row>63</xdr:row>
      <xdr:rowOff>0</xdr:rowOff>
    </xdr:to>
    <xdr:graphicFrame macro="">
      <xdr:nvGraphicFramePr>
        <xdr:cNvPr id="5" name="Chart">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64</xdr:row>
      <xdr:rowOff>0</xdr:rowOff>
    </xdr:from>
    <xdr:to>
      <xdr:col>20</xdr:col>
      <xdr:colOff>0</xdr:colOff>
      <xdr:row>83</xdr:row>
      <xdr:rowOff>0</xdr:rowOff>
    </xdr:to>
    <xdr:graphicFrame macro="">
      <xdr:nvGraphicFramePr>
        <xdr:cNvPr id="6" name="Chart">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84</xdr:row>
      <xdr:rowOff>0</xdr:rowOff>
    </xdr:from>
    <xdr:to>
      <xdr:col>20</xdr:col>
      <xdr:colOff>0</xdr:colOff>
      <xdr:row>98</xdr:row>
      <xdr:rowOff>0</xdr:rowOff>
    </xdr:to>
    <xdr:graphicFrame macro="">
      <xdr:nvGraphicFramePr>
        <xdr:cNvPr id="7" name="Chart">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99</xdr:row>
      <xdr:rowOff>0</xdr:rowOff>
    </xdr:from>
    <xdr:to>
      <xdr:col>20</xdr:col>
      <xdr:colOff>0</xdr:colOff>
      <xdr:row>115</xdr:row>
      <xdr:rowOff>0</xdr:rowOff>
    </xdr:to>
    <xdr:graphicFrame macro="">
      <xdr:nvGraphicFramePr>
        <xdr:cNvPr id="8" name="Chart">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116</xdr:row>
      <xdr:rowOff>0</xdr:rowOff>
    </xdr:from>
    <xdr:to>
      <xdr:col>20</xdr:col>
      <xdr:colOff>0</xdr:colOff>
      <xdr:row>132</xdr:row>
      <xdr:rowOff>0</xdr:rowOff>
    </xdr:to>
    <xdr:graphicFrame macro="">
      <xdr:nvGraphicFramePr>
        <xdr:cNvPr id="9" name="Chart">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0</xdr:colOff>
      <xdr:row>3</xdr:row>
      <xdr:rowOff>0</xdr:rowOff>
    </xdr:from>
    <xdr:to>
      <xdr:col>22</xdr:col>
      <xdr:colOff>0</xdr:colOff>
      <xdr:row>17</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18</xdr:row>
      <xdr:rowOff>0</xdr:rowOff>
    </xdr:from>
    <xdr:to>
      <xdr:col>22</xdr:col>
      <xdr:colOff>0</xdr:colOff>
      <xdr:row>32</xdr:row>
      <xdr:rowOff>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33</xdr:row>
      <xdr:rowOff>0</xdr:rowOff>
    </xdr:from>
    <xdr:to>
      <xdr:col>22</xdr:col>
      <xdr:colOff>0</xdr:colOff>
      <xdr:row>47</xdr:row>
      <xdr:rowOff>0</xdr:rowOff>
    </xdr:to>
    <xdr:graphicFrame macro="">
      <xdr:nvGraphicFramePr>
        <xdr:cNvPr id="4" name="Char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48</xdr:row>
      <xdr:rowOff>0</xdr:rowOff>
    </xdr:from>
    <xdr:to>
      <xdr:col>22</xdr:col>
      <xdr:colOff>0</xdr:colOff>
      <xdr:row>62</xdr:row>
      <xdr:rowOff>0</xdr:rowOff>
    </xdr:to>
    <xdr:graphicFrame macro="">
      <xdr:nvGraphicFramePr>
        <xdr:cNvPr id="5" name="Chart">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63</xdr:row>
      <xdr:rowOff>0</xdr:rowOff>
    </xdr:from>
    <xdr:to>
      <xdr:col>22</xdr:col>
      <xdr:colOff>0</xdr:colOff>
      <xdr:row>77</xdr:row>
      <xdr:rowOff>0</xdr:rowOff>
    </xdr:to>
    <xdr:graphicFrame macro="">
      <xdr:nvGraphicFramePr>
        <xdr:cNvPr id="6" name="Chart">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78</xdr:row>
      <xdr:rowOff>0</xdr:rowOff>
    </xdr:from>
    <xdr:to>
      <xdr:col>22</xdr:col>
      <xdr:colOff>0</xdr:colOff>
      <xdr:row>92</xdr:row>
      <xdr:rowOff>0</xdr:rowOff>
    </xdr:to>
    <xdr:graphicFrame macro="">
      <xdr:nvGraphicFramePr>
        <xdr:cNvPr id="7" name="Chart">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93</xdr:row>
      <xdr:rowOff>0</xdr:rowOff>
    </xdr:from>
    <xdr:to>
      <xdr:col>22</xdr:col>
      <xdr:colOff>0</xdr:colOff>
      <xdr:row>110</xdr:row>
      <xdr:rowOff>0</xdr:rowOff>
    </xdr:to>
    <xdr:graphicFrame macro="">
      <xdr:nvGraphicFramePr>
        <xdr:cNvPr id="8" name="Chart">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111</xdr:row>
      <xdr:rowOff>0</xdr:rowOff>
    </xdr:from>
    <xdr:to>
      <xdr:col>22</xdr:col>
      <xdr:colOff>0</xdr:colOff>
      <xdr:row>131</xdr:row>
      <xdr:rowOff>0</xdr:rowOff>
    </xdr:to>
    <xdr:graphicFrame macro="">
      <xdr:nvGraphicFramePr>
        <xdr:cNvPr id="9" name="Chart">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0</xdr:colOff>
      <xdr:row>132</xdr:row>
      <xdr:rowOff>0</xdr:rowOff>
    </xdr:from>
    <xdr:to>
      <xdr:col>22</xdr:col>
      <xdr:colOff>0</xdr:colOff>
      <xdr:row>152</xdr:row>
      <xdr:rowOff>0</xdr:rowOff>
    </xdr:to>
    <xdr:graphicFrame macro="">
      <xdr:nvGraphicFramePr>
        <xdr:cNvPr id="10" name="Chart">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153</xdr:row>
      <xdr:rowOff>0</xdr:rowOff>
    </xdr:from>
    <xdr:to>
      <xdr:col>22</xdr:col>
      <xdr:colOff>0</xdr:colOff>
      <xdr:row>170</xdr:row>
      <xdr:rowOff>0</xdr:rowOff>
    </xdr:to>
    <xdr:graphicFrame macro="">
      <xdr:nvGraphicFramePr>
        <xdr:cNvPr id="11" name="Chart">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0</xdr:colOff>
      <xdr:row>171</xdr:row>
      <xdr:rowOff>0</xdr:rowOff>
    </xdr:from>
    <xdr:to>
      <xdr:col>22</xdr:col>
      <xdr:colOff>0</xdr:colOff>
      <xdr:row>188</xdr:row>
      <xdr:rowOff>0</xdr:rowOff>
    </xdr:to>
    <xdr:graphicFrame macro="">
      <xdr:nvGraphicFramePr>
        <xdr:cNvPr id="12" name="Chart">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0</xdr:colOff>
      <xdr:row>189</xdr:row>
      <xdr:rowOff>0</xdr:rowOff>
    </xdr:from>
    <xdr:to>
      <xdr:col>22</xdr:col>
      <xdr:colOff>0</xdr:colOff>
      <xdr:row>204</xdr:row>
      <xdr:rowOff>0</xdr:rowOff>
    </xdr:to>
    <xdr:graphicFrame macro="">
      <xdr:nvGraphicFramePr>
        <xdr:cNvPr id="13" name="Chart">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20</xdr:col>
      <xdr:colOff>0</xdr:colOff>
      <xdr:row>38</xdr:row>
      <xdr:rowOff>0</xdr:rowOff>
    </xdr:from>
    <xdr:to>
      <xdr:col>31</xdr:col>
      <xdr:colOff>0</xdr:colOff>
      <xdr:row>55</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0</xdr:colOff>
      <xdr:row>3</xdr:row>
      <xdr:rowOff>0</xdr:rowOff>
    </xdr:from>
    <xdr:to>
      <xdr:col>20</xdr:col>
      <xdr:colOff>0</xdr:colOff>
      <xdr:row>17</xdr:row>
      <xdr:rowOff>0</xdr:rowOff>
    </xdr:to>
    <xdr:graphicFrame macro="">
      <xdr:nvGraphicFramePr>
        <xdr:cNvPr id="2" nam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0</xdr:rowOff>
    </xdr:from>
    <xdr:to>
      <xdr:col>20</xdr:col>
      <xdr:colOff>0</xdr:colOff>
      <xdr:row>33</xdr:row>
      <xdr:rowOff>0</xdr:rowOff>
    </xdr:to>
    <xdr:graphicFrame macro="">
      <xdr:nvGraphicFramePr>
        <xdr:cNvPr id="3" name="Chart">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0</xdr:colOff>
      <xdr:row>3</xdr:row>
      <xdr:rowOff>0</xdr:rowOff>
    </xdr:from>
    <xdr:to>
      <xdr:col>18</xdr:col>
      <xdr:colOff>0</xdr:colOff>
      <xdr:row>16</xdr:row>
      <xdr:rowOff>0</xdr:rowOff>
    </xdr:to>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16</xdr:row>
      <xdr:rowOff>0</xdr:rowOff>
    </xdr:from>
    <xdr:to>
      <xdr:col>18</xdr:col>
      <xdr:colOff>0</xdr:colOff>
      <xdr:row>30</xdr:row>
      <xdr:rowOff>0</xdr:rowOff>
    </xdr:to>
    <xdr:graphicFrame macro="">
      <xdr:nvGraphicFramePr>
        <xdr:cNvPr id="3" name="Chart">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36</xdr:row>
      <xdr:rowOff>0</xdr:rowOff>
    </xdr:from>
    <xdr:to>
      <xdr:col>18</xdr:col>
      <xdr:colOff>0</xdr:colOff>
      <xdr:row>49</xdr:row>
      <xdr:rowOff>0</xdr:rowOff>
    </xdr:to>
    <xdr:graphicFrame macro="">
      <xdr:nvGraphicFramePr>
        <xdr:cNvPr id="4" name="Chart">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45</xdr:row>
      <xdr:rowOff>0</xdr:rowOff>
    </xdr:from>
    <xdr:to>
      <xdr:col>7</xdr:col>
      <xdr:colOff>0</xdr:colOff>
      <xdr:row>60</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48</xdr:row>
      <xdr:rowOff>0</xdr:rowOff>
    </xdr:from>
    <xdr:to>
      <xdr:col>17</xdr:col>
      <xdr:colOff>0</xdr:colOff>
      <xdr:row>62</xdr:row>
      <xdr:rowOff>0</xdr:rowOff>
    </xdr:to>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0</xdr:colOff>
      <xdr:row>3</xdr:row>
      <xdr:rowOff>0</xdr:rowOff>
    </xdr:from>
    <xdr:to>
      <xdr:col>22</xdr:col>
      <xdr:colOff>0</xdr:colOff>
      <xdr:row>18</xdr:row>
      <xdr:rowOff>0</xdr:rowOff>
    </xdr:to>
    <xdr:graphicFrame macro="">
      <xdr:nvGraphicFramePr>
        <xdr:cNvPr id="2" name="Chart">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18</xdr:row>
      <xdr:rowOff>0</xdr:rowOff>
    </xdr:from>
    <xdr:to>
      <xdr:col>22</xdr:col>
      <xdr:colOff>0</xdr:colOff>
      <xdr:row>34</xdr:row>
      <xdr:rowOff>0</xdr:rowOff>
    </xdr:to>
    <xdr:graphicFrame macro="">
      <xdr:nvGraphicFramePr>
        <xdr:cNvPr id="3" name="Chart">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21</xdr:row>
      <xdr:rowOff>0</xdr:rowOff>
    </xdr:from>
    <xdr:to>
      <xdr:col>14</xdr:col>
      <xdr:colOff>0</xdr:colOff>
      <xdr:row>35</xdr:row>
      <xdr:rowOff>0</xdr:rowOff>
    </xdr:to>
    <xdr:graphicFrame macro="">
      <xdr:nvGraphicFramePr>
        <xdr:cNvPr id="2" name="Chart">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44</xdr:row>
      <xdr:rowOff>0</xdr:rowOff>
    </xdr:from>
    <xdr:to>
      <xdr:col>8</xdr:col>
      <xdr:colOff>0</xdr:colOff>
      <xdr:row>59</xdr:row>
      <xdr:rowOff>0</xdr:rowOff>
    </xdr:to>
    <xdr:graphicFrame macro="">
      <xdr:nvGraphicFramePr>
        <xdr:cNvPr id="2" name="Chart">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44</xdr:row>
      <xdr:rowOff>0</xdr:rowOff>
    </xdr:from>
    <xdr:to>
      <xdr:col>16</xdr:col>
      <xdr:colOff>0</xdr:colOff>
      <xdr:row>59</xdr:row>
      <xdr:rowOff>0</xdr:rowOff>
    </xdr:to>
    <xdr:graphicFrame macro="">
      <xdr:nvGraphicFramePr>
        <xdr:cNvPr id="3" name="Chart">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12</xdr:row>
      <xdr:rowOff>0</xdr:rowOff>
    </xdr:from>
    <xdr:to>
      <xdr:col>26</xdr:col>
      <xdr:colOff>0</xdr:colOff>
      <xdr:row>29</xdr:row>
      <xdr:rowOff>0</xdr:rowOff>
    </xdr:to>
    <xdr:graphicFrame macro="">
      <xdr:nvGraphicFramePr>
        <xdr:cNvPr id="4" name="Chart">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rviceEconomicsTable" displayName="ServiceEconomicsTable" ref="A4:AF34" totalsRowShown="0">
  <tableColumns count="32">
    <tableColumn id="1" xr3:uid="{00000000-0010-0000-0000-000001000000}" name="Service"/>
    <tableColumn id="2" xr3:uid="{00000000-0010-0000-0000-000002000000}" name="Category"/>
    <tableColumn id="3" xr3:uid="{00000000-0010-0000-0000-000003000000}" name="Hours"/>
    <tableColumn id="4" xr3:uid="{00000000-0010-0000-0000-000004000000}" name="Rate Multiplier"/>
    <tableColumn id="5" xr3:uid="{00000000-0010-0000-0000-000005000000}" name="Fixed Premium / Fee"/>
    <tableColumn id="6" xr3:uid="{00000000-0010-0000-0000-000006000000}" name="No. of Angels"/>
    <tableColumn id="7" xr3:uid="{00000000-0010-0000-0000-000007000000}" name="Angel Cost/Hr Override"/>
    <tableColumn id="8" xr3:uid="{00000000-0010-0000-0000-000008000000}" name="Cab Cost Override"/>
    <tableColumn id="9" xr3:uid="{00000000-0010-0000-0000-000009000000}" name="Coord. Fee Override"/>
    <tableColumn id="10" xr3:uid="{00000000-0010-0000-0000-00000A000000}" name="Effective Sell Rate/Hr"/>
    <tableColumn id="11" xr3:uid="{00000000-0010-0000-0000-00000B000000}" name="Customer Service Price_x000a_(Incl GST)"/>
    <tableColumn id="12" xr3:uid="{00000000-0010-0000-0000-00000C000000}" name="Net Service Revenue"/>
    <tableColumn id="13" xr3:uid="{00000000-0010-0000-0000-00000D000000}" name="Effective Angel Cost/Hr"/>
    <tableColumn id="14" xr3:uid="{00000000-0010-0000-0000-00000E000000}" name="Angel Cost"/>
    <tableColumn id="15" xr3:uid="{00000000-0010-0000-0000-00000F000000}" name="Payment Platform Cost"/>
    <tableColumn id="16" xr3:uid="{00000000-0010-0000-0000-000010000000}" name="Other Variable Care Cost"/>
    <tableColumn id="17" xr3:uid="{00000000-0010-0000-0000-000011000000}" name="CASE 1 Total Direct Cost"/>
    <tableColumn id="18" xr3:uid="{00000000-0010-0000-0000-000012000000}" name="CASE 1 Contribution Profit"/>
    <tableColumn id="19" xr3:uid="{00000000-0010-0000-0000-000013000000}" name="CASE 1 Margin"/>
    <tableColumn id="20" xr3:uid="{00000000-0010-0000-0000-000014000000}" name="Effective 3P Cab Cost"/>
    <tableColumn id="21" xr3:uid="{00000000-0010-0000-0000-000015000000}" name="Effective Coordination Fee"/>
    <tableColumn id="22" xr3:uid="{00000000-0010-0000-0000-000016000000}" name="Customer Transport Charge"/>
    <tableColumn id="23" xr3:uid="{00000000-0010-0000-0000-000017000000}" name="Transport Payment Cost"/>
    <tableColumn id="24" xr3:uid="{00000000-0010-0000-0000-000018000000}" name="Transport Ops Cost"/>
    <tableColumn id="25" xr3:uid="{00000000-0010-0000-0000-000019000000}" name="Transport Contribution"/>
    <tableColumn id="26" xr3:uid="{00000000-0010-0000-0000-00001A000000}" name="CASE 2 Total Customer Outflow"/>
    <tableColumn id="27" xr3:uid="{00000000-0010-0000-0000-00001B000000}" name="CASE 2 Total Direct Cost"/>
    <tableColumn id="28" xr3:uid="{00000000-0010-0000-0000-00001C000000}" name="CASE 2 Contribution Profit"/>
    <tableColumn id="29" xr3:uid="{00000000-0010-0000-0000-00001D000000}" name="CASE 2 Profit Uplift"/>
    <tableColumn id="30" xr3:uid="{00000000-0010-0000-0000-00001E000000}" name="CASE 2 Margin vs Net Service Revenue"/>
    <tableColumn id="31" xr3:uid="{00000000-0010-0000-0000-00001F000000}" name="Profit / Service Hour C1"/>
    <tableColumn id="32" xr3:uid="{00000000-0010-0000-0000-000020000000}" name="Profit / Service Hour C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rviceCatalogueTable" displayName="ServiceCatalogueTable" ref="A3:D33" totalsRowShown="0">
  <tableColumns count="4">
    <tableColumn id="1" xr3:uid="{00000000-0010-0000-0100-000001000000}" name="Service"/>
    <tableColumn id="2" xr3:uid="{00000000-0010-0000-0100-000002000000}" name="Category"/>
    <tableColumn id="3" xr3:uid="{00000000-0010-0000-0100-000003000000}" name="Typical Concierge Scope"/>
    <tableColumn id="4" xr3:uid="{00000000-0010-0000-0100-000004000000}" name="Clinical Bounda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9"/>
  <sheetViews>
    <sheetView workbookViewId="0">
      <selection activeCell="B4" sqref="B4"/>
    </sheetView>
  </sheetViews>
  <sheetFormatPr baseColWidth="10" defaultColWidth="8.83203125" defaultRowHeight="14"/>
  <cols>
    <col min="1" max="1" width="35" customWidth="1"/>
    <col min="2" max="2" width="23" customWidth="1"/>
    <col min="3" max="3" width="36" customWidth="1"/>
    <col min="4" max="4" width="42" customWidth="1"/>
    <col min="5" max="5" width="18" customWidth="1"/>
    <col min="6" max="6" width="28" customWidth="1"/>
    <col min="7" max="8" width="20" customWidth="1"/>
    <col min="10" max="11" width="2" customWidth="1"/>
  </cols>
  <sheetData>
    <row r="1" spans="1:11" ht="49.75" customHeight="1">
      <c r="A1" s="424" t="s">
        <v>1084</v>
      </c>
      <c r="B1" s="424"/>
      <c r="C1" s="424"/>
      <c r="D1" s="424"/>
      <c r="E1" s="424"/>
      <c r="F1" s="424"/>
      <c r="G1" s="424"/>
      <c r="H1" s="424"/>
      <c r="J1" s="212" t="s">
        <v>1085</v>
      </c>
      <c r="K1" s="212" t="s">
        <v>1086</v>
      </c>
    </row>
    <row r="2" spans="1:11" ht="49.75" customHeight="1">
      <c r="A2" s="425" t="s">
        <v>1087</v>
      </c>
      <c r="B2" s="425"/>
      <c r="C2" s="425"/>
      <c r="D2" s="425"/>
      <c r="E2" s="425"/>
      <c r="F2" s="425"/>
      <c r="G2" s="425"/>
      <c r="H2" s="425"/>
      <c r="J2" s="212" t="s">
        <v>59</v>
      </c>
      <c r="K2" s="213">
        <v>1</v>
      </c>
    </row>
    <row r="3" spans="1:11">
      <c r="J3" s="212" t="s">
        <v>1088</v>
      </c>
      <c r="K3" s="213">
        <v>1.5</v>
      </c>
    </row>
    <row r="4" spans="1:11" ht="15">
      <c r="A4" s="187" t="s">
        <v>1089</v>
      </c>
      <c r="B4" s="189" t="s">
        <v>59</v>
      </c>
      <c r="C4" s="188" t="s">
        <v>1090</v>
      </c>
      <c r="D4" s="190">
        <v>5</v>
      </c>
      <c r="J4" s="212" t="s">
        <v>61</v>
      </c>
      <c r="K4" s="213">
        <v>2</v>
      </c>
    </row>
    <row r="5" spans="1:11" ht="15">
      <c r="E5" s="187" t="s">
        <v>598</v>
      </c>
      <c r="F5" s="187" t="s">
        <v>1091</v>
      </c>
      <c r="J5" s="212" t="s">
        <v>62</v>
      </c>
      <c r="K5" s="213">
        <v>2.5</v>
      </c>
    </row>
    <row r="6" spans="1:11" ht="32">
      <c r="A6" s="192" t="s">
        <v>235</v>
      </c>
      <c r="B6" s="192" t="s">
        <v>1092</v>
      </c>
      <c r="C6" s="192" t="s">
        <v>1093</v>
      </c>
      <c r="E6" t="s">
        <v>1094</v>
      </c>
      <c r="F6" s="211">
        <f>B16</f>
        <v>1319.8032203389832</v>
      </c>
      <c r="J6" s="212" t="s">
        <v>63</v>
      </c>
      <c r="K6" s="213">
        <v>3</v>
      </c>
    </row>
    <row r="7" spans="1:11" ht="15">
      <c r="A7" s="157" t="s">
        <v>824</v>
      </c>
      <c r="B7" s="174">
        <f>$D$4</f>
        <v>5</v>
      </c>
      <c r="C7" s="174">
        <f>$D$4</f>
        <v>5</v>
      </c>
      <c r="E7" t="s">
        <v>1095</v>
      </c>
      <c r="F7" s="211">
        <f>C16</f>
        <v>1458.8032203389832</v>
      </c>
      <c r="J7" s="212" t="s">
        <v>64</v>
      </c>
      <c r="K7" s="213">
        <v>3.5</v>
      </c>
    </row>
    <row r="8" spans="1:11" ht="15">
      <c r="A8" s="157" t="s">
        <v>1096</v>
      </c>
      <c r="B8" s="196">
        <f>SUMIF('Service Economics'!$A$5:$A$34,$B$4,'Service Economics'!$D$5:$D$34)</f>
        <v>1</v>
      </c>
      <c r="C8" s="196">
        <f>B8</f>
        <v>1</v>
      </c>
      <c r="E8" t="s">
        <v>1097</v>
      </c>
      <c r="F8" s="211">
        <f>C19</f>
        <v>139</v>
      </c>
      <c r="J8" s="212" t="s">
        <v>66</v>
      </c>
      <c r="K8" s="213">
        <v>4</v>
      </c>
    </row>
    <row r="9" spans="1:11" ht="15">
      <c r="A9" s="157" t="s">
        <v>1098</v>
      </c>
      <c r="B9" s="207">
        <f>'MVP1 Pricing &amp; SKU'!$B$9+MAX($D$4,'MVP1 Pricing &amp; SKU'!$B$5)*'MVP1 Pricing &amp; SKU'!$B$7*$B$8+SUMIF('Service Economics'!$A$5:$A$34,$B$4,'Service Economics'!$E$5:$E$34)</f>
        <v>1694</v>
      </c>
      <c r="C9" s="207">
        <f>B9</f>
        <v>1694</v>
      </c>
      <c r="J9" s="212" t="s">
        <v>67</v>
      </c>
      <c r="K9" s="213">
        <v>4.5</v>
      </c>
    </row>
    <row r="10" spans="1:11" ht="15">
      <c r="A10" s="157" t="s">
        <v>706</v>
      </c>
      <c r="B10" s="207">
        <f>B9/(1+'Global Inputs'!$B$7)</f>
        <v>1435.5932203389832</v>
      </c>
      <c r="C10" s="207">
        <f>B10</f>
        <v>1435.5932203389832</v>
      </c>
      <c r="J10" s="212" t="s">
        <v>68</v>
      </c>
      <c r="K10" s="213">
        <v>5</v>
      </c>
    </row>
    <row r="11" spans="1:11" ht="15">
      <c r="A11" s="157" t="s">
        <v>1099</v>
      </c>
      <c r="B11" s="207">
        <v>0</v>
      </c>
      <c r="C11" s="207">
        <f>IF(SUMIF('Service Economics'!$A$5:$A$34,$B$4,'Service Economics'!$H$5:$H$34)=0,'Global Inputs'!$B$15,SUMIF('Service Economics'!$A$5:$A$34,$B$4,'Service Economics'!$H$5:$H$34))+IF(SUMIF('Service Economics'!$A$5:$A$34,$B$4,'Service Economics'!$I$5:$I$34)=0,'Global Inputs'!$B$16,SUMIF('Service Economics'!$A$5:$A$34,$B$4,'Service Economics'!$I$5:$I$34))</f>
        <v>649</v>
      </c>
      <c r="J11" s="212" t="s">
        <v>69</v>
      </c>
      <c r="K11" s="213">
        <v>5.5</v>
      </c>
    </row>
    <row r="12" spans="1:11" ht="15">
      <c r="A12" s="18" t="s">
        <v>1100</v>
      </c>
      <c r="B12" s="208">
        <v>0</v>
      </c>
      <c r="C12" s="208">
        <f>IF(SUMIF('Service Economics'!$A$5:$A$34,$B$4,'Service Economics'!$H$5:$H$34)=0,'Global Inputs'!$B$15,SUMIF('Service Economics'!$A$5:$A$34,$B$4,'Service Economics'!$H$5:$H$34))</f>
        <v>500</v>
      </c>
      <c r="J12" s="212" t="s">
        <v>71</v>
      </c>
      <c r="K12" s="213">
        <v>6</v>
      </c>
    </row>
    <row r="13" spans="1:11" ht="15">
      <c r="A13" s="157" t="s">
        <v>1101</v>
      </c>
      <c r="B13" s="207">
        <f>B9+B11</f>
        <v>1694</v>
      </c>
      <c r="C13" s="207">
        <f>C9+C11</f>
        <v>2343</v>
      </c>
      <c r="J13" s="212" t="s">
        <v>72</v>
      </c>
      <c r="K13" s="213">
        <v>6.5</v>
      </c>
    </row>
    <row r="14" spans="1:11" ht="15">
      <c r="A14" s="157" t="s">
        <v>215</v>
      </c>
      <c r="B14" s="207">
        <f>B10</f>
        <v>1435.5932203389832</v>
      </c>
      <c r="C14" s="207">
        <f>C10+IF(SUMIF('Service Economics'!$A$5:$A$34,$B$4,'Service Economics'!$I$5:$I$34)=0,'Global Inputs'!$B$16,SUMIF('Service Economics'!$A$5:$A$34,$B$4,'Service Economics'!$I$5:$I$34))/(1+'Global Inputs'!$B$17)</f>
        <v>1584.5932203389832</v>
      </c>
      <c r="J14" s="212" t="s">
        <v>73</v>
      </c>
      <c r="K14" s="213">
        <v>7</v>
      </c>
    </row>
    <row r="15" spans="1:11" ht="15">
      <c r="A15" s="193" t="s">
        <v>1102</v>
      </c>
      <c r="B15" s="209">
        <f>($D$4*SUMIF('Service Economics'!$A$5:$A$34,$B$4,'Service Economics'!$F$5:$F$34)*IF(SUMIF('Service Economics'!$A$5:$A$34,$B$4,'Service Economics'!$G$5:$G$34)=0,'Global Inputs'!$B$6,SUMIF('Service Economics'!$A$5:$A$34,$B$4,'Service Economics'!$G$5:$G$34)))+(B9*'Global Inputs'!$B$8+'Global Inputs'!$B$9)+SUM('Global Inputs'!$B$10:$B$14)+((B9/(1+'Global Inputs'!$B$7))*'NC Credits'!$B$15)</f>
        <v>115.78999999999999</v>
      </c>
      <c r="C15" s="209">
        <f>B15+C11*'Global Inputs'!$B$8+'Global Inputs'!$B$18</f>
        <v>125.78999999999999</v>
      </c>
      <c r="J15" s="212" t="s">
        <v>75</v>
      </c>
      <c r="K15" s="213">
        <v>7.5</v>
      </c>
    </row>
    <row r="16" spans="1:11" ht="15">
      <c r="A16" s="194" t="s">
        <v>1091</v>
      </c>
      <c r="B16" s="210">
        <f>B14-B15</f>
        <v>1319.8032203389832</v>
      </c>
      <c r="C16" s="210">
        <f>C14-C15</f>
        <v>1458.8032203389832</v>
      </c>
      <c r="J16" s="212" t="s">
        <v>76</v>
      </c>
      <c r="K16" s="213">
        <v>8</v>
      </c>
    </row>
    <row r="17" spans="1:11" ht="15">
      <c r="A17" s="426" t="s">
        <v>279</v>
      </c>
      <c r="B17" s="427">
        <f>IF(B14=0,0,B16/B14)</f>
        <v>0.91934344746162933</v>
      </c>
      <c r="C17" s="427">
        <f>IF(C14=0,0,C16/C14)</f>
        <v>0.920616850819865</v>
      </c>
      <c r="D17" s="428"/>
      <c r="E17" s="428"/>
      <c r="F17" s="428"/>
      <c r="G17" s="428"/>
      <c r="H17" s="428"/>
      <c r="J17" s="212" t="s">
        <v>77</v>
      </c>
      <c r="K17" s="213">
        <v>8.5</v>
      </c>
    </row>
    <row r="18" spans="1:11" ht="15">
      <c r="A18" s="157" t="s">
        <v>1103</v>
      </c>
      <c r="B18" s="207">
        <f>IF($D$4=0,0,B16/$D$4)</f>
        <v>263.96064406779664</v>
      </c>
      <c r="C18" s="207">
        <f>IF($D$4=0,0,C16/$D$4)</f>
        <v>291.76064406779665</v>
      </c>
      <c r="J18" s="212" t="s">
        <v>78</v>
      </c>
      <c r="K18" s="213">
        <v>9</v>
      </c>
    </row>
    <row r="19" spans="1:11" ht="15">
      <c r="A19" s="157" t="s">
        <v>1104</v>
      </c>
      <c r="B19" s="207">
        <v>0</v>
      </c>
      <c r="C19" s="207">
        <f>C16-B16</f>
        <v>139</v>
      </c>
      <c r="J19" s="212" t="s">
        <v>80</v>
      </c>
      <c r="K19" s="213">
        <v>9.5</v>
      </c>
    </row>
    <row r="20" spans="1:11">
      <c r="J20" s="212" t="s">
        <v>81</v>
      </c>
      <c r="K20" s="213">
        <v>10</v>
      </c>
    </row>
    <row r="21" spans="1:11" ht="15">
      <c r="A21" s="429" t="s">
        <v>1105</v>
      </c>
      <c r="B21" s="429"/>
      <c r="C21" s="429"/>
      <c r="D21" s="429"/>
      <c r="E21" s="429"/>
      <c r="F21" s="429"/>
      <c r="G21" s="429"/>
      <c r="H21" s="429"/>
      <c r="J21" s="212" t="s">
        <v>83</v>
      </c>
      <c r="K21" s="213">
        <v>10.5</v>
      </c>
    </row>
    <row r="22" spans="1:11">
      <c r="J22" s="212" t="s">
        <v>84</v>
      </c>
      <c r="K22" s="213">
        <v>11</v>
      </c>
    </row>
    <row r="23" spans="1:11">
      <c r="J23" s="212" t="s">
        <v>85</v>
      </c>
      <c r="K23" s="213">
        <v>11.5</v>
      </c>
    </row>
    <row r="24" spans="1:11" ht="32" customHeight="1">
      <c r="A24" s="430" t="s">
        <v>1106</v>
      </c>
      <c r="B24" s="430"/>
      <c r="C24" s="430"/>
      <c r="D24" s="430"/>
      <c r="E24" s="430"/>
      <c r="F24" s="430"/>
      <c r="G24" s="430"/>
      <c r="H24" s="430"/>
      <c r="J24" s="212" t="s">
        <v>86</v>
      </c>
      <c r="K24" s="213">
        <v>12</v>
      </c>
    </row>
    <row r="25" spans="1:11" ht="26.75" customHeight="1">
      <c r="A25" s="431" t="str">
        <f>"Live calculation for "&amp;$B$4&amp;" | "&amp;TEXT($D$4,"0.0")&amp;" hours | Pricing, loyalty, transport and Angel economics"</f>
        <v>Live calculation for Hospital Visit | 5.0 hours | Pricing, loyalty, transport and Angel economics</v>
      </c>
      <c r="B25" s="431"/>
      <c r="C25" s="431"/>
      <c r="D25" s="431"/>
      <c r="E25" s="431"/>
      <c r="F25" s="431"/>
      <c r="G25" s="431"/>
      <c r="H25" s="431"/>
      <c r="J25" s="212" t="s">
        <v>87</v>
      </c>
      <c r="K25" s="213">
        <v>12.5</v>
      </c>
    </row>
    <row r="26" spans="1:11" ht="32">
      <c r="A26" s="220" t="s">
        <v>235</v>
      </c>
      <c r="B26" s="221" t="s">
        <v>1092</v>
      </c>
      <c r="C26" s="221" t="s">
        <v>1093</v>
      </c>
      <c r="D26" s="222" t="s">
        <v>1107</v>
      </c>
      <c r="E26" s="1"/>
      <c r="F26" s="432" t="s">
        <v>1108</v>
      </c>
      <c r="G26" s="432"/>
      <c r="H26" s="432"/>
      <c r="J26" s="212" t="s">
        <v>88</v>
      </c>
      <c r="K26" s="213">
        <v>13</v>
      </c>
    </row>
    <row r="27" spans="1:11" ht="26">
      <c r="A27" s="225" t="s">
        <v>1098</v>
      </c>
      <c r="B27" s="226">
        <f>B9</f>
        <v>1694</v>
      </c>
      <c r="C27" s="226">
        <f>C9</f>
        <v>1694</v>
      </c>
      <c r="D27" s="223" t="s">
        <v>1109</v>
      </c>
      <c r="E27" s="1"/>
      <c r="F27" s="1" t="s">
        <v>1110</v>
      </c>
      <c r="G27" s="227">
        <f>'Angel Economics'!$G$9</f>
        <v>0.18104625000000002</v>
      </c>
      <c r="H27" s="1"/>
      <c r="J27" s="212" t="s">
        <v>90</v>
      </c>
      <c r="K27" s="213">
        <v>13.5</v>
      </c>
    </row>
    <row r="28" spans="1:11" ht="26">
      <c r="A28" s="225" t="s">
        <v>1111</v>
      </c>
      <c r="B28" s="226">
        <f>B27-B29</f>
        <v>258.4067796610168</v>
      </c>
      <c r="C28" s="226">
        <f>C27-C29</f>
        <v>258.4067796610168</v>
      </c>
      <c r="D28" s="223" t="s">
        <v>1112</v>
      </c>
      <c r="E28" s="1"/>
      <c r="F28" s="1" t="s">
        <v>1113</v>
      </c>
      <c r="G28" s="227">
        <f>'Angel Economics'!$H$9</f>
        <v>0.65</v>
      </c>
      <c r="H28" s="1"/>
      <c r="J28" s="212" t="s">
        <v>91</v>
      </c>
      <c r="K28" s="213">
        <v>14</v>
      </c>
    </row>
    <row r="29" spans="1:11" ht="30">
      <c r="A29" s="225" t="s">
        <v>706</v>
      </c>
      <c r="B29" s="226">
        <f t="shared" ref="B29:C31" si="0">B10</f>
        <v>1435.5932203389832</v>
      </c>
      <c r="C29" s="226">
        <f t="shared" si="0"/>
        <v>1435.5932203389832</v>
      </c>
      <c r="D29" s="223" t="s">
        <v>1114</v>
      </c>
      <c r="E29" s="1"/>
      <c r="F29" s="1" t="s">
        <v>1115</v>
      </c>
      <c r="G29" s="12">
        <f>'Angel Economics'!$G$10</f>
        <v>241.65095935430861</v>
      </c>
      <c r="H29" s="1"/>
      <c r="J29" s="212" t="s">
        <v>1116</v>
      </c>
      <c r="K29" s="213">
        <v>14.5</v>
      </c>
    </row>
    <row r="30" spans="1:11" ht="30">
      <c r="A30" s="225" t="s">
        <v>1099</v>
      </c>
      <c r="B30" s="226">
        <f t="shared" si="0"/>
        <v>0</v>
      </c>
      <c r="C30" s="226">
        <f t="shared" si="0"/>
        <v>649</v>
      </c>
      <c r="D30" s="223" t="s">
        <v>1117</v>
      </c>
      <c r="E30" s="1"/>
      <c r="F30" s="1" t="s">
        <v>1118</v>
      </c>
      <c r="G30" s="12">
        <f>'Angel Economics'!$H$10</f>
        <v>103.55029585798816</v>
      </c>
      <c r="H30" s="1"/>
      <c r="J30" s="212" t="s">
        <v>92</v>
      </c>
      <c r="K30" s="213">
        <v>15</v>
      </c>
    </row>
    <row r="31" spans="1:11" ht="30">
      <c r="A31" s="225" t="s">
        <v>1119</v>
      </c>
      <c r="B31" s="226">
        <f t="shared" si="0"/>
        <v>0</v>
      </c>
      <c r="C31" s="226">
        <f t="shared" si="0"/>
        <v>500</v>
      </c>
      <c r="D31" s="223" t="s">
        <v>1120</v>
      </c>
      <c r="E31" s="1"/>
      <c r="F31" s="1" t="s">
        <v>1121</v>
      </c>
      <c r="G31" s="12">
        <f>B44/$D$4</f>
        <v>263.96064406779664</v>
      </c>
      <c r="H31" s="1"/>
      <c r="J31" s="212" t="s">
        <v>93</v>
      </c>
      <c r="K31" s="213">
        <v>15.5</v>
      </c>
    </row>
    <row r="32" spans="1:11" ht="30">
      <c r="A32" s="225" t="s">
        <v>1122</v>
      </c>
      <c r="B32" s="226">
        <f>MAX(0,B30-B31)</f>
        <v>0</v>
      </c>
      <c r="C32" s="226">
        <f>MAX(0,C30-C31)</f>
        <v>149</v>
      </c>
      <c r="D32" s="223" t="s">
        <v>1123</v>
      </c>
      <c r="E32" s="1"/>
      <c r="F32" s="1" t="s">
        <v>1124</v>
      </c>
      <c r="G32" s="12">
        <f>C44/$D$4</f>
        <v>291.76064406779665</v>
      </c>
      <c r="H32" s="1"/>
      <c r="J32" s="212"/>
      <c r="K32" s="213">
        <v>16</v>
      </c>
    </row>
    <row r="33" spans="1:11" ht="31">
      <c r="A33" s="228" t="s">
        <v>215</v>
      </c>
      <c r="B33" s="229">
        <f>B14</f>
        <v>1435.5932203389832</v>
      </c>
      <c r="C33" s="229">
        <f>C14</f>
        <v>1584.5932203389832</v>
      </c>
      <c r="D33" s="223" t="s">
        <v>1125</v>
      </c>
      <c r="E33" s="1"/>
      <c r="F33" s="1" t="s">
        <v>1126</v>
      </c>
      <c r="G33" s="12">
        <f>B46</f>
        <v>111.54842356744007</v>
      </c>
      <c r="H33" s="1"/>
      <c r="J33" s="212"/>
      <c r="K33" s="213">
        <v>16.5</v>
      </c>
    </row>
    <row r="34" spans="1:11" ht="30">
      <c r="A34" s="225" t="s">
        <v>50</v>
      </c>
      <c r="B34" s="226">
        <f>$B$27*'Global Inputs'!$B$8+'Global Inputs'!$B$9</f>
        <v>0</v>
      </c>
      <c r="C34" s="226">
        <f>$C$27*'Global Inputs'!$B$8+'Global Inputs'!$B$9+$C$30*'Global Inputs'!$B$8</f>
        <v>0</v>
      </c>
      <c r="D34" s="223" t="s">
        <v>1127</v>
      </c>
      <c r="E34" s="1"/>
      <c r="F34" s="1" t="s">
        <v>1128</v>
      </c>
      <c r="G34" s="12">
        <f>C46</f>
        <v>250.54842356744007</v>
      </c>
      <c r="H34" s="1"/>
      <c r="J34" s="212"/>
      <c r="K34" s="213">
        <v>17</v>
      </c>
    </row>
    <row r="35" spans="1:11" ht="30">
      <c r="A35" s="225" t="s">
        <v>1129</v>
      </c>
      <c r="B35" s="226">
        <f>'Global Inputs'!$B$10</f>
        <v>10</v>
      </c>
      <c r="C35" s="226">
        <f>'Global Inputs'!$B$10</f>
        <v>10</v>
      </c>
      <c r="D35" s="223" t="s">
        <v>1130</v>
      </c>
      <c r="E35" s="1"/>
      <c r="F35" s="1" t="s">
        <v>1131</v>
      </c>
      <c r="G35" s="12">
        <f>B47</f>
        <v>802.05174104904245</v>
      </c>
      <c r="H35" s="1"/>
      <c r="J35" s="212"/>
      <c r="K35" s="213">
        <v>17.5</v>
      </c>
    </row>
    <row r="36" spans="1:11" ht="30">
      <c r="A36" s="225" t="s">
        <v>1132</v>
      </c>
      <c r="B36" s="226">
        <f>'Global Inputs'!$B$11</f>
        <v>10</v>
      </c>
      <c r="C36" s="226">
        <f>'Global Inputs'!$B$11</f>
        <v>10</v>
      </c>
      <c r="D36" s="223" t="s">
        <v>1133</v>
      </c>
      <c r="E36" s="1"/>
      <c r="F36" s="1" t="s">
        <v>1134</v>
      </c>
      <c r="G36" s="12">
        <f>C47</f>
        <v>941.05174104904245</v>
      </c>
      <c r="H36" s="1"/>
      <c r="J36" s="212"/>
      <c r="K36" s="213">
        <v>18</v>
      </c>
    </row>
    <row r="37" spans="1:11" ht="15">
      <c r="A37" s="225" t="s">
        <v>1135</v>
      </c>
      <c r="B37" s="226">
        <f>'Global Inputs'!$B$12</f>
        <v>0.5</v>
      </c>
      <c r="C37" s="226">
        <f>'Global Inputs'!$B$12</f>
        <v>0.5</v>
      </c>
      <c r="D37" s="223" t="s">
        <v>1136</v>
      </c>
      <c r="E37" s="1"/>
      <c r="F37" s="1" t="s">
        <v>1137</v>
      </c>
      <c r="G37" s="12">
        <f>C44-B44</f>
        <v>139</v>
      </c>
      <c r="H37" s="1"/>
      <c r="J37" s="212"/>
      <c r="K37" s="213">
        <v>18.5</v>
      </c>
    </row>
    <row r="38" spans="1:11" ht="30">
      <c r="A38" s="225" t="s">
        <v>1138</v>
      </c>
      <c r="B38" s="226">
        <f>'Global Inputs'!$B$13</f>
        <v>0</v>
      </c>
      <c r="C38" s="226">
        <f>'Global Inputs'!$B$13</f>
        <v>0</v>
      </c>
      <c r="D38" s="223" t="s">
        <v>1139</v>
      </c>
      <c r="E38" s="1"/>
      <c r="F38" s="1" t="s">
        <v>1140</v>
      </c>
      <c r="G38" s="40" t="str">
        <f>IF(G27&lt;40%,"RED — payroll density too low",IF(G27&lt;60%,"AMBER — improve utilization","GREEN — healthy utilization"))</f>
        <v>RED — payroll density too low</v>
      </c>
      <c r="H38" s="1"/>
      <c r="J38" s="212"/>
      <c r="K38" s="213">
        <v>19</v>
      </c>
    </row>
    <row r="39" spans="1:11" ht="15">
      <c r="A39" s="225" t="s">
        <v>1141</v>
      </c>
      <c r="B39" s="226">
        <f>'Global Inputs'!$B$14</f>
        <v>36</v>
      </c>
      <c r="C39" s="226">
        <f>'Global Inputs'!$B$14</f>
        <v>36</v>
      </c>
      <c r="D39" s="223" t="s">
        <v>1142</v>
      </c>
      <c r="E39" s="1"/>
      <c r="F39" s="1"/>
      <c r="G39" s="1"/>
      <c r="H39" s="1"/>
      <c r="J39" s="212"/>
      <c r="K39" s="213">
        <v>19.5</v>
      </c>
    </row>
    <row r="40" spans="1:11" ht="15">
      <c r="A40" s="225" t="s">
        <v>1143</v>
      </c>
      <c r="B40" s="226">
        <f>$B$29*'NC Credits'!$B$15</f>
        <v>59.29</v>
      </c>
      <c r="C40" s="226">
        <f>$C$29*'NC Credits'!$B$15</f>
        <v>59.29</v>
      </c>
      <c r="D40" s="223" t="s">
        <v>1144</v>
      </c>
      <c r="E40" s="1"/>
      <c r="F40" s="433" t="s">
        <v>1145</v>
      </c>
      <c r="G40" s="433"/>
      <c r="H40" s="433"/>
      <c r="J40" s="212"/>
      <c r="K40" s="213">
        <v>20</v>
      </c>
    </row>
    <row r="41" spans="1:11" ht="15">
      <c r="A41" s="225" t="s">
        <v>1146</v>
      </c>
      <c r="B41" s="226">
        <f>IFERROR($D$4*INDEX('Service Economics'!$F$5:$F$34,MATCH($B$4,'Service Economics'!$A$5:$A$34,0))*INDEX('Service Economics'!$M$5:$M$34,MATCH($B$4,'Service Economics'!$A$5:$A$34,0)),0)</f>
        <v>0</v>
      </c>
      <c r="C41" s="226">
        <f>IFERROR($D$4*INDEX('Service Economics'!$F$5:$F$34,MATCH($B$4,'Service Economics'!$A$5:$A$34,0))*INDEX('Service Economics'!$M$5:$M$34,MATCH($B$4,'Service Economics'!$A$5:$A$34,0)),0)</f>
        <v>0</v>
      </c>
      <c r="D41" s="223" t="s">
        <v>1147</v>
      </c>
      <c r="E41" s="1"/>
      <c r="F41" s="433"/>
      <c r="G41" s="433"/>
      <c r="H41" s="433"/>
      <c r="J41" s="212"/>
      <c r="K41" s="213">
        <v>20.5</v>
      </c>
    </row>
    <row r="42" spans="1:11" ht="15">
      <c r="A42" s="225" t="s">
        <v>1148</v>
      </c>
      <c r="B42" s="226">
        <f>0</f>
        <v>0</v>
      </c>
      <c r="C42" s="226">
        <f>'Global Inputs'!$B$18</f>
        <v>10</v>
      </c>
      <c r="D42" s="223" t="s">
        <v>1149</v>
      </c>
      <c r="E42" s="1"/>
      <c r="F42" s="433"/>
      <c r="G42" s="433"/>
      <c r="H42" s="433"/>
      <c r="J42" s="212"/>
      <c r="K42" s="213">
        <v>21</v>
      </c>
    </row>
    <row r="43" spans="1:11" ht="16">
      <c r="A43" s="228" t="s">
        <v>1150</v>
      </c>
      <c r="B43" s="229">
        <f>SUM(B34:B42)</f>
        <v>115.78999999999999</v>
      </c>
      <c r="C43" s="229">
        <f>SUM(C34:C42)</f>
        <v>125.78999999999999</v>
      </c>
      <c r="D43" s="223" t="s">
        <v>1151</v>
      </c>
      <c r="E43" s="1"/>
      <c r="F43" s="433"/>
      <c r="G43" s="433"/>
      <c r="H43" s="433"/>
      <c r="J43" s="212"/>
      <c r="K43" s="213">
        <v>21.5</v>
      </c>
    </row>
    <row r="44" spans="1:11" ht="16">
      <c r="A44" s="230" t="s">
        <v>1091</v>
      </c>
      <c r="B44" s="231">
        <f>B33-B43</f>
        <v>1319.8032203389832</v>
      </c>
      <c r="C44" s="231">
        <f>C33-C43</f>
        <v>1458.8032203389832</v>
      </c>
      <c r="D44" s="223" t="s">
        <v>1152</v>
      </c>
      <c r="E44" s="1"/>
      <c r="F44" s="1"/>
      <c r="G44" s="1"/>
      <c r="H44" s="1"/>
      <c r="J44" s="212"/>
      <c r="K44" s="213">
        <v>22</v>
      </c>
    </row>
    <row r="45" spans="1:11" ht="30">
      <c r="A45" s="225" t="s">
        <v>1153</v>
      </c>
      <c r="B45" s="226">
        <f>IFERROR($D$4*INDEX('Service Economics'!$F$5:$F$34,MATCH($B$4,'Service Economics'!$A$5:$A$34,0))*'Angel Economics'!$G$10,0)</f>
        <v>1208.2547967715432</v>
      </c>
      <c r="C45" s="226">
        <f>IFERROR($D$4*INDEX('Service Economics'!$F$5:$F$34,MATCH($B$4,'Service Economics'!$A$5:$A$34,0))*'Angel Economics'!$G$10,0)</f>
        <v>1208.2547967715432</v>
      </c>
      <c r="D45" s="223" t="s">
        <v>1154</v>
      </c>
      <c r="E45" s="1"/>
      <c r="F45" s="434" t="s">
        <v>1155</v>
      </c>
      <c r="G45" s="434"/>
      <c r="H45" s="434"/>
      <c r="J45" s="212"/>
      <c r="K45" s="213">
        <v>22.5</v>
      </c>
    </row>
    <row r="46" spans="1:11" ht="32">
      <c r="A46" s="232" t="s">
        <v>1156</v>
      </c>
      <c r="B46" s="233">
        <f>B44-B45</f>
        <v>111.54842356744007</v>
      </c>
      <c r="C46" s="233">
        <f>C44-C45</f>
        <v>250.54842356744007</v>
      </c>
      <c r="D46" s="223" t="s">
        <v>1157</v>
      </c>
      <c r="E46" s="1"/>
      <c r="F46" s="434"/>
      <c r="G46" s="434"/>
      <c r="H46" s="434"/>
      <c r="J46" s="212"/>
      <c r="K46" s="213">
        <v>23</v>
      </c>
    </row>
    <row r="47" spans="1:11" ht="32">
      <c r="A47" s="234" t="s">
        <v>1158</v>
      </c>
      <c r="B47" s="235">
        <f>B44-IFERROR($D$4*INDEX('Service Economics'!$F$5:$F$34,MATCH($B$4,'Service Economics'!$A$5:$A$34,0))*'Angel Economics'!$H$10,0)</f>
        <v>802.05174104904245</v>
      </c>
      <c r="C47" s="235">
        <f>C44-IFERROR($D$4*INDEX('Service Economics'!$F$5:$F$34,MATCH($B$4,'Service Economics'!$A$5:$A$34,0))*'Angel Economics'!$H$10,0)</f>
        <v>941.05174104904245</v>
      </c>
      <c r="D47" s="224" t="s">
        <v>1159</v>
      </c>
      <c r="E47" s="1"/>
      <c r="F47" s="434"/>
      <c r="G47" s="434"/>
      <c r="H47" s="434"/>
      <c r="J47" s="212"/>
      <c r="K47" s="213">
        <v>23.5</v>
      </c>
    </row>
    <row r="48" spans="1:11">
      <c r="A48" s="1"/>
      <c r="B48" s="1"/>
      <c r="C48" s="1"/>
      <c r="D48" s="1"/>
      <c r="E48" s="1"/>
      <c r="F48" s="1"/>
      <c r="G48" s="1"/>
      <c r="H48" s="1"/>
      <c r="J48" s="212"/>
      <c r="K48" s="213">
        <v>24</v>
      </c>
    </row>
    <row r="50" spans="1:8" ht="32" customHeight="1">
      <c r="A50" s="435" t="s">
        <v>1160</v>
      </c>
      <c r="B50" s="435"/>
      <c r="C50" s="435"/>
      <c r="D50" s="435"/>
      <c r="E50" s="435"/>
      <c r="F50" s="435"/>
      <c r="G50" s="435"/>
      <c r="H50" s="435"/>
    </row>
    <row r="51" spans="1:8" ht="26.75" customHeight="1">
      <c r="A51" s="436" t="str">
        <f>"Live price bridge for "&amp;$B$4&amp;" | "&amp;TEXT($D$4,"0.0")&amp;" hours | Multiplier "&amp;TEXT(INDEX('Service Economics'!$D$5:$D$34,MATCH($B$4,'Service Economics'!$A$5:$A$34,0)),"0.00x")</f>
        <v>Live price bridge for Hospital Visit | 5.0 hours | Multiplier 1.00x</v>
      </c>
      <c r="B51" s="436"/>
      <c r="C51" s="436"/>
      <c r="D51" s="436"/>
      <c r="E51" s="436"/>
      <c r="F51" s="436"/>
      <c r="G51" s="436"/>
      <c r="H51" s="436"/>
    </row>
    <row r="52" spans="1:8" ht="16">
      <c r="A52" s="237" t="s">
        <v>1161</v>
      </c>
      <c r="B52" s="238" t="s">
        <v>2</v>
      </c>
      <c r="C52" s="238" t="s">
        <v>1162</v>
      </c>
      <c r="D52" s="239" t="s">
        <v>1163</v>
      </c>
      <c r="E52" s="1"/>
      <c r="F52" s="437" t="s">
        <v>1164</v>
      </c>
      <c r="G52" s="437"/>
      <c r="H52" s="437"/>
    </row>
    <row r="53" spans="1:8" ht="15">
      <c r="A53" s="246" t="s">
        <v>1165</v>
      </c>
      <c r="B53" s="247">
        <f>D4</f>
        <v>5</v>
      </c>
      <c r="C53" s="240" t="s">
        <v>1166</v>
      </c>
      <c r="D53" s="241" t="s">
        <v>1167</v>
      </c>
      <c r="E53" s="1"/>
      <c r="F53" s="438" t="str">
        <f>"₹"&amp;TEXT(B66,"#,##0")&amp;" + ("&amp;TEXT(B57,"0.0")&amp;" × ₹"&amp;TEXT(B58,"#,##0")&amp;" × "&amp;TEXT(B64,"0.00")&amp;"x) + ("&amp;TEXT(B60,"0.0")&amp;" × ₹"&amp;TEXT(B58,"#,##0")&amp;" × "&amp;TEXT(B64,"0.00")&amp;"x) = ₹"&amp;TEXT(B67,"#,##0")</f>
        <v>₹199 + (4.0 × ₹299 × 1.00x) + (1.0 × ₹299 × 1.00x) = ₹1,694</v>
      </c>
      <c r="G53" s="438"/>
      <c r="H53" s="438"/>
    </row>
    <row r="54" spans="1:8" ht="15">
      <c r="A54" s="246" t="s">
        <v>1168</v>
      </c>
      <c r="B54" s="247">
        <f>'MVP1 Pricing &amp; SKU'!B5</f>
        <v>2</v>
      </c>
      <c r="C54" s="240" t="s">
        <v>1169</v>
      </c>
      <c r="D54" s="241" t="s">
        <v>1170</v>
      </c>
      <c r="E54" s="1"/>
      <c r="F54" s="438"/>
      <c r="G54" s="438"/>
      <c r="H54" s="438"/>
    </row>
    <row r="55" spans="1:8" ht="15">
      <c r="A55" s="246" t="s">
        <v>1171</v>
      </c>
      <c r="B55" s="247">
        <f>MAX(B53,B54)</f>
        <v>5</v>
      </c>
      <c r="C55" s="240" t="s">
        <v>1172</v>
      </c>
      <c r="D55" s="241" t="s">
        <v>1173</v>
      </c>
      <c r="E55" s="1"/>
      <c r="F55" s="438"/>
      <c r="G55" s="438"/>
      <c r="H55" s="438"/>
    </row>
    <row r="56" spans="1:8" ht="15">
      <c r="A56" s="246" t="s">
        <v>1174</v>
      </c>
      <c r="B56" s="247">
        <f>'MVP1 Pricing &amp; SKU'!B6</f>
        <v>4</v>
      </c>
      <c r="C56" s="240" t="s">
        <v>1169</v>
      </c>
      <c r="D56" s="241" t="s">
        <v>1175</v>
      </c>
      <c r="E56" s="1"/>
      <c r="F56" s="438"/>
      <c r="G56" s="438"/>
      <c r="H56" s="438"/>
    </row>
    <row r="57" spans="1:8" ht="26">
      <c r="A57" s="246" t="s">
        <v>1176</v>
      </c>
      <c r="B57" s="247">
        <f>MIN(B55,B56)</f>
        <v>4</v>
      </c>
      <c r="C57" s="240" t="s">
        <v>1177</v>
      </c>
      <c r="D57" s="241" t="s">
        <v>1178</v>
      </c>
      <c r="E57" s="1"/>
      <c r="F57" s="1"/>
      <c r="G57" s="1"/>
      <c r="H57" s="1"/>
    </row>
    <row r="58" spans="1:8" ht="15">
      <c r="A58" s="246" t="s">
        <v>1179</v>
      </c>
      <c r="B58" s="248">
        <f>'MVP1 Pricing &amp; SKU'!B7</f>
        <v>299</v>
      </c>
      <c r="C58" s="240" t="s">
        <v>1169</v>
      </c>
      <c r="D58" s="241" t="s">
        <v>1180</v>
      </c>
      <c r="E58" s="1"/>
      <c r="F58" s="439" t="s">
        <v>1181</v>
      </c>
      <c r="G58" s="439"/>
      <c r="H58" s="439"/>
    </row>
    <row r="59" spans="1:8" ht="26">
      <c r="A59" s="246" t="s">
        <v>1182</v>
      </c>
      <c r="B59" s="248">
        <f>B57*B58*B64</f>
        <v>1196</v>
      </c>
      <c r="C59" s="240" t="s">
        <v>1183</v>
      </c>
      <c r="D59" s="241" t="s">
        <v>1184</v>
      </c>
      <c r="E59" s="1"/>
      <c r="F59" s="439"/>
      <c r="G59" s="439"/>
      <c r="H59" s="439"/>
    </row>
    <row r="60" spans="1:8" ht="15">
      <c r="A60" s="246" t="s">
        <v>1185</v>
      </c>
      <c r="B60" s="247">
        <f>MAX(B55-B56,0)</f>
        <v>1</v>
      </c>
      <c r="C60" s="240" t="s">
        <v>1186</v>
      </c>
      <c r="D60" s="241" t="s">
        <v>1187</v>
      </c>
      <c r="E60" s="1"/>
      <c r="F60" s="439"/>
      <c r="G60" s="439"/>
      <c r="H60" s="439"/>
    </row>
    <row r="61" spans="1:8" ht="15">
      <c r="A61" s="246" t="s">
        <v>1188</v>
      </c>
      <c r="B61" s="248">
        <f>B58*B64</f>
        <v>299</v>
      </c>
      <c r="C61" s="240" t="s">
        <v>1189</v>
      </c>
      <c r="D61" s="241" t="s">
        <v>1190</v>
      </c>
      <c r="E61" s="1"/>
      <c r="F61" s="1"/>
      <c r="G61" s="1"/>
      <c r="H61" s="1"/>
    </row>
    <row r="62" spans="1:8" ht="26">
      <c r="A62" s="246" t="s">
        <v>1191</v>
      </c>
      <c r="B62" s="248">
        <f>B60*B61</f>
        <v>299</v>
      </c>
      <c r="C62" s="240" t="s">
        <v>1192</v>
      </c>
      <c r="D62" s="241" t="s">
        <v>1193</v>
      </c>
      <c r="E62" s="1"/>
      <c r="F62" s="440" t="str">
        <f>"Simplified formula: ₹"&amp;TEXT(B66,"#,##0")&amp;" + ("&amp;TEXT(B55,"0.0")&amp;" billable hours × ₹"&amp;TEXT(B58,"#,##0")&amp;" × "&amp;TEXT(B64,"0.00")&amp;"x) = ₹"&amp;TEXT(B67,"#,##0")</f>
        <v>Simplified formula: ₹199 + (5.0 billable hours × ₹299 × 1.00x) = ₹1,694</v>
      </c>
      <c r="G62" s="440"/>
      <c r="H62" s="440"/>
    </row>
    <row r="63" spans="1:8" ht="15">
      <c r="A63" s="246" t="s">
        <v>1194</v>
      </c>
      <c r="B63" s="248">
        <f>B59+B62</f>
        <v>1495</v>
      </c>
      <c r="C63" s="240" t="s">
        <v>1195</v>
      </c>
      <c r="D63" s="241" t="s">
        <v>1196</v>
      </c>
      <c r="E63" s="1"/>
      <c r="F63" s="440"/>
      <c r="G63" s="440"/>
      <c r="H63" s="440"/>
    </row>
    <row r="64" spans="1:8" ht="15">
      <c r="A64" s="246" t="s">
        <v>1096</v>
      </c>
      <c r="B64" s="249">
        <f>INDEX('Service Economics'!$D$5:$D$34,MATCH($B$4,'Service Economics'!$A$5:$A$34,0))</f>
        <v>1</v>
      </c>
      <c r="C64" s="240" t="s">
        <v>1197</v>
      </c>
      <c r="D64" s="241" t="s">
        <v>1198</v>
      </c>
      <c r="E64" s="1"/>
      <c r="F64" s="440"/>
      <c r="G64" s="440"/>
      <c r="H64" s="440"/>
    </row>
    <row r="65" spans="1:8" ht="15">
      <c r="A65" s="246" t="s">
        <v>1199</v>
      </c>
      <c r="B65" s="248">
        <f>B58*B64</f>
        <v>299</v>
      </c>
      <c r="C65" s="240" t="s">
        <v>1200</v>
      </c>
      <c r="D65" s="241" t="s">
        <v>1201</v>
      </c>
      <c r="E65" s="1"/>
      <c r="F65" s="440"/>
      <c r="G65" s="440"/>
      <c r="H65" s="440"/>
    </row>
    <row r="66" spans="1:8" ht="15">
      <c r="A66" s="246" t="s">
        <v>1202</v>
      </c>
      <c r="B66" s="248">
        <f>'MVP1 Pricing &amp; SKU'!B9</f>
        <v>199</v>
      </c>
      <c r="C66" s="240" t="s">
        <v>1203</v>
      </c>
      <c r="D66" s="241" t="s">
        <v>1204</v>
      </c>
      <c r="E66" s="1"/>
      <c r="F66" s="1"/>
      <c r="G66" s="1"/>
      <c r="H66" s="1"/>
    </row>
    <row r="67" spans="1:8" ht="26">
      <c r="A67" s="250" t="s">
        <v>1098</v>
      </c>
      <c r="B67" s="251">
        <f>B63+B66</f>
        <v>1694</v>
      </c>
      <c r="C67" s="242" t="s">
        <v>1205</v>
      </c>
      <c r="D67" s="243" t="s">
        <v>1206</v>
      </c>
      <c r="E67" s="1"/>
      <c r="F67" s="1"/>
      <c r="G67" s="1"/>
      <c r="H67" s="1"/>
    </row>
    <row r="68" spans="1:8" ht="15">
      <c r="A68" s="246" t="s">
        <v>1207</v>
      </c>
      <c r="B68" s="248">
        <f>B67-B69</f>
        <v>258.4067796610168</v>
      </c>
      <c r="C68" s="240" t="s">
        <v>1208</v>
      </c>
      <c r="D68" s="241" t="s">
        <v>1209</v>
      </c>
      <c r="E68" s="1"/>
      <c r="F68" s="1"/>
      <c r="G68" s="1"/>
      <c r="H68" s="1"/>
    </row>
    <row r="69" spans="1:8" ht="26">
      <c r="A69" s="252" t="s">
        <v>706</v>
      </c>
      <c r="B69" s="253">
        <f>B67/(1+'MVP1 Pricing &amp; SKU'!B11)</f>
        <v>1435.5932203389832</v>
      </c>
      <c r="C69" s="244" t="s">
        <v>1210</v>
      </c>
      <c r="D69" s="245" t="s">
        <v>1211</v>
      </c>
      <c r="E69" s="1"/>
      <c r="F69" s="1"/>
      <c r="G69" s="1"/>
      <c r="H69" s="1"/>
    </row>
  </sheetData>
  <mergeCells count="15">
    <mergeCell ref="A51:H51"/>
    <mergeCell ref="F52:H52"/>
    <mergeCell ref="F53:H56"/>
    <mergeCell ref="F58:H60"/>
    <mergeCell ref="F62:H65"/>
    <mergeCell ref="A25:H25"/>
    <mergeCell ref="F26:H26"/>
    <mergeCell ref="F40:H43"/>
    <mergeCell ref="F45:H47"/>
    <mergeCell ref="A50:H50"/>
    <mergeCell ref="A1:H1"/>
    <mergeCell ref="A2:H2"/>
    <mergeCell ref="A17:H17"/>
    <mergeCell ref="A21:H21"/>
    <mergeCell ref="A24:H24"/>
  </mergeCells>
  <conditionalFormatting sqref="B46:C47">
    <cfRule type="cellIs" dxfId="83" priority="1" operator="lessThan">
      <formula>0</formula>
    </cfRule>
    <cfRule type="cellIs" dxfId="82" priority="2" operator="greaterThanOrEqual">
      <formula>0</formula>
    </cfRule>
  </conditionalFormatting>
  <dataValidations count="2">
    <dataValidation type="list" sqref="B4" xr:uid="{00000000-0002-0000-0000-000000000000}">
      <formula1>$J$2:$J$31</formula1>
    </dataValidation>
    <dataValidation type="list" sqref="D4" xr:uid="{00000000-0002-0000-0000-000001000000}">
      <formula1>$K$2:$K$48</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
  <sheetViews>
    <sheetView workbookViewId="0"/>
  </sheetViews>
  <sheetFormatPr baseColWidth="10" defaultColWidth="8.83203125" defaultRowHeight="14"/>
  <cols>
    <col min="1" max="1" width="37" customWidth="1"/>
    <col min="2" max="2" width="18" customWidth="1"/>
    <col min="3" max="3" width="22" customWidth="1"/>
    <col min="4" max="4" width="20" customWidth="1"/>
    <col min="5" max="5" width="42" customWidth="1"/>
    <col min="6" max="6" width="22" customWidth="1"/>
  </cols>
  <sheetData>
    <row r="1" spans="1:6" ht="53.25" customHeight="1">
      <c r="A1" s="441" t="s">
        <v>0</v>
      </c>
      <c r="B1" s="441"/>
      <c r="C1" s="441"/>
      <c r="D1" s="441"/>
      <c r="E1" s="1"/>
    </row>
    <row r="2" spans="1:6" ht="53.25" customHeight="1">
      <c r="A2" s="428" t="s">
        <v>1212</v>
      </c>
      <c r="B2" s="428"/>
      <c r="C2" s="428"/>
      <c r="D2" s="428"/>
      <c r="E2" s="1"/>
    </row>
    <row r="3" spans="1:6" ht="35.75" customHeight="1">
      <c r="A3" s="1"/>
      <c r="B3" s="1"/>
      <c r="C3" s="1"/>
      <c r="D3" s="1"/>
      <c r="E3" s="1"/>
    </row>
    <row r="4" spans="1:6" ht="35.75" customHeight="1">
      <c r="A4" s="137" t="s">
        <v>1</v>
      </c>
      <c r="B4" s="137" t="s">
        <v>2</v>
      </c>
      <c r="C4" s="137" t="s">
        <v>3</v>
      </c>
      <c r="D4" s="137" t="s">
        <v>4</v>
      </c>
      <c r="E4" s="1"/>
      <c r="F4" s="187" t="s">
        <v>1213</v>
      </c>
    </row>
    <row r="5" spans="1:6" ht="35.75" customHeight="1">
      <c r="A5" s="1" t="s">
        <v>1214</v>
      </c>
      <c r="B5" s="158">
        <f>'MVP1 Pricing &amp; SKU'!$B$7</f>
        <v>299</v>
      </c>
      <c r="C5" s="1" t="s">
        <v>5</v>
      </c>
      <c r="D5" s="1" t="s">
        <v>1215</v>
      </c>
      <c r="E5" s="1"/>
      <c r="F5" s="152" t="s">
        <v>1216</v>
      </c>
    </row>
    <row r="6" spans="1:6" ht="35.75" customHeight="1">
      <c r="A6" s="1" t="s">
        <v>6</v>
      </c>
      <c r="B6" s="2">
        <v>0</v>
      </c>
      <c r="C6" s="1" t="s">
        <v>7</v>
      </c>
      <c r="D6" s="1" t="s">
        <v>8</v>
      </c>
      <c r="E6" s="1" t="s">
        <v>9</v>
      </c>
      <c r="F6" s="152" t="s">
        <v>1216</v>
      </c>
    </row>
    <row r="7" spans="1:6" ht="35.75" customHeight="1">
      <c r="A7" s="1" t="s">
        <v>10</v>
      </c>
      <c r="B7" s="3">
        <f>'Global Pricing Config'!$B$8</f>
        <v>0.18</v>
      </c>
      <c r="C7" s="1" t="s">
        <v>11</v>
      </c>
      <c r="D7" s="1" t="s">
        <v>12</v>
      </c>
      <c r="E7" s="1"/>
      <c r="F7" s="152" t="s">
        <v>1217</v>
      </c>
    </row>
    <row r="8" spans="1:6" ht="35.75" customHeight="1">
      <c r="A8" s="1" t="s">
        <v>13</v>
      </c>
      <c r="B8" s="3">
        <v>0</v>
      </c>
      <c r="C8" s="1" t="s">
        <v>14</v>
      </c>
      <c r="D8" s="1" t="s">
        <v>15</v>
      </c>
      <c r="E8" s="1"/>
      <c r="F8" s="152" t="s">
        <v>1218</v>
      </c>
    </row>
    <row r="9" spans="1:6" ht="35.75" customHeight="1">
      <c r="A9" s="1" t="s">
        <v>16</v>
      </c>
      <c r="B9" s="4">
        <v>0</v>
      </c>
      <c r="C9" s="1" t="s">
        <v>17</v>
      </c>
      <c r="D9" s="1" t="s">
        <v>18</v>
      </c>
      <c r="E9" s="1"/>
      <c r="F9" s="152" t="s">
        <v>1216</v>
      </c>
    </row>
    <row r="10" spans="1:6" ht="35.75" customHeight="1">
      <c r="A10" s="1" t="s">
        <v>19</v>
      </c>
      <c r="B10" s="4">
        <v>10</v>
      </c>
      <c r="C10" s="1" t="s">
        <v>20</v>
      </c>
      <c r="D10" s="1" t="s">
        <v>21</v>
      </c>
      <c r="E10" s="1"/>
      <c r="F10" s="152" t="s">
        <v>1216</v>
      </c>
    </row>
    <row r="11" spans="1:6" ht="35.75" customHeight="1">
      <c r="A11" s="1" t="s">
        <v>22</v>
      </c>
      <c r="B11" s="4">
        <v>10</v>
      </c>
      <c r="C11" s="1" t="s">
        <v>20</v>
      </c>
      <c r="D11" s="1" t="s">
        <v>21</v>
      </c>
      <c r="E11" s="1"/>
      <c r="F11" s="152" t="s">
        <v>1216</v>
      </c>
    </row>
    <row r="12" spans="1:6" ht="35.75" customHeight="1">
      <c r="A12" s="1" t="s">
        <v>23</v>
      </c>
      <c r="B12" s="4">
        <v>0.5</v>
      </c>
      <c r="C12" s="1" t="s">
        <v>20</v>
      </c>
      <c r="D12" s="1" t="s">
        <v>21</v>
      </c>
      <c r="E12" s="1"/>
      <c r="F12" s="152" t="s">
        <v>1216</v>
      </c>
    </row>
    <row r="13" spans="1:6" ht="35.75" customHeight="1">
      <c r="A13" s="1" t="s">
        <v>24</v>
      </c>
      <c r="B13" s="4">
        <v>0</v>
      </c>
      <c r="C13" s="1" t="s">
        <v>20</v>
      </c>
      <c r="D13" s="1" t="s">
        <v>21</v>
      </c>
      <c r="E13" s="1"/>
      <c r="F13" s="152" t="s">
        <v>1216</v>
      </c>
    </row>
    <row r="14" spans="1:6" ht="35.75" customHeight="1">
      <c r="A14" s="1" t="s">
        <v>25</v>
      </c>
      <c r="B14" s="4">
        <v>36</v>
      </c>
      <c r="C14" s="1" t="s">
        <v>20</v>
      </c>
      <c r="D14" s="1" t="s">
        <v>21</v>
      </c>
      <c r="E14" s="1"/>
      <c r="F14" s="152" t="s">
        <v>1216</v>
      </c>
    </row>
    <row r="15" spans="1:6" ht="35.75" customHeight="1">
      <c r="A15" s="1" t="s">
        <v>26</v>
      </c>
      <c r="B15" s="4">
        <f>'Global Pricing Config'!$B$10</f>
        <v>500</v>
      </c>
      <c r="C15" s="1" t="s">
        <v>20</v>
      </c>
      <c r="D15" s="1" t="s">
        <v>27</v>
      </c>
      <c r="E15" s="1"/>
      <c r="F15" s="152" t="s">
        <v>1216</v>
      </c>
    </row>
    <row r="16" spans="1:6" ht="35.75" customHeight="1">
      <c r="A16" s="1" t="s">
        <v>28</v>
      </c>
      <c r="B16" s="4">
        <f>'Global Pricing Config'!$B$9</f>
        <v>149</v>
      </c>
      <c r="C16" s="1" t="s">
        <v>20</v>
      </c>
      <c r="D16" s="1" t="s">
        <v>27</v>
      </c>
      <c r="E16" s="1"/>
      <c r="F16" s="152" t="s">
        <v>1216</v>
      </c>
    </row>
    <row r="17" spans="1:6" ht="35.75" customHeight="1">
      <c r="A17" s="1" t="s">
        <v>29</v>
      </c>
      <c r="B17" s="3">
        <v>0</v>
      </c>
      <c r="C17" s="1" t="s">
        <v>11</v>
      </c>
      <c r="D17" s="1" t="s">
        <v>30</v>
      </c>
      <c r="E17" s="1"/>
      <c r="F17" s="152" t="s">
        <v>1217</v>
      </c>
    </row>
    <row r="18" spans="1:6" ht="35.75" customHeight="1">
      <c r="A18" s="1" t="s">
        <v>31</v>
      </c>
      <c r="B18" s="4">
        <v>10</v>
      </c>
      <c r="C18" s="1" t="s">
        <v>20</v>
      </c>
      <c r="D18" s="1" t="s">
        <v>21</v>
      </c>
      <c r="E18" s="1"/>
      <c r="F18" s="152" t="s">
        <v>1216</v>
      </c>
    </row>
    <row r="19" spans="1:6" ht="35.75" customHeight="1">
      <c r="A19" s="292" t="s">
        <v>1219</v>
      </c>
      <c r="B19" s="293">
        <f>'MVP1 Pricing &amp; SKU'!$B$8</f>
        <v>269</v>
      </c>
      <c r="C19" s="292" t="s">
        <v>5</v>
      </c>
      <c r="D19" s="292" t="s">
        <v>1220</v>
      </c>
      <c r="E19" s="1"/>
      <c r="F19" s="152" t="s">
        <v>1216</v>
      </c>
    </row>
    <row r="20" spans="1:6" ht="35.75" customHeight="1">
      <c r="A20" s="1" t="s">
        <v>32</v>
      </c>
      <c r="B20" s="4">
        <v>299</v>
      </c>
      <c r="C20" s="1" t="s">
        <v>33</v>
      </c>
      <c r="D20" s="1" t="s">
        <v>34</v>
      </c>
      <c r="E20" s="1"/>
      <c r="F20" s="152" t="s">
        <v>1216</v>
      </c>
    </row>
    <row r="21" spans="1:6" ht="35.75" customHeight="1">
      <c r="A21" s="1" t="s">
        <v>35</v>
      </c>
      <c r="B21" s="138">
        <v>4</v>
      </c>
      <c r="C21" s="1" t="s">
        <v>36</v>
      </c>
      <c r="D21" s="1" t="s">
        <v>37</v>
      </c>
      <c r="E21" s="1"/>
      <c r="F21" s="152" t="s">
        <v>1216</v>
      </c>
    </row>
    <row r="22" spans="1:6" ht="35.75" customHeight="1">
      <c r="A22" s="1" t="s">
        <v>1221</v>
      </c>
      <c r="B22" s="159">
        <f>'Global Pricing Config'!$B$6</f>
        <v>2</v>
      </c>
      <c r="C22" s="1" t="s">
        <v>36</v>
      </c>
      <c r="D22" s="1" t="s">
        <v>1222</v>
      </c>
      <c r="E22" s="1"/>
      <c r="F22" s="152" t="s">
        <v>1216</v>
      </c>
    </row>
    <row r="23" spans="1:6">
      <c r="F23" s="152"/>
    </row>
    <row r="24" spans="1:6" ht="16">
      <c r="A24" s="177" t="s">
        <v>1223</v>
      </c>
      <c r="B24" s="177"/>
      <c r="C24" s="177"/>
      <c r="D24" s="177"/>
      <c r="E24" s="177"/>
      <c r="F24" s="152"/>
    </row>
    <row r="25" spans="1:6" ht="15">
      <c r="A25" s="1" t="s">
        <v>1224</v>
      </c>
      <c r="B25" s="178">
        <v>3</v>
      </c>
      <c r="C25" s="1" t="s">
        <v>1036</v>
      </c>
      <c r="D25" s="1" t="s">
        <v>1216</v>
      </c>
      <c r="E25" s="1" t="s">
        <v>1225</v>
      </c>
      <c r="F25" s="152" t="str">
        <f t="shared" ref="F25:F35" si="0">D25</f>
        <v>Founder Assumption</v>
      </c>
    </row>
    <row r="26" spans="1:6" ht="15">
      <c r="A26" s="1" t="s">
        <v>1226</v>
      </c>
      <c r="B26" s="178">
        <v>14000</v>
      </c>
      <c r="C26" s="1" t="s">
        <v>1227</v>
      </c>
      <c r="D26" s="1" t="s">
        <v>1216</v>
      </c>
      <c r="E26" s="1" t="s">
        <v>1228</v>
      </c>
      <c r="F26" s="152" t="str">
        <f t="shared" si="0"/>
        <v>Founder Assumption</v>
      </c>
    </row>
    <row r="27" spans="1:6" ht="15">
      <c r="A27" s="1" t="s">
        <v>1229</v>
      </c>
      <c r="B27" s="178">
        <v>26</v>
      </c>
      <c r="C27" s="1" t="s">
        <v>1230</v>
      </c>
      <c r="D27" s="1" t="s">
        <v>1216</v>
      </c>
      <c r="E27" s="1" t="s">
        <v>18</v>
      </c>
      <c r="F27" s="152" t="str">
        <f t="shared" si="0"/>
        <v>Founder Assumption</v>
      </c>
    </row>
    <row r="28" spans="1:6" ht="15">
      <c r="A28" s="1" t="s">
        <v>1231</v>
      </c>
      <c r="B28" s="178">
        <v>8</v>
      </c>
      <c r="C28" s="1" t="s">
        <v>36</v>
      </c>
      <c r="D28" s="1" t="s">
        <v>1216</v>
      </c>
      <c r="E28" s="1" t="s">
        <v>18</v>
      </c>
      <c r="F28" s="152" t="str">
        <f t="shared" si="0"/>
        <v>Founder Assumption</v>
      </c>
    </row>
    <row r="29" spans="1:6" ht="15">
      <c r="A29" s="1" t="s">
        <v>1232</v>
      </c>
      <c r="B29" s="179">
        <v>0.65</v>
      </c>
      <c r="C29" s="1" t="s">
        <v>11</v>
      </c>
      <c r="D29" s="1" t="s">
        <v>1216</v>
      </c>
      <c r="E29" s="1" t="s">
        <v>1233</v>
      </c>
      <c r="F29" s="152" t="str">
        <f t="shared" si="0"/>
        <v>Founder Assumption</v>
      </c>
    </row>
    <row r="30" spans="1:6" ht="15">
      <c r="A30" s="1" t="s">
        <v>1234</v>
      </c>
      <c r="B30" s="180">
        <f>B25*B26</f>
        <v>42000</v>
      </c>
      <c r="C30" s="1" t="s">
        <v>1235</v>
      </c>
      <c r="D30" s="1" t="s">
        <v>1236</v>
      </c>
      <c r="E30" s="1" t="s">
        <v>1237</v>
      </c>
      <c r="F30" s="152" t="str">
        <f t="shared" si="0"/>
        <v>Derived Formula</v>
      </c>
    </row>
    <row r="31" spans="1:6" ht="15">
      <c r="A31" s="1" t="s">
        <v>1238</v>
      </c>
      <c r="B31" s="180">
        <f>B25*B27*B28</f>
        <v>624</v>
      </c>
      <c r="C31" s="1" t="s">
        <v>1239</v>
      </c>
      <c r="D31" s="1" t="s">
        <v>1236</v>
      </c>
      <c r="E31" s="1" t="s">
        <v>1240</v>
      </c>
      <c r="F31" s="152" t="str">
        <f t="shared" si="0"/>
        <v>Derived Formula</v>
      </c>
    </row>
    <row r="32" spans="1:6" ht="15">
      <c r="A32" s="1" t="s">
        <v>1241</v>
      </c>
      <c r="B32" s="180">
        <f>B31*B29</f>
        <v>405.6</v>
      </c>
      <c r="C32" s="1" t="s">
        <v>1239</v>
      </c>
      <c r="D32" s="1" t="s">
        <v>1236</v>
      </c>
      <c r="E32" s="1" t="s">
        <v>1242</v>
      </c>
      <c r="F32" s="152" t="str">
        <f t="shared" si="0"/>
        <v>Derived Formula</v>
      </c>
    </row>
    <row r="33" spans="1:6" ht="30">
      <c r="A33" s="1" t="s">
        <v>1243</v>
      </c>
      <c r="B33" s="180">
        <f>IF(B32=0,0,B30/B32)</f>
        <v>103.55029585798816</v>
      </c>
      <c r="C33" s="1" t="s">
        <v>1244</v>
      </c>
      <c r="D33" s="1" t="s">
        <v>1236</v>
      </c>
      <c r="E33" s="1" t="s">
        <v>1245</v>
      </c>
      <c r="F33" s="152" t="str">
        <f t="shared" si="0"/>
        <v>Derived Formula</v>
      </c>
    </row>
    <row r="34" spans="1:6" ht="30">
      <c r="A34" s="1" t="s">
        <v>1246</v>
      </c>
      <c r="B34" s="180">
        <f>'Whitefield Monthly Projection'!$Q$19*'Whitefield Monthly Projection'!$Q$15</f>
        <v>173.80440000000002</v>
      </c>
      <c r="C34" s="1" t="s">
        <v>1239</v>
      </c>
      <c r="D34" s="1" t="s">
        <v>1236</v>
      </c>
      <c r="E34" s="1" t="s">
        <v>1247</v>
      </c>
      <c r="F34" s="152" t="str">
        <f t="shared" si="0"/>
        <v>Derived Formula</v>
      </c>
    </row>
    <row r="35" spans="1:6" ht="30">
      <c r="A35" s="1" t="s">
        <v>1248</v>
      </c>
      <c r="B35" s="180">
        <f>IF(B34=0,0,B30/B34)</f>
        <v>241.65095935430861</v>
      </c>
      <c r="C35" s="1" t="s">
        <v>1244</v>
      </c>
      <c r="D35" s="1" t="s">
        <v>1236</v>
      </c>
      <c r="E35" s="1" t="s">
        <v>1249</v>
      </c>
      <c r="F35" s="152" t="str">
        <f t="shared" si="0"/>
        <v>Derived Formula</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34"/>
  <sheetViews>
    <sheetView workbookViewId="0"/>
  </sheetViews>
  <sheetFormatPr baseColWidth="10" defaultColWidth="8.83203125" defaultRowHeight="14"/>
  <cols>
    <col min="1" max="1" width="34" customWidth="1"/>
    <col min="2" max="2" width="22" customWidth="1"/>
    <col min="3" max="9" width="13" customWidth="1"/>
    <col min="10" max="32" width="15" customWidth="1"/>
    <col min="33" max="33" width="18" customWidth="1"/>
    <col min="34" max="34" width="30" customWidth="1"/>
    <col min="35" max="43" width="18" customWidth="1"/>
    <col min="44" max="44" width="42" customWidth="1"/>
  </cols>
  <sheetData>
    <row r="1" spans="1:44" ht="49.75" customHeight="1">
      <c r="A1" s="442" t="s">
        <v>1250</v>
      </c>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row>
    <row r="2" spans="1:44" ht="49.75" customHeight="1">
      <c r="A2" s="428" t="s">
        <v>1251</v>
      </c>
      <c r="B2" s="428"/>
      <c r="C2" s="428"/>
      <c r="D2" s="428"/>
      <c r="E2" s="428"/>
      <c r="F2" s="428"/>
      <c r="G2" s="428"/>
      <c r="H2" s="428"/>
      <c r="I2" s="428"/>
      <c r="J2" s="428"/>
      <c r="K2" s="428"/>
      <c r="L2" s="428"/>
      <c r="M2" s="428"/>
      <c r="N2" s="428"/>
      <c r="O2" s="428"/>
      <c r="P2" s="428"/>
      <c r="Q2" s="428"/>
      <c r="R2" s="428"/>
      <c r="S2" s="428"/>
      <c r="T2" s="428"/>
      <c r="U2" s="428"/>
      <c r="V2" s="428"/>
      <c r="W2" s="428"/>
      <c r="X2" s="428"/>
      <c r="Y2" s="428"/>
      <c r="Z2" s="428"/>
      <c r="AA2" s="428"/>
      <c r="AB2" s="428"/>
      <c r="AC2" s="428"/>
      <c r="AD2" s="428"/>
      <c r="AE2" s="428"/>
      <c r="AF2" s="428"/>
    </row>
    <row r="4" spans="1:44" ht="81.75" customHeight="1">
      <c r="A4" s="5" t="s">
        <v>38</v>
      </c>
      <c r="B4" s="5" t="s">
        <v>39</v>
      </c>
      <c r="C4" s="5" t="s">
        <v>40</v>
      </c>
      <c r="D4" s="5" t="s">
        <v>41</v>
      </c>
      <c r="E4" s="5" t="s">
        <v>42</v>
      </c>
      <c r="F4" s="5" t="s">
        <v>43</v>
      </c>
      <c r="G4" s="5" t="s">
        <v>44</v>
      </c>
      <c r="H4" s="5" t="s">
        <v>45</v>
      </c>
      <c r="I4" s="5" t="s">
        <v>46</v>
      </c>
      <c r="J4" s="5" t="s">
        <v>1252</v>
      </c>
      <c r="K4" s="5" t="s">
        <v>1253</v>
      </c>
      <c r="L4" s="5" t="s">
        <v>47</v>
      </c>
      <c r="M4" s="5" t="s">
        <v>48</v>
      </c>
      <c r="N4" s="5" t="s">
        <v>49</v>
      </c>
      <c r="O4" s="5" t="s">
        <v>50</v>
      </c>
      <c r="P4" s="5" t="s">
        <v>51</v>
      </c>
      <c r="Q4" s="5" t="s">
        <v>1254</v>
      </c>
      <c r="R4" s="5" t="s">
        <v>1255</v>
      </c>
      <c r="S4" s="5" t="s">
        <v>1256</v>
      </c>
      <c r="T4" s="5" t="s">
        <v>52</v>
      </c>
      <c r="U4" s="5" t="s">
        <v>53</v>
      </c>
      <c r="V4" s="5" t="s">
        <v>54</v>
      </c>
      <c r="W4" s="5" t="s">
        <v>55</v>
      </c>
      <c r="X4" s="5" t="s">
        <v>56</v>
      </c>
      <c r="Y4" s="5" t="s">
        <v>1257</v>
      </c>
      <c r="Z4" s="5" t="s">
        <v>57</v>
      </c>
      <c r="AA4" s="5" t="s">
        <v>1258</v>
      </c>
      <c r="AB4" s="5" t="s">
        <v>1259</v>
      </c>
      <c r="AC4" s="5" t="s">
        <v>58</v>
      </c>
      <c r="AD4" s="5" t="s">
        <v>1260</v>
      </c>
      <c r="AE4" s="5" t="s">
        <v>1261</v>
      </c>
      <c r="AF4" s="5" t="s">
        <v>1262</v>
      </c>
      <c r="AG4" s="127" t="s">
        <v>1263</v>
      </c>
      <c r="AH4" s="160" t="s">
        <v>1264</v>
      </c>
      <c r="AI4" s="181" t="s">
        <v>1265</v>
      </c>
      <c r="AJ4" s="181" t="s">
        <v>1118</v>
      </c>
      <c r="AK4" s="181" t="s">
        <v>1266</v>
      </c>
      <c r="AL4" s="181" t="s">
        <v>1267</v>
      </c>
      <c r="AM4" s="181" t="s">
        <v>1268</v>
      </c>
      <c r="AN4" s="181" t="s">
        <v>1269</v>
      </c>
      <c r="AO4" s="181" t="s">
        <v>1270</v>
      </c>
      <c r="AP4" s="181" t="s">
        <v>1271</v>
      </c>
      <c r="AQ4" s="181" t="s">
        <v>1272</v>
      </c>
      <c r="AR4" s="181" t="s">
        <v>1273</v>
      </c>
    </row>
    <row r="5" spans="1:44" ht="39" customHeight="1">
      <c r="A5" s="1" t="s">
        <v>59</v>
      </c>
      <c r="B5" s="1" t="s">
        <v>60</v>
      </c>
      <c r="C5" s="9">
        <v>4</v>
      </c>
      <c r="D5" s="182">
        <v>1</v>
      </c>
      <c r="E5" s="10">
        <v>0</v>
      </c>
      <c r="F5" s="11">
        <v>1</v>
      </c>
      <c r="G5" s="10"/>
      <c r="H5" s="10"/>
      <c r="I5" s="10"/>
      <c r="J5" s="12">
        <f>'MVP1 Pricing &amp; SKU'!$B$7*D5</f>
        <v>299</v>
      </c>
      <c r="K5" s="218">
        <v>1395</v>
      </c>
      <c r="L5" s="219">
        <f>K5/(1+'Global Inputs'!$B$7)</f>
        <v>1182.2033898305085</v>
      </c>
      <c r="M5" s="218">
        <f>IF(G5="",'Global Inputs'!$B$6,G5)</f>
        <v>0</v>
      </c>
      <c r="N5" s="219">
        <f t="shared" ref="N5:N34" si="0">C5*F5*M5</f>
        <v>0</v>
      </c>
      <c r="O5" s="219">
        <f>K5*'Global Inputs'!$B$8+'Global Inputs'!$B$9</f>
        <v>0</v>
      </c>
      <c r="P5" s="218">
        <f>SUM('Global Inputs'!$B$10:$B$14)</f>
        <v>56.5</v>
      </c>
      <c r="Q5" s="219">
        <f t="shared" ref="Q5:Q34" si="1">SUM(N5:P5)+AG5</f>
        <v>105.32499999999999</v>
      </c>
      <c r="R5" s="219">
        <f t="shared" ref="R5:R34" si="2">L5-Q5</f>
        <v>1076.8783898305085</v>
      </c>
      <c r="S5" s="183">
        <f t="shared" ref="S5:S34" si="3">IF(L5=0,0,R5/L5)</f>
        <v>0.91090788530465949</v>
      </c>
      <c r="T5" s="218">
        <f>IF(H5="",'Global Inputs'!$B$15,H5)</f>
        <v>500</v>
      </c>
      <c r="U5" s="218">
        <f>IF(I5="",'Global Inputs'!$B$16,I5)</f>
        <v>149</v>
      </c>
      <c r="V5" s="219">
        <f t="shared" ref="V5:V34" si="4">T5+U5</f>
        <v>649</v>
      </c>
      <c r="W5" s="219">
        <f>V5*'Global Inputs'!$B$8</f>
        <v>0</v>
      </c>
      <c r="X5" s="218">
        <f>'Global Inputs'!$B$18</f>
        <v>10</v>
      </c>
      <c r="Y5" s="219">
        <f>U5/(1+'Global Inputs'!$B$17)-W5-X5</f>
        <v>139</v>
      </c>
      <c r="Z5" s="219">
        <f t="shared" ref="Z5:Z34" si="5">K5+V5</f>
        <v>2044</v>
      </c>
      <c r="AA5" s="219">
        <f t="shared" ref="AA5:AA34" si="6">Q5+T5+W5+X5</f>
        <v>615.32500000000005</v>
      </c>
      <c r="AB5" s="219">
        <f t="shared" ref="AB5:AB34" si="7">R5+Y5</f>
        <v>1215.8783898305085</v>
      </c>
      <c r="AC5" s="13">
        <f t="shared" ref="AC5:AC34" si="8">AB5-R5</f>
        <v>139</v>
      </c>
      <c r="AD5" s="183">
        <v>0.91336785882532689</v>
      </c>
      <c r="AE5" s="219">
        <f t="shared" ref="AE5:AE34" si="9">IF(C5=0,0,R5/C5)</f>
        <v>269.21959745762712</v>
      </c>
      <c r="AF5" s="219">
        <f t="shared" ref="AF5:AF34" si="10">IF(C5=0,0,AB5/C5)</f>
        <v>303.96959745762712</v>
      </c>
      <c r="AG5" s="207">
        <f>L5*'NC Credits'!$B$15</f>
        <v>48.824999999999996</v>
      </c>
      <c r="AH5" s="219" t="str">
        <f t="shared" ref="AH5:AH34" si="11">IF(OR(ISNUMBER(SEARCH("Overnight",A5)),ISNUMBER(SEARCH("Multi-Day",A5)),ISNUMBER(SEARCH("Medical Tourism",A5))),"MANUAL","AUTO")</f>
        <v>AUTO</v>
      </c>
      <c r="AI5" s="207">
        <f t="shared" ref="AI5:AI34" si="12">M5</f>
        <v>0</v>
      </c>
      <c r="AJ5" s="207">
        <f>'Global Inputs'!$B$33</f>
        <v>103.55029585798816</v>
      </c>
      <c r="AK5" s="207">
        <f t="shared" ref="AK5:AK34" si="13">C5*F5*AJ5</f>
        <v>414.20118343195264</v>
      </c>
      <c r="AL5" s="207">
        <f t="shared" ref="AL5:AL34" si="14">R5+N5-AK5</f>
        <v>662.67720639855588</v>
      </c>
      <c r="AM5" s="184">
        <f t="shared" ref="AM5:AM34" si="15">IF(L5=0,0,AL5/L5)</f>
        <v>0.5605441602511082</v>
      </c>
      <c r="AN5" s="207">
        <f t="shared" ref="AN5:AN34" si="16">AB5+N5-AK5</f>
        <v>801.67720639855588</v>
      </c>
      <c r="AO5" s="184">
        <f>IF((L5+U5/(1+'Global Inputs'!$B$17))=0,0,AN5/(L5+U5/(1+'Global Inputs'!$B$17)))</f>
        <v>0.6022199256122891</v>
      </c>
      <c r="AP5" s="207">
        <f t="shared" ref="AP5:AP34" si="17">IF(C5*F5=0,0,AL5/(C5*F5))</f>
        <v>165.66930159963897</v>
      </c>
      <c r="AQ5" s="185">
        <v>5</v>
      </c>
      <c r="AR5" s="186" t="s">
        <v>1274</v>
      </c>
    </row>
    <row r="6" spans="1:44" ht="39" customHeight="1">
      <c r="A6" s="1" t="s">
        <v>1088</v>
      </c>
      <c r="B6" s="1" t="s">
        <v>60</v>
      </c>
      <c r="C6" s="9">
        <v>3</v>
      </c>
      <c r="D6" s="182">
        <v>0.8</v>
      </c>
      <c r="E6" s="10">
        <v>0</v>
      </c>
      <c r="F6" s="11">
        <v>1</v>
      </c>
      <c r="G6" s="10"/>
      <c r="H6" s="10"/>
      <c r="I6" s="10"/>
      <c r="J6" s="12">
        <f>'MVP1 Pricing &amp; SKU'!$B$7*D6</f>
        <v>239.20000000000002</v>
      </c>
      <c r="K6" s="218">
        <v>916.6</v>
      </c>
      <c r="L6" s="219">
        <f>K6/(1+'Global Inputs'!$B$7)</f>
        <v>776.77966101694926</v>
      </c>
      <c r="M6" s="218">
        <f>IF(G6="",'Global Inputs'!$B$6,G6)</f>
        <v>0</v>
      </c>
      <c r="N6" s="219">
        <f t="shared" si="0"/>
        <v>0</v>
      </c>
      <c r="O6" s="219">
        <f>K6*'Global Inputs'!$B$8+'Global Inputs'!$B$9</f>
        <v>0</v>
      </c>
      <c r="P6" s="218">
        <f>SUM('Global Inputs'!$B$10:$B$14)</f>
        <v>56.5</v>
      </c>
      <c r="Q6" s="219">
        <f t="shared" si="1"/>
        <v>88.581000000000003</v>
      </c>
      <c r="R6" s="219">
        <f t="shared" si="2"/>
        <v>688.19866101694925</v>
      </c>
      <c r="S6" s="183">
        <f t="shared" si="3"/>
        <v>0.88596380100370931</v>
      </c>
      <c r="T6" s="218">
        <f>IF(H6="",'Global Inputs'!$B$15,H6)</f>
        <v>500</v>
      </c>
      <c r="U6" s="218">
        <f>IF(I6="",'Global Inputs'!$B$16,I6)</f>
        <v>149</v>
      </c>
      <c r="V6" s="219">
        <f t="shared" si="4"/>
        <v>649</v>
      </c>
      <c r="W6" s="219">
        <f>V6*'Global Inputs'!$B$8</f>
        <v>0</v>
      </c>
      <c r="X6" s="218">
        <f>'Global Inputs'!$B$18</f>
        <v>10</v>
      </c>
      <c r="Y6" s="219">
        <f>U6/(1+'Global Inputs'!$B$17)-W6-X6</f>
        <v>139</v>
      </c>
      <c r="Z6" s="219">
        <f t="shared" si="5"/>
        <v>1565.6</v>
      </c>
      <c r="AA6" s="219">
        <f t="shared" si="6"/>
        <v>598.58100000000002</v>
      </c>
      <c r="AB6" s="219">
        <f t="shared" si="7"/>
        <v>827.19866101694925</v>
      </c>
      <c r="AC6" s="13">
        <f t="shared" si="8"/>
        <v>139</v>
      </c>
      <c r="AD6" s="183">
        <v>0.89351569909009354</v>
      </c>
      <c r="AE6" s="219">
        <f t="shared" si="9"/>
        <v>229.39955367231642</v>
      </c>
      <c r="AF6" s="219">
        <f t="shared" si="10"/>
        <v>275.73288700564973</v>
      </c>
      <c r="AG6" s="207">
        <f>L6*'NC Credits'!$B$15</f>
        <v>32.081000000000003</v>
      </c>
      <c r="AH6" s="219" t="str">
        <f t="shared" si="11"/>
        <v>AUTO</v>
      </c>
      <c r="AI6" s="207">
        <f t="shared" si="12"/>
        <v>0</v>
      </c>
      <c r="AJ6" s="207">
        <f>'Global Inputs'!$B$33</f>
        <v>103.55029585798816</v>
      </c>
      <c r="AK6" s="207">
        <f t="shared" si="13"/>
        <v>310.6508875739645</v>
      </c>
      <c r="AL6" s="207">
        <f t="shared" si="14"/>
        <v>377.54777344298475</v>
      </c>
      <c r="AM6" s="184">
        <f t="shared" si="15"/>
        <v>0.48604230052664404</v>
      </c>
      <c r="AN6" s="207">
        <f t="shared" si="16"/>
        <v>516.54777344298475</v>
      </c>
      <c r="AO6" s="184">
        <f>IF((L6+U6/(1+'Global Inputs'!$B$17))=0,0,AN6/(L6+U6/(1+'Global Inputs'!$B$17)))</f>
        <v>0.55795973404251287</v>
      </c>
      <c r="AP6" s="207">
        <f t="shared" si="17"/>
        <v>125.84925781432825</v>
      </c>
      <c r="AQ6" s="185">
        <v>4</v>
      </c>
      <c r="AR6" s="186" t="s">
        <v>1275</v>
      </c>
    </row>
    <row r="7" spans="1:44" ht="39" customHeight="1">
      <c r="A7" s="1" t="s">
        <v>61</v>
      </c>
      <c r="B7" s="1" t="s">
        <v>60</v>
      </c>
      <c r="C7" s="9">
        <v>2</v>
      </c>
      <c r="D7" s="182">
        <v>0.9</v>
      </c>
      <c r="E7" s="10">
        <v>0</v>
      </c>
      <c r="F7" s="11">
        <v>1</v>
      </c>
      <c r="G7" s="10"/>
      <c r="H7" s="10"/>
      <c r="I7" s="10"/>
      <c r="J7" s="12">
        <f>'MVP1 Pricing &amp; SKU'!$B$7*D7</f>
        <v>269.10000000000002</v>
      </c>
      <c r="K7" s="218">
        <v>737.2</v>
      </c>
      <c r="L7" s="219">
        <f>K7/(1+'Global Inputs'!$B$7)</f>
        <v>624.74576271186447</v>
      </c>
      <c r="M7" s="218">
        <f>IF(G7="",'Global Inputs'!$B$6,G7)</f>
        <v>0</v>
      </c>
      <c r="N7" s="219">
        <f t="shared" si="0"/>
        <v>0</v>
      </c>
      <c r="O7" s="219">
        <f>K7*'Global Inputs'!$B$8+'Global Inputs'!$B$9</f>
        <v>0</v>
      </c>
      <c r="P7" s="218">
        <f>SUM('Global Inputs'!$B$10:$B$14)</f>
        <v>56.5</v>
      </c>
      <c r="Q7" s="219">
        <f t="shared" si="1"/>
        <v>82.301999999999992</v>
      </c>
      <c r="R7" s="219">
        <f t="shared" si="2"/>
        <v>542.44376271186445</v>
      </c>
      <c r="S7" s="183">
        <f t="shared" si="3"/>
        <v>0.86826321215409652</v>
      </c>
      <c r="T7" s="218">
        <f>IF(H7="",'Global Inputs'!$B$15,H7)</f>
        <v>500</v>
      </c>
      <c r="U7" s="218">
        <f>IF(I7="",'Global Inputs'!$B$16,I7)</f>
        <v>149</v>
      </c>
      <c r="V7" s="219">
        <f t="shared" si="4"/>
        <v>649</v>
      </c>
      <c r="W7" s="219">
        <f>V7*'Global Inputs'!$B$8</f>
        <v>0</v>
      </c>
      <c r="X7" s="218">
        <f>'Global Inputs'!$B$18</f>
        <v>10</v>
      </c>
      <c r="Y7" s="219">
        <f>U7/(1+'Global Inputs'!$B$17)-W7-X7</f>
        <v>139</v>
      </c>
      <c r="Z7" s="219">
        <f t="shared" si="5"/>
        <v>1386.2</v>
      </c>
      <c r="AA7" s="219">
        <f t="shared" si="6"/>
        <v>592.30200000000002</v>
      </c>
      <c r="AB7" s="219">
        <f t="shared" si="7"/>
        <v>681.44376271186445</v>
      </c>
      <c r="AC7" s="13">
        <f t="shared" si="8"/>
        <v>139</v>
      </c>
      <c r="AD7" s="183">
        <v>0.88070758581411135</v>
      </c>
      <c r="AE7" s="219">
        <f t="shared" si="9"/>
        <v>271.22188135593223</v>
      </c>
      <c r="AF7" s="219">
        <f t="shared" si="10"/>
        <v>340.72188135593223</v>
      </c>
      <c r="AG7" s="207">
        <f>L7*'NC Credits'!$B$15</f>
        <v>25.802</v>
      </c>
      <c r="AH7" s="219" t="str">
        <f t="shared" si="11"/>
        <v>AUTO</v>
      </c>
      <c r="AI7" s="207">
        <f t="shared" si="12"/>
        <v>0</v>
      </c>
      <c r="AJ7" s="207">
        <f>'Global Inputs'!$B$33</f>
        <v>103.55029585798816</v>
      </c>
      <c r="AK7" s="207">
        <f t="shared" si="13"/>
        <v>207.10059171597632</v>
      </c>
      <c r="AL7" s="207">
        <f t="shared" si="14"/>
        <v>335.34317099588816</v>
      </c>
      <c r="AM7" s="184">
        <f t="shared" si="15"/>
        <v>0.53676741966243624</v>
      </c>
      <c r="AN7" s="207">
        <f t="shared" si="16"/>
        <v>474.34317099588816</v>
      </c>
      <c r="AO7" s="184">
        <f>IF((L7+U7/(1+'Global Inputs'!$B$17))=0,0,AN7/(L7+U7/(1+'Global Inputs'!$B$17)))</f>
        <v>0.6130478431744627</v>
      </c>
      <c r="AP7" s="207">
        <f t="shared" si="17"/>
        <v>167.67158549794408</v>
      </c>
      <c r="AQ7" s="185">
        <v>4</v>
      </c>
      <c r="AR7" s="186" t="s">
        <v>1276</v>
      </c>
    </row>
    <row r="8" spans="1:44" ht="39" customHeight="1">
      <c r="A8" s="1" t="s">
        <v>62</v>
      </c>
      <c r="B8" s="1" t="s">
        <v>60</v>
      </c>
      <c r="C8" s="9">
        <v>3</v>
      </c>
      <c r="D8" s="182">
        <v>0.85</v>
      </c>
      <c r="E8" s="10">
        <v>0</v>
      </c>
      <c r="F8" s="11">
        <v>1</v>
      </c>
      <c r="G8" s="10"/>
      <c r="H8" s="10"/>
      <c r="I8" s="10"/>
      <c r="J8" s="12">
        <f>'MVP1 Pricing &amp; SKU'!$B$7*D8</f>
        <v>254.15</v>
      </c>
      <c r="K8" s="218">
        <v>961.44999999999993</v>
      </c>
      <c r="L8" s="219">
        <f>K8/(1+'Global Inputs'!$B$7)</f>
        <v>814.78813559322032</v>
      </c>
      <c r="M8" s="218">
        <f>IF(G8="",'Global Inputs'!$B$6,G8)</f>
        <v>0</v>
      </c>
      <c r="N8" s="219">
        <f t="shared" si="0"/>
        <v>0</v>
      </c>
      <c r="O8" s="219">
        <f>K8*'Global Inputs'!$B$8+'Global Inputs'!$B$9</f>
        <v>0</v>
      </c>
      <c r="P8" s="218">
        <f>SUM('Global Inputs'!$B$10:$B$14)</f>
        <v>56.5</v>
      </c>
      <c r="Q8" s="219">
        <f t="shared" si="1"/>
        <v>90.150749999999988</v>
      </c>
      <c r="R8" s="219">
        <f t="shared" si="2"/>
        <v>724.6373855932203</v>
      </c>
      <c r="S8" s="183">
        <f t="shared" si="3"/>
        <v>0.88935682042747932</v>
      </c>
      <c r="T8" s="218">
        <f>IF(H8="",'Global Inputs'!$B$15,H8)</f>
        <v>500</v>
      </c>
      <c r="U8" s="218">
        <f>IF(I8="",'Global Inputs'!$B$16,I8)</f>
        <v>149</v>
      </c>
      <c r="V8" s="219">
        <f t="shared" si="4"/>
        <v>649</v>
      </c>
      <c r="W8" s="219">
        <f>V8*'Global Inputs'!$B$8</f>
        <v>0</v>
      </c>
      <c r="X8" s="218">
        <f>'Global Inputs'!$B$18</f>
        <v>10</v>
      </c>
      <c r="Y8" s="219">
        <f>U8/(1+'Global Inputs'!$B$17)-W8-X8</f>
        <v>139</v>
      </c>
      <c r="Z8" s="219">
        <f t="shared" si="5"/>
        <v>1610.4499999999998</v>
      </c>
      <c r="AA8" s="219">
        <f t="shared" si="6"/>
        <v>600.15075000000002</v>
      </c>
      <c r="AB8" s="219">
        <f t="shared" si="7"/>
        <v>863.6373855932203</v>
      </c>
      <c r="AC8" s="13">
        <f t="shared" si="8"/>
        <v>139</v>
      </c>
      <c r="AD8" s="183">
        <v>0.89608634273303611</v>
      </c>
      <c r="AE8" s="219">
        <f t="shared" si="9"/>
        <v>241.54579519774009</v>
      </c>
      <c r="AF8" s="219">
        <f t="shared" si="10"/>
        <v>287.87912853107343</v>
      </c>
      <c r="AG8" s="207">
        <f>L8*'NC Credits'!$B$15</f>
        <v>33.650749999999995</v>
      </c>
      <c r="AH8" s="219" t="str">
        <f t="shared" si="11"/>
        <v>AUTO</v>
      </c>
      <c r="AI8" s="207">
        <f t="shared" si="12"/>
        <v>0</v>
      </c>
      <c r="AJ8" s="207">
        <f>'Global Inputs'!$B$33</f>
        <v>103.55029585798816</v>
      </c>
      <c r="AK8" s="207">
        <f t="shared" si="13"/>
        <v>310.6508875739645</v>
      </c>
      <c r="AL8" s="207">
        <f t="shared" si="14"/>
        <v>413.98649801925581</v>
      </c>
      <c r="AM8" s="184">
        <f t="shared" si="15"/>
        <v>0.50809097473890674</v>
      </c>
      <c r="AN8" s="207">
        <f t="shared" si="16"/>
        <v>552.98649801925581</v>
      </c>
      <c r="AO8" s="184">
        <f>IF((L8+U8/(1+'Global Inputs'!$B$17))=0,0,AN8/(L8+U8/(1+'Global Inputs'!$B$17)))</f>
        <v>0.5737635457391137</v>
      </c>
      <c r="AP8" s="207">
        <f t="shared" si="17"/>
        <v>137.99549933975194</v>
      </c>
      <c r="AQ8" s="185">
        <v>4</v>
      </c>
      <c r="AR8" s="186" t="s">
        <v>1277</v>
      </c>
    </row>
    <row r="9" spans="1:44" ht="39" customHeight="1">
      <c r="A9" s="1" t="s">
        <v>63</v>
      </c>
      <c r="B9" s="1" t="s">
        <v>60</v>
      </c>
      <c r="C9" s="9">
        <v>5</v>
      </c>
      <c r="D9" s="182">
        <v>0.9</v>
      </c>
      <c r="E9" s="10">
        <v>0</v>
      </c>
      <c r="F9" s="11">
        <v>1</v>
      </c>
      <c r="G9" s="10"/>
      <c r="H9" s="10"/>
      <c r="I9" s="10"/>
      <c r="J9" s="12">
        <f>'MVP1 Pricing &amp; SKU'!$B$7*D9</f>
        <v>269.10000000000002</v>
      </c>
      <c r="K9" s="218">
        <v>1544.5</v>
      </c>
      <c r="L9" s="219">
        <f>K9/(1+'Global Inputs'!$B$7)</f>
        <v>1308.8983050847457</v>
      </c>
      <c r="M9" s="218">
        <f>IF(G9="",'Global Inputs'!$B$6,G9)</f>
        <v>0</v>
      </c>
      <c r="N9" s="219">
        <f t="shared" si="0"/>
        <v>0</v>
      </c>
      <c r="O9" s="219">
        <f>K9*'Global Inputs'!$B$8+'Global Inputs'!$B$9</f>
        <v>0</v>
      </c>
      <c r="P9" s="218">
        <f>SUM('Global Inputs'!$B$10:$B$14)</f>
        <v>56.5</v>
      </c>
      <c r="Q9" s="219">
        <f t="shared" si="1"/>
        <v>110.5575</v>
      </c>
      <c r="R9" s="219">
        <f t="shared" si="2"/>
        <v>1198.3408050847456</v>
      </c>
      <c r="S9" s="183">
        <f t="shared" si="3"/>
        <v>0.91553392683716406</v>
      </c>
      <c r="T9" s="218">
        <f>IF(H9="",'Global Inputs'!$B$15,H9)</f>
        <v>500</v>
      </c>
      <c r="U9" s="218">
        <f>IF(I9="",'Global Inputs'!$B$16,I9)</f>
        <v>149</v>
      </c>
      <c r="V9" s="219">
        <f t="shared" si="4"/>
        <v>649</v>
      </c>
      <c r="W9" s="219">
        <f>V9*'Global Inputs'!$B$8</f>
        <v>0</v>
      </c>
      <c r="X9" s="218">
        <f>'Global Inputs'!$B$18</f>
        <v>10</v>
      </c>
      <c r="Y9" s="219">
        <f>U9/(1+'Global Inputs'!$B$17)-W9-X9</f>
        <v>139</v>
      </c>
      <c r="Z9" s="219">
        <f t="shared" si="5"/>
        <v>2193.5</v>
      </c>
      <c r="AA9" s="219">
        <f t="shared" si="6"/>
        <v>620.5575</v>
      </c>
      <c r="AB9" s="219">
        <f t="shared" si="7"/>
        <v>1337.3408050847456</v>
      </c>
      <c r="AC9" s="13">
        <f t="shared" si="8"/>
        <v>139</v>
      </c>
      <c r="AD9" s="183">
        <v>0.91730733235677075</v>
      </c>
      <c r="AE9" s="219">
        <f t="shared" si="9"/>
        <v>239.66816101694911</v>
      </c>
      <c r="AF9" s="219">
        <f t="shared" si="10"/>
        <v>267.46816101694913</v>
      </c>
      <c r="AG9" s="207">
        <f>L9*'NC Credits'!$B$15</f>
        <v>54.057499999999997</v>
      </c>
      <c r="AH9" s="219" t="str">
        <f t="shared" si="11"/>
        <v>AUTO</v>
      </c>
      <c r="AI9" s="207">
        <f t="shared" si="12"/>
        <v>0</v>
      </c>
      <c r="AJ9" s="207">
        <f>'Global Inputs'!$B$33</f>
        <v>103.55029585798816</v>
      </c>
      <c r="AK9" s="207">
        <f t="shared" si="13"/>
        <v>517.75147928994079</v>
      </c>
      <c r="AL9" s="207">
        <f t="shared" si="14"/>
        <v>680.58932579480484</v>
      </c>
      <c r="AM9" s="184">
        <f t="shared" si="15"/>
        <v>0.51997112621422448</v>
      </c>
      <c r="AN9" s="207">
        <f t="shared" si="16"/>
        <v>819.58932579480484</v>
      </c>
      <c r="AO9" s="184">
        <f>IF((L9+U9/(1+'Global Inputs'!$B$17))=0,0,AN9/(L9+U9/(1+'Global Inputs'!$B$17)))</f>
        <v>0.56217180782521259</v>
      </c>
      <c r="AP9" s="207">
        <f t="shared" si="17"/>
        <v>136.11786515896097</v>
      </c>
      <c r="AQ9" s="185">
        <v>3</v>
      </c>
      <c r="AR9" s="186" t="s">
        <v>1278</v>
      </c>
    </row>
    <row r="10" spans="1:44" ht="39" customHeight="1">
      <c r="A10" s="1" t="s">
        <v>64</v>
      </c>
      <c r="B10" s="1" t="s">
        <v>65</v>
      </c>
      <c r="C10" s="9">
        <v>4</v>
      </c>
      <c r="D10" s="182">
        <v>1.1499999999999999</v>
      </c>
      <c r="E10" s="10">
        <v>0</v>
      </c>
      <c r="F10" s="11">
        <v>1</v>
      </c>
      <c r="G10" s="10"/>
      <c r="H10" s="10"/>
      <c r="I10" s="10"/>
      <c r="J10" s="12">
        <f>'MVP1 Pricing &amp; SKU'!$B$7*D10</f>
        <v>343.84999999999997</v>
      </c>
      <c r="K10" s="218">
        <v>1574.3999999999999</v>
      </c>
      <c r="L10" s="219">
        <f>K10/(1+'Global Inputs'!$B$7)</f>
        <v>1334.2372881355932</v>
      </c>
      <c r="M10" s="218">
        <f>IF(G10="",'Global Inputs'!$B$6,G10)</f>
        <v>0</v>
      </c>
      <c r="N10" s="219">
        <f t="shared" si="0"/>
        <v>0</v>
      </c>
      <c r="O10" s="219">
        <f>K10*'Global Inputs'!$B$8+'Global Inputs'!$B$9</f>
        <v>0</v>
      </c>
      <c r="P10" s="218">
        <f>SUM('Global Inputs'!$B$10:$B$14)</f>
        <v>56.5</v>
      </c>
      <c r="Q10" s="219">
        <f t="shared" si="1"/>
        <v>111.60399999999998</v>
      </c>
      <c r="R10" s="219">
        <f t="shared" si="2"/>
        <v>1222.6332881355931</v>
      </c>
      <c r="S10" s="183">
        <f t="shared" si="3"/>
        <v>0.91635370934959348</v>
      </c>
      <c r="T10" s="218">
        <f>IF(H10="",'Global Inputs'!$B$15,H10)</f>
        <v>500</v>
      </c>
      <c r="U10" s="218">
        <f>IF(I10="",'Global Inputs'!$B$16,I10)</f>
        <v>149</v>
      </c>
      <c r="V10" s="219">
        <f t="shared" si="4"/>
        <v>649</v>
      </c>
      <c r="W10" s="219">
        <f>V10*'Global Inputs'!$B$8</f>
        <v>0</v>
      </c>
      <c r="X10" s="218">
        <f>'Global Inputs'!$B$18</f>
        <v>10</v>
      </c>
      <c r="Y10" s="219">
        <f>U10/(1+'Global Inputs'!$B$17)-W10-X10</f>
        <v>139</v>
      </c>
      <c r="Z10" s="219">
        <f t="shared" si="5"/>
        <v>2223.3999999999996</v>
      </c>
      <c r="AA10" s="219">
        <f t="shared" si="6"/>
        <v>621.60400000000004</v>
      </c>
      <c r="AB10" s="219">
        <f t="shared" si="7"/>
        <v>1361.6332881355931</v>
      </c>
      <c r="AC10" s="13">
        <f t="shared" si="8"/>
        <v>139</v>
      </c>
      <c r="AD10" s="183">
        <v>0.918014466752751</v>
      </c>
      <c r="AE10" s="219">
        <f t="shared" si="9"/>
        <v>305.65832203389829</v>
      </c>
      <c r="AF10" s="219">
        <f t="shared" si="10"/>
        <v>340.40832203389829</v>
      </c>
      <c r="AG10" s="207">
        <f>L10*'NC Credits'!$B$15</f>
        <v>55.103999999999992</v>
      </c>
      <c r="AH10" s="219" t="str">
        <f t="shared" si="11"/>
        <v>AUTO</v>
      </c>
      <c r="AI10" s="207">
        <f t="shared" si="12"/>
        <v>0</v>
      </c>
      <c r="AJ10" s="207">
        <f>'Global Inputs'!$B$33</f>
        <v>103.55029585798816</v>
      </c>
      <c r="AK10" s="207">
        <f t="shared" si="13"/>
        <v>414.20118343195264</v>
      </c>
      <c r="AL10" s="207">
        <f t="shared" si="14"/>
        <v>808.43210470364056</v>
      </c>
      <c r="AM10" s="184">
        <f t="shared" si="15"/>
        <v>0.60591328985664117</v>
      </c>
      <c r="AN10" s="207">
        <f t="shared" si="16"/>
        <v>947.43210470364056</v>
      </c>
      <c r="AO10" s="184">
        <f>IF((L10+U10/(1+'Global Inputs'!$B$17))=0,0,AN10/(L10+U10/(1+'Global Inputs'!$B$17)))</f>
        <v>0.63875963224640098</v>
      </c>
      <c r="AP10" s="207">
        <f t="shared" si="17"/>
        <v>202.10802617591014</v>
      </c>
      <c r="AQ10" s="185">
        <v>3</v>
      </c>
      <c r="AR10" s="186" t="s">
        <v>1279</v>
      </c>
    </row>
    <row r="11" spans="1:44" ht="39" customHeight="1">
      <c r="A11" s="1" t="s">
        <v>66</v>
      </c>
      <c r="B11" s="1" t="s">
        <v>65</v>
      </c>
      <c r="C11" s="9">
        <v>4</v>
      </c>
      <c r="D11" s="182">
        <v>1.1000000000000001</v>
      </c>
      <c r="E11" s="10">
        <v>0</v>
      </c>
      <c r="F11" s="11">
        <v>1</v>
      </c>
      <c r="G11" s="10"/>
      <c r="H11" s="10"/>
      <c r="I11" s="10"/>
      <c r="J11" s="12">
        <f>'MVP1 Pricing &amp; SKU'!$B$7*D11</f>
        <v>328.90000000000003</v>
      </c>
      <c r="K11" s="218">
        <v>1514.6000000000001</v>
      </c>
      <c r="L11" s="219">
        <f>K11/(1+'Global Inputs'!$B$7)</f>
        <v>1283.5593220338985</v>
      </c>
      <c r="M11" s="218">
        <f>IF(G11="",'Global Inputs'!$B$6,G11)</f>
        <v>0</v>
      </c>
      <c r="N11" s="219">
        <f t="shared" si="0"/>
        <v>0</v>
      </c>
      <c r="O11" s="219">
        <f>K11*'Global Inputs'!$B$8+'Global Inputs'!$B$9</f>
        <v>0</v>
      </c>
      <c r="P11" s="218">
        <f>SUM('Global Inputs'!$B$10:$B$14)</f>
        <v>56.5</v>
      </c>
      <c r="Q11" s="219">
        <f t="shared" si="1"/>
        <v>109.511</v>
      </c>
      <c r="R11" s="219">
        <f t="shared" si="2"/>
        <v>1174.0483220338986</v>
      </c>
      <c r="S11" s="183">
        <f t="shared" si="3"/>
        <v>0.91468177736696166</v>
      </c>
      <c r="T11" s="218">
        <f>IF(H11="",'Global Inputs'!$B$15,H11)</f>
        <v>500</v>
      </c>
      <c r="U11" s="218">
        <f>IF(I11="",'Global Inputs'!$B$16,I11)</f>
        <v>149</v>
      </c>
      <c r="V11" s="219">
        <f t="shared" si="4"/>
        <v>649</v>
      </c>
      <c r="W11" s="219">
        <f>V11*'Global Inputs'!$B$8</f>
        <v>0</v>
      </c>
      <c r="X11" s="218">
        <f>'Global Inputs'!$B$18</f>
        <v>10</v>
      </c>
      <c r="Y11" s="219">
        <f>U11/(1+'Global Inputs'!$B$17)-W11-X11</f>
        <v>139</v>
      </c>
      <c r="Z11" s="219">
        <f t="shared" si="5"/>
        <v>2163.6000000000004</v>
      </c>
      <c r="AA11" s="219">
        <f t="shared" si="6"/>
        <v>619.51099999999997</v>
      </c>
      <c r="AB11" s="219">
        <f t="shared" si="7"/>
        <v>1313.0483220338986</v>
      </c>
      <c r="AC11" s="13">
        <f t="shared" si="8"/>
        <v>139</v>
      </c>
      <c r="AD11" s="183">
        <v>0.91657518249902392</v>
      </c>
      <c r="AE11" s="219">
        <f t="shared" si="9"/>
        <v>293.51208050847464</v>
      </c>
      <c r="AF11" s="219">
        <f t="shared" si="10"/>
        <v>328.26208050847464</v>
      </c>
      <c r="AG11" s="207">
        <f>L11*'NC Credits'!$B$15</f>
        <v>53.011000000000003</v>
      </c>
      <c r="AH11" s="219" t="str">
        <f t="shared" si="11"/>
        <v>AUTO</v>
      </c>
      <c r="AI11" s="207">
        <f t="shared" si="12"/>
        <v>0</v>
      </c>
      <c r="AJ11" s="207">
        <f>'Global Inputs'!$B$33</f>
        <v>103.55029585798816</v>
      </c>
      <c r="AK11" s="207">
        <f t="shared" si="13"/>
        <v>414.20118343195264</v>
      </c>
      <c r="AL11" s="207">
        <f t="shared" si="14"/>
        <v>759.84713860194597</v>
      </c>
      <c r="AM11" s="184">
        <f t="shared" si="15"/>
        <v>0.59198443387712674</v>
      </c>
      <c r="AN11" s="207">
        <f t="shared" si="16"/>
        <v>898.84713860194597</v>
      </c>
      <c r="AO11" s="184">
        <f>IF((L11+U11/(1+'Global Inputs'!$B$17))=0,0,AN11/(L11+U11/(1+'Global Inputs'!$B$17)))</f>
        <v>0.62744147818311191</v>
      </c>
      <c r="AP11" s="207">
        <f t="shared" si="17"/>
        <v>189.96178465048649</v>
      </c>
      <c r="AQ11" s="185">
        <v>3</v>
      </c>
      <c r="AR11" s="186" t="s">
        <v>1280</v>
      </c>
    </row>
    <row r="12" spans="1:44" ht="39" customHeight="1">
      <c r="A12" s="1" t="s">
        <v>67</v>
      </c>
      <c r="B12" s="1" t="s">
        <v>65</v>
      </c>
      <c r="C12" s="9">
        <v>12</v>
      </c>
      <c r="D12" s="182">
        <v>0.85</v>
      </c>
      <c r="E12" s="10">
        <v>299</v>
      </c>
      <c r="F12" s="11">
        <v>1</v>
      </c>
      <c r="G12" s="10"/>
      <c r="H12" s="10"/>
      <c r="I12" s="10"/>
      <c r="J12" s="12">
        <f>'MVP1 Pricing &amp; SKU'!$B$7*D12</f>
        <v>254.15</v>
      </c>
      <c r="K12" s="218">
        <v>3547.7999999999997</v>
      </c>
      <c r="L12" s="219">
        <f>K12/(1+'Global Inputs'!$B$7)</f>
        <v>3006.6101694915255</v>
      </c>
      <c r="M12" s="218">
        <f>IF(G12="",'Global Inputs'!$B$6,G12)</f>
        <v>0</v>
      </c>
      <c r="N12" s="219">
        <f t="shared" si="0"/>
        <v>0</v>
      </c>
      <c r="O12" s="219">
        <f>K12*'Global Inputs'!$B$8+'Global Inputs'!$B$9</f>
        <v>0</v>
      </c>
      <c r="P12" s="218">
        <f>SUM('Global Inputs'!$B$10:$B$14)</f>
        <v>56.5</v>
      </c>
      <c r="Q12" s="219">
        <f t="shared" si="1"/>
        <v>180.673</v>
      </c>
      <c r="R12" s="219">
        <f t="shared" si="2"/>
        <v>2825.9371694915253</v>
      </c>
      <c r="S12" s="183">
        <f t="shared" si="3"/>
        <v>0.93990807260837694</v>
      </c>
      <c r="T12" s="218">
        <f>IF(H12="",'Global Inputs'!$B$15,H12)</f>
        <v>500</v>
      </c>
      <c r="U12" s="218">
        <f>IF(I12="",'Global Inputs'!$B$16,I12)</f>
        <v>149</v>
      </c>
      <c r="V12" s="219">
        <f t="shared" si="4"/>
        <v>649</v>
      </c>
      <c r="W12" s="219">
        <f>V12*'Global Inputs'!$B$8</f>
        <v>0</v>
      </c>
      <c r="X12" s="218">
        <f>'Global Inputs'!$B$18</f>
        <v>10</v>
      </c>
      <c r="Y12" s="219">
        <f>U12/(1+'Global Inputs'!$B$17)-W12-X12</f>
        <v>139</v>
      </c>
      <c r="Z12" s="219">
        <f t="shared" si="5"/>
        <v>4196.7999999999993</v>
      </c>
      <c r="AA12" s="219">
        <f t="shared" si="6"/>
        <v>690.673</v>
      </c>
      <c r="AB12" s="219">
        <f t="shared" si="7"/>
        <v>2964.9371694915253</v>
      </c>
      <c r="AC12" s="13">
        <f t="shared" si="8"/>
        <v>139</v>
      </c>
      <c r="AD12" s="183">
        <v>0.93957650351002509</v>
      </c>
      <c r="AE12" s="219">
        <f t="shared" si="9"/>
        <v>235.49476412429377</v>
      </c>
      <c r="AF12" s="219">
        <f t="shared" si="10"/>
        <v>247.07809745762711</v>
      </c>
      <c r="AG12" s="207">
        <f>L12*'NC Credits'!$B$15</f>
        <v>124.17299999999999</v>
      </c>
      <c r="AH12" s="219" t="str">
        <f t="shared" si="11"/>
        <v>MANUAL</v>
      </c>
      <c r="AI12" s="207">
        <f t="shared" si="12"/>
        <v>0</v>
      </c>
      <c r="AJ12" s="207">
        <f>'Global Inputs'!$B$33</f>
        <v>103.55029585798816</v>
      </c>
      <c r="AK12" s="207">
        <f t="shared" si="13"/>
        <v>1242.603550295858</v>
      </c>
      <c r="AL12" s="207">
        <f t="shared" si="14"/>
        <v>1583.3336191956673</v>
      </c>
      <c r="AM12" s="184">
        <f t="shared" si="15"/>
        <v>0.52661752935647088</v>
      </c>
      <c r="AN12" s="207">
        <f t="shared" si="16"/>
        <v>1722.3336191956673</v>
      </c>
      <c r="AO12" s="184">
        <f>IF((L12+U12/(1+'Global Inputs'!$B$17))=0,0,AN12/(L12+U12/(1+'Global Inputs'!$B$17)))</f>
        <v>0.54580050344849562</v>
      </c>
      <c r="AP12" s="207">
        <f t="shared" si="17"/>
        <v>131.94446826630562</v>
      </c>
      <c r="AQ12" s="185">
        <v>2</v>
      </c>
      <c r="AR12" s="186" t="s">
        <v>1281</v>
      </c>
    </row>
    <row r="13" spans="1:44" ht="39" customHeight="1">
      <c r="A13" s="1" t="s">
        <v>68</v>
      </c>
      <c r="B13" s="1" t="s">
        <v>65</v>
      </c>
      <c r="C13" s="9">
        <v>12</v>
      </c>
      <c r="D13" s="182">
        <v>0.85</v>
      </c>
      <c r="E13" s="10">
        <v>299</v>
      </c>
      <c r="F13" s="11">
        <v>1</v>
      </c>
      <c r="G13" s="10"/>
      <c r="H13" s="10"/>
      <c r="I13" s="10"/>
      <c r="J13" s="12">
        <f>'MVP1 Pricing &amp; SKU'!$B$7*D13</f>
        <v>254.15</v>
      </c>
      <c r="K13" s="218">
        <v>3547.7999999999997</v>
      </c>
      <c r="L13" s="219">
        <f>K13/(1+'Global Inputs'!$B$7)</f>
        <v>3006.6101694915255</v>
      </c>
      <c r="M13" s="218">
        <f>IF(G13="",'Global Inputs'!$B$6,G13)</f>
        <v>0</v>
      </c>
      <c r="N13" s="219">
        <f t="shared" si="0"/>
        <v>0</v>
      </c>
      <c r="O13" s="219">
        <f>K13*'Global Inputs'!$B$8+'Global Inputs'!$B$9</f>
        <v>0</v>
      </c>
      <c r="P13" s="218">
        <f>SUM('Global Inputs'!$B$10:$B$14)</f>
        <v>56.5</v>
      </c>
      <c r="Q13" s="219">
        <f t="shared" si="1"/>
        <v>180.673</v>
      </c>
      <c r="R13" s="219">
        <f t="shared" si="2"/>
        <v>2825.9371694915253</v>
      </c>
      <c r="S13" s="183">
        <f t="shared" si="3"/>
        <v>0.93990807260837694</v>
      </c>
      <c r="T13" s="218">
        <f>IF(H13="",'Global Inputs'!$B$15,H13)</f>
        <v>500</v>
      </c>
      <c r="U13" s="218">
        <f>IF(I13="",'Global Inputs'!$B$16,I13)</f>
        <v>149</v>
      </c>
      <c r="V13" s="219">
        <f t="shared" si="4"/>
        <v>649</v>
      </c>
      <c r="W13" s="219">
        <f>V13*'Global Inputs'!$B$8</f>
        <v>0</v>
      </c>
      <c r="X13" s="218">
        <f>'Global Inputs'!$B$18</f>
        <v>10</v>
      </c>
      <c r="Y13" s="219">
        <f>U13/(1+'Global Inputs'!$B$17)-W13-X13</f>
        <v>139</v>
      </c>
      <c r="Z13" s="219">
        <f t="shared" si="5"/>
        <v>4196.7999999999993</v>
      </c>
      <c r="AA13" s="219">
        <f t="shared" si="6"/>
        <v>690.673</v>
      </c>
      <c r="AB13" s="219">
        <f t="shared" si="7"/>
        <v>2964.9371694915253</v>
      </c>
      <c r="AC13" s="13">
        <f t="shared" si="8"/>
        <v>139</v>
      </c>
      <c r="AD13" s="183">
        <v>0.93957650351002509</v>
      </c>
      <c r="AE13" s="219">
        <f t="shared" si="9"/>
        <v>235.49476412429377</v>
      </c>
      <c r="AF13" s="219">
        <f t="shared" si="10"/>
        <v>247.07809745762711</v>
      </c>
      <c r="AG13" s="207">
        <f>L13*'NC Credits'!$B$15</f>
        <v>124.17299999999999</v>
      </c>
      <c r="AH13" s="219" t="str">
        <f t="shared" si="11"/>
        <v>MANUAL</v>
      </c>
      <c r="AI13" s="207">
        <f t="shared" si="12"/>
        <v>0</v>
      </c>
      <c r="AJ13" s="207">
        <f>'Global Inputs'!$B$33</f>
        <v>103.55029585798816</v>
      </c>
      <c r="AK13" s="207">
        <f t="shared" si="13"/>
        <v>1242.603550295858</v>
      </c>
      <c r="AL13" s="207">
        <f t="shared" si="14"/>
        <v>1583.3336191956673</v>
      </c>
      <c r="AM13" s="184">
        <f t="shared" si="15"/>
        <v>0.52661752935647088</v>
      </c>
      <c r="AN13" s="207">
        <f t="shared" si="16"/>
        <v>1722.3336191956673</v>
      </c>
      <c r="AO13" s="184">
        <f>IF((L13+U13/(1+'Global Inputs'!$B$17))=0,0,AN13/(L13+U13/(1+'Global Inputs'!$B$17)))</f>
        <v>0.54580050344849562</v>
      </c>
      <c r="AP13" s="207">
        <f t="shared" si="17"/>
        <v>131.94446826630562</v>
      </c>
      <c r="AQ13" s="185">
        <v>2</v>
      </c>
      <c r="AR13" s="186" t="s">
        <v>1282</v>
      </c>
    </row>
    <row r="14" spans="1:44" ht="39" customHeight="1">
      <c r="A14" s="1" t="s">
        <v>69</v>
      </c>
      <c r="B14" s="1" t="s">
        <v>70</v>
      </c>
      <c r="C14" s="9">
        <v>6</v>
      </c>
      <c r="D14" s="182">
        <v>1.2</v>
      </c>
      <c r="E14" s="10">
        <v>0</v>
      </c>
      <c r="F14" s="11">
        <v>1</v>
      </c>
      <c r="G14" s="10"/>
      <c r="H14" s="10"/>
      <c r="I14" s="10"/>
      <c r="J14" s="12">
        <f>'MVP1 Pricing &amp; SKU'!$B$7*D14</f>
        <v>358.8</v>
      </c>
      <c r="K14" s="218">
        <v>2351.7999999999997</v>
      </c>
      <c r="L14" s="219">
        <f>K14/(1+'Global Inputs'!$B$7)</f>
        <v>1993.050847457627</v>
      </c>
      <c r="M14" s="218">
        <f>IF(G14="",'Global Inputs'!$B$6,G14)</f>
        <v>0</v>
      </c>
      <c r="N14" s="219">
        <f t="shared" si="0"/>
        <v>0</v>
      </c>
      <c r="O14" s="219">
        <f>K14*'Global Inputs'!$B$8+'Global Inputs'!$B$9</f>
        <v>0</v>
      </c>
      <c r="P14" s="218">
        <f>SUM('Global Inputs'!$B$10:$B$14)</f>
        <v>56.5</v>
      </c>
      <c r="Q14" s="219">
        <f t="shared" si="1"/>
        <v>138.81299999999999</v>
      </c>
      <c r="R14" s="219">
        <f t="shared" si="2"/>
        <v>1854.2378474576271</v>
      </c>
      <c r="S14" s="183">
        <f t="shared" si="3"/>
        <v>0.93035150097797437</v>
      </c>
      <c r="T14" s="218">
        <f>IF(H14="",'Global Inputs'!$B$15,H14)</f>
        <v>500</v>
      </c>
      <c r="U14" s="218">
        <f>IF(I14="",'Global Inputs'!$B$16,I14)</f>
        <v>149</v>
      </c>
      <c r="V14" s="219">
        <f t="shared" si="4"/>
        <v>649</v>
      </c>
      <c r="W14" s="219">
        <f>V14*'Global Inputs'!$B$8</f>
        <v>0</v>
      </c>
      <c r="X14" s="218">
        <f>'Global Inputs'!$B$18</f>
        <v>10</v>
      </c>
      <c r="Y14" s="219">
        <f>U14/(1+'Global Inputs'!$B$17)-W14-X14</f>
        <v>139</v>
      </c>
      <c r="Z14" s="219">
        <f t="shared" si="5"/>
        <v>3000.7999999999997</v>
      </c>
      <c r="AA14" s="219">
        <f t="shared" si="6"/>
        <v>648.81299999999999</v>
      </c>
      <c r="AB14" s="219">
        <f t="shared" si="7"/>
        <v>1993.2378474576271</v>
      </c>
      <c r="AC14" s="13">
        <f t="shared" si="8"/>
        <v>139</v>
      </c>
      <c r="AD14" s="183">
        <v>0.93052779294355947</v>
      </c>
      <c r="AE14" s="219">
        <f t="shared" si="9"/>
        <v>309.03964124293788</v>
      </c>
      <c r="AF14" s="219">
        <f t="shared" si="10"/>
        <v>332.2063079096045</v>
      </c>
      <c r="AG14" s="207">
        <f>L14*'NC Credits'!$B$15</f>
        <v>82.312999999999988</v>
      </c>
      <c r="AH14" s="219" t="str">
        <f t="shared" si="11"/>
        <v>AUTO</v>
      </c>
      <c r="AI14" s="207">
        <f t="shared" si="12"/>
        <v>0</v>
      </c>
      <c r="AJ14" s="207">
        <f>'Global Inputs'!$B$33</f>
        <v>103.55029585798816</v>
      </c>
      <c r="AK14" s="207">
        <f t="shared" si="13"/>
        <v>621.30177514792899</v>
      </c>
      <c r="AL14" s="207">
        <f t="shared" si="14"/>
        <v>1232.9360723096981</v>
      </c>
      <c r="AM14" s="184">
        <f t="shared" si="15"/>
        <v>0.61861746973613563</v>
      </c>
      <c r="AN14" s="207">
        <f t="shared" si="16"/>
        <v>1371.9360723096981</v>
      </c>
      <c r="AO14" s="184">
        <f>IF((L14+U14/(1+'Global Inputs'!$B$17))=0,0,AN14/(L14+U14/(1+'Global Inputs'!$B$17)))</f>
        <v>0.64047782709641632</v>
      </c>
      <c r="AP14" s="207">
        <f t="shared" si="17"/>
        <v>205.4893453849497</v>
      </c>
      <c r="AQ14" s="185">
        <v>3</v>
      </c>
      <c r="AR14" s="186" t="s">
        <v>1283</v>
      </c>
    </row>
    <row r="15" spans="1:44" ht="39" customHeight="1">
      <c r="A15" s="1" t="s">
        <v>71</v>
      </c>
      <c r="B15" s="1" t="s">
        <v>70</v>
      </c>
      <c r="C15" s="9">
        <v>4</v>
      </c>
      <c r="D15" s="182">
        <v>1.1000000000000001</v>
      </c>
      <c r="E15" s="10">
        <v>0</v>
      </c>
      <c r="F15" s="11">
        <v>1</v>
      </c>
      <c r="G15" s="10"/>
      <c r="H15" s="10"/>
      <c r="I15" s="10"/>
      <c r="J15" s="12">
        <f>'MVP1 Pricing &amp; SKU'!$B$7*D15</f>
        <v>328.90000000000003</v>
      </c>
      <c r="K15" s="218">
        <v>1514.6000000000001</v>
      </c>
      <c r="L15" s="219">
        <f>K15/(1+'Global Inputs'!$B$7)</f>
        <v>1283.5593220338985</v>
      </c>
      <c r="M15" s="218">
        <f>IF(G15="",'Global Inputs'!$B$6,G15)</f>
        <v>0</v>
      </c>
      <c r="N15" s="219">
        <f t="shared" si="0"/>
        <v>0</v>
      </c>
      <c r="O15" s="219">
        <f>K15*'Global Inputs'!$B$8+'Global Inputs'!$B$9</f>
        <v>0</v>
      </c>
      <c r="P15" s="218">
        <f>SUM('Global Inputs'!$B$10:$B$14)</f>
        <v>56.5</v>
      </c>
      <c r="Q15" s="219">
        <f t="shared" si="1"/>
        <v>109.511</v>
      </c>
      <c r="R15" s="219">
        <f t="shared" si="2"/>
        <v>1174.0483220338986</v>
      </c>
      <c r="S15" s="183">
        <f t="shared" si="3"/>
        <v>0.91468177736696166</v>
      </c>
      <c r="T15" s="218">
        <f>IF(H15="",'Global Inputs'!$B$15,H15)</f>
        <v>500</v>
      </c>
      <c r="U15" s="218">
        <f>IF(I15="",'Global Inputs'!$B$16,I15)</f>
        <v>149</v>
      </c>
      <c r="V15" s="219">
        <f t="shared" si="4"/>
        <v>649</v>
      </c>
      <c r="W15" s="219">
        <f>V15*'Global Inputs'!$B$8</f>
        <v>0</v>
      </c>
      <c r="X15" s="218">
        <f>'Global Inputs'!$B$18</f>
        <v>10</v>
      </c>
      <c r="Y15" s="219">
        <f>U15/(1+'Global Inputs'!$B$17)-W15-X15</f>
        <v>139</v>
      </c>
      <c r="Z15" s="219">
        <f t="shared" si="5"/>
        <v>2163.6000000000004</v>
      </c>
      <c r="AA15" s="219">
        <f t="shared" si="6"/>
        <v>619.51099999999997</v>
      </c>
      <c r="AB15" s="219">
        <f t="shared" si="7"/>
        <v>1313.0483220338986</v>
      </c>
      <c r="AC15" s="13">
        <f t="shared" si="8"/>
        <v>139</v>
      </c>
      <c r="AD15" s="183">
        <v>0.91657518249902392</v>
      </c>
      <c r="AE15" s="219">
        <f t="shared" si="9"/>
        <v>293.51208050847464</v>
      </c>
      <c r="AF15" s="219">
        <f t="shared" si="10"/>
        <v>328.26208050847464</v>
      </c>
      <c r="AG15" s="207">
        <f>L15*'NC Credits'!$B$15</f>
        <v>53.011000000000003</v>
      </c>
      <c r="AH15" s="219" t="str">
        <f t="shared" si="11"/>
        <v>AUTO</v>
      </c>
      <c r="AI15" s="207">
        <f t="shared" si="12"/>
        <v>0</v>
      </c>
      <c r="AJ15" s="207">
        <f>'Global Inputs'!$B$33</f>
        <v>103.55029585798816</v>
      </c>
      <c r="AK15" s="207">
        <f t="shared" si="13"/>
        <v>414.20118343195264</v>
      </c>
      <c r="AL15" s="207">
        <f t="shared" si="14"/>
        <v>759.84713860194597</v>
      </c>
      <c r="AM15" s="184">
        <f t="shared" si="15"/>
        <v>0.59198443387712674</v>
      </c>
      <c r="AN15" s="207">
        <f t="shared" si="16"/>
        <v>898.84713860194597</v>
      </c>
      <c r="AO15" s="184">
        <f>IF((L15+U15/(1+'Global Inputs'!$B$17))=0,0,AN15/(L15+U15/(1+'Global Inputs'!$B$17)))</f>
        <v>0.62744147818311191</v>
      </c>
      <c r="AP15" s="207">
        <f t="shared" si="17"/>
        <v>189.96178465048649</v>
      </c>
      <c r="AQ15" s="185">
        <v>2</v>
      </c>
      <c r="AR15" s="186" t="s">
        <v>1284</v>
      </c>
    </row>
    <row r="16" spans="1:44" ht="39" customHeight="1">
      <c r="A16" s="1" t="s">
        <v>72</v>
      </c>
      <c r="B16" s="1" t="s">
        <v>70</v>
      </c>
      <c r="C16" s="9">
        <v>3</v>
      </c>
      <c r="D16" s="182">
        <v>1</v>
      </c>
      <c r="E16" s="10">
        <v>0</v>
      </c>
      <c r="F16" s="11">
        <v>1</v>
      </c>
      <c r="G16" s="10"/>
      <c r="H16" s="10"/>
      <c r="I16" s="10"/>
      <c r="J16" s="12">
        <f>'MVP1 Pricing &amp; SKU'!$B$7*D16</f>
        <v>299</v>
      </c>
      <c r="K16" s="218">
        <v>1096</v>
      </c>
      <c r="L16" s="219">
        <f>K16/(1+'Global Inputs'!$B$7)</f>
        <v>928.81355932203394</v>
      </c>
      <c r="M16" s="218">
        <f>IF(G16="",'Global Inputs'!$B$6,G16)</f>
        <v>0</v>
      </c>
      <c r="N16" s="219">
        <f t="shared" si="0"/>
        <v>0</v>
      </c>
      <c r="O16" s="219">
        <f>K16*'Global Inputs'!$B$8+'Global Inputs'!$B$9</f>
        <v>0</v>
      </c>
      <c r="P16" s="218">
        <f>SUM('Global Inputs'!$B$10:$B$14)</f>
        <v>56.5</v>
      </c>
      <c r="Q16" s="219">
        <f t="shared" si="1"/>
        <v>94.86</v>
      </c>
      <c r="R16" s="219">
        <f t="shared" si="2"/>
        <v>833.95355932203393</v>
      </c>
      <c r="S16" s="183">
        <f t="shared" si="3"/>
        <v>0.89786970802919708</v>
      </c>
      <c r="T16" s="218">
        <f>IF(H16="",'Global Inputs'!$B$15,H16)</f>
        <v>500</v>
      </c>
      <c r="U16" s="218">
        <f>IF(I16="",'Global Inputs'!$B$16,I16)</f>
        <v>149</v>
      </c>
      <c r="V16" s="219">
        <f t="shared" si="4"/>
        <v>649</v>
      </c>
      <c r="W16" s="219">
        <f>V16*'Global Inputs'!$B$8</f>
        <v>0</v>
      </c>
      <c r="X16" s="218">
        <f>'Global Inputs'!$B$18</f>
        <v>10</v>
      </c>
      <c r="Y16" s="219">
        <f>U16/(1+'Global Inputs'!$B$17)-W16-X16</f>
        <v>139</v>
      </c>
      <c r="Z16" s="219">
        <f t="shared" si="5"/>
        <v>1745</v>
      </c>
      <c r="AA16" s="219">
        <f t="shared" si="6"/>
        <v>604.86</v>
      </c>
      <c r="AB16" s="219">
        <f t="shared" si="7"/>
        <v>972.95355932203393</v>
      </c>
      <c r="AC16" s="13">
        <f t="shared" si="8"/>
        <v>139</v>
      </c>
      <c r="AD16" s="183">
        <v>0.90271044644682408</v>
      </c>
      <c r="AE16" s="219">
        <f t="shared" si="9"/>
        <v>277.98451977401129</v>
      </c>
      <c r="AF16" s="219">
        <f t="shared" si="10"/>
        <v>324.31785310734466</v>
      </c>
      <c r="AG16" s="207">
        <f>L16*'NC Credits'!$B$15</f>
        <v>38.36</v>
      </c>
      <c r="AH16" s="219" t="str">
        <f t="shared" si="11"/>
        <v>AUTO</v>
      </c>
      <c r="AI16" s="207">
        <f t="shared" si="12"/>
        <v>0</v>
      </c>
      <c r="AJ16" s="207">
        <f>'Global Inputs'!$B$33</f>
        <v>103.55029585798816</v>
      </c>
      <c r="AK16" s="207">
        <f t="shared" si="13"/>
        <v>310.6508875739645</v>
      </c>
      <c r="AL16" s="207">
        <f t="shared" si="14"/>
        <v>523.30267174806943</v>
      </c>
      <c r="AM16" s="184">
        <f t="shared" si="15"/>
        <v>0.56340981082365138</v>
      </c>
      <c r="AN16" s="207">
        <f t="shared" si="16"/>
        <v>662.30267174806943</v>
      </c>
      <c r="AO16" s="184">
        <f>IF((L16+U16/(1+'Global Inputs'!$B$17))=0,0,AN16/(L16+U16/(1+'Global Inputs'!$B$17)))</f>
        <v>0.6144872329910851</v>
      </c>
      <c r="AP16" s="207">
        <f t="shared" si="17"/>
        <v>174.43422391602314</v>
      </c>
      <c r="AQ16" s="185">
        <v>3</v>
      </c>
      <c r="AR16" s="186" t="s">
        <v>1285</v>
      </c>
    </row>
    <row r="17" spans="1:44" ht="39" customHeight="1">
      <c r="A17" s="1" t="s">
        <v>73</v>
      </c>
      <c r="B17" s="1" t="s">
        <v>74</v>
      </c>
      <c r="C17" s="9">
        <v>5</v>
      </c>
      <c r="D17" s="182">
        <v>0.9</v>
      </c>
      <c r="E17" s="10">
        <v>0</v>
      </c>
      <c r="F17" s="11">
        <v>1</v>
      </c>
      <c r="G17" s="10"/>
      <c r="H17" s="10"/>
      <c r="I17" s="10"/>
      <c r="J17" s="12">
        <f>'MVP1 Pricing &amp; SKU'!$B$7*D17</f>
        <v>269.10000000000002</v>
      </c>
      <c r="K17" s="218">
        <v>1544.5</v>
      </c>
      <c r="L17" s="219">
        <f>K17/(1+'Global Inputs'!$B$7)</f>
        <v>1308.8983050847457</v>
      </c>
      <c r="M17" s="218">
        <f>IF(G17="",'Global Inputs'!$B$6,G17)</f>
        <v>0</v>
      </c>
      <c r="N17" s="219">
        <f t="shared" si="0"/>
        <v>0</v>
      </c>
      <c r="O17" s="219">
        <f>K17*'Global Inputs'!$B$8+'Global Inputs'!$B$9</f>
        <v>0</v>
      </c>
      <c r="P17" s="218">
        <f>SUM('Global Inputs'!$B$10:$B$14)</f>
        <v>56.5</v>
      </c>
      <c r="Q17" s="219">
        <f t="shared" si="1"/>
        <v>110.5575</v>
      </c>
      <c r="R17" s="219">
        <f t="shared" si="2"/>
        <v>1198.3408050847456</v>
      </c>
      <c r="S17" s="183">
        <f t="shared" si="3"/>
        <v>0.91553392683716406</v>
      </c>
      <c r="T17" s="218">
        <f>IF(H17="",'Global Inputs'!$B$15,H17)</f>
        <v>500</v>
      </c>
      <c r="U17" s="218">
        <f>IF(I17="",'Global Inputs'!$B$16,I17)</f>
        <v>149</v>
      </c>
      <c r="V17" s="219">
        <f t="shared" si="4"/>
        <v>649</v>
      </c>
      <c r="W17" s="219">
        <f>V17*'Global Inputs'!$B$8</f>
        <v>0</v>
      </c>
      <c r="X17" s="218">
        <f>'Global Inputs'!$B$18</f>
        <v>10</v>
      </c>
      <c r="Y17" s="219">
        <f>U17/(1+'Global Inputs'!$B$17)-W17-X17</f>
        <v>139</v>
      </c>
      <c r="Z17" s="219">
        <f t="shared" si="5"/>
        <v>2193.5</v>
      </c>
      <c r="AA17" s="219">
        <f t="shared" si="6"/>
        <v>620.5575</v>
      </c>
      <c r="AB17" s="219">
        <f t="shared" si="7"/>
        <v>1337.3408050847456</v>
      </c>
      <c r="AC17" s="13">
        <f t="shared" si="8"/>
        <v>139</v>
      </c>
      <c r="AD17" s="183">
        <v>0.91730733235677075</v>
      </c>
      <c r="AE17" s="219">
        <f t="shared" si="9"/>
        <v>239.66816101694911</v>
      </c>
      <c r="AF17" s="219">
        <f t="shared" si="10"/>
        <v>267.46816101694913</v>
      </c>
      <c r="AG17" s="207">
        <f>L17*'NC Credits'!$B$15</f>
        <v>54.057499999999997</v>
      </c>
      <c r="AH17" s="219" t="str">
        <f t="shared" si="11"/>
        <v>AUTO</v>
      </c>
      <c r="AI17" s="207">
        <f t="shared" si="12"/>
        <v>0</v>
      </c>
      <c r="AJ17" s="207">
        <f>'Global Inputs'!$B$33</f>
        <v>103.55029585798816</v>
      </c>
      <c r="AK17" s="207">
        <f t="shared" si="13"/>
        <v>517.75147928994079</v>
      </c>
      <c r="AL17" s="207">
        <f t="shared" si="14"/>
        <v>680.58932579480484</v>
      </c>
      <c r="AM17" s="184">
        <f t="shared" si="15"/>
        <v>0.51997112621422448</v>
      </c>
      <c r="AN17" s="207">
        <f t="shared" si="16"/>
        <v>819.58932579480484</v>
      </c>
      <c r="AO17" s="184">
        <f>IF((L17+U17/(1+'Global Inputs'!$B$17))=0,0,AN17/(L17+U17/(1+'Global Inputs'!$B$17)))</f>
        <v>0.56217180782521259</v>
      </c>
      <c r="AP17" s="207">
        <f t="shared" si="17"/>
        <v>136.11786515896097</v>
      </c>
      <c r="AQ17" s="185">
        <v>5</v>
      </c>
      <c r="AR17" s="186" t="s">
        <v>1286</v>
      </c>
    </row>
    <row r="18" spans="1:44" ht="39" customHeight="1">
      <c r="A18" s="1" t="s">
        <v>75</v>
      </c>
      <c r="B18" s="1" t="s">
        <v>74</v>
      </c>
      <c r="C18" s="9">
        <v>6</v>
      </c>
      <c r="D18" s="182">
        <v>1</v>
      </c>
      <c r="E18" s="10">
        <v>0</v>
      </c>
      <c r="F18" s="11">
        <v>1</v>
      </c>
      <c r="G18" s="10"/>
      <c r="H18" s="10"/>
      <c r="I18" s="10"/>
      <c r="J18" s="12">
        <f>'MVP1 Pricing &amp; SKU'!$B$7*D18</f>
        <v>299</v>
      </c>
      <c r="K18" s="218">
        <v>1993</v>
      </c>
      <c r="L18" s="219">
        <f>K18/(1+'Global Inputs'!$B$7)</f>
        <v>1688.9830508474577</v>
      </c>
      <c r="M18" s="218">
        <f>IF(G18="",'Global Inputs'!$B$6,G18)</f>
        <v>0</v>
      </c>
      <c r="N18" s="219">
        <f t="shared" si="0"/>
        <v>0</v>
      </c>
      <c r="O18" s="219">
        <f>K18*'Global Inputs'!$B$8+'Global Inputs'!$B$9</f>
        <v>0</v>
      </c>
      <c r="P18" s="218">
        <f>SUM('Global Inputs'!$B$10:$B$14)</f>
        <v>56.5</v>
      </c>
      <c r="Q18" s="219">
        <f t="shared" si="1"/>
        <v>126.255</v>
      </c>
      <c r="R18" s="219">
        <f t="shared" si="2"/>
        <v>1562.7280508474578</v>
      </c>
      <c r="S18" s="183">
        <f t="shared" si="3"/>
        <v>0.925247917711992</v>
      </c>
      <c r="T18" s="218">
        <f>IF(H18="",'Global Inputs'!$B$15,H18)</f>
        <v>500</v>
      </c>
      <c r="U18" s="218">
        <f>IF(I18="",'Global Inputs'!$B$16,I18)</f>
        <v>149</v>
      </c>
      <c r="V18" s="219">
        <f t="shared" si="4"/>
        <v>649</v>
      </c>
      <c r="W18" s="219">
        <f>V18*'Global Inputs'!$B$8</f>
        <v>0</v>
      </c>
      <c r="X18" s="218">
        <f>'Global Inputs'!$B$18</f>
        <v>10</v>
      </c>
      <c r="Y18" s="219">
        <f>U18/(1+'Global Inputs'!$B$17)-W18-X18</f>
        <v>139</v>
      </c>
      <c r="Z18" s="219">
        <f t="shared" si="5"/>
        <v>2642</v>
      </c>
      <c r="AA18" s="219">
        <f t="shared" si="6"/>
        <v>636.255</v>
      </c>
      <c r="AB18" s="219">
        <f t="shared" si="7"/>
        <v>1701.7280508474578</v>
      </c>
      <c r="AC18" s="13">
        <f t="shared" si="8"/>
        <v>139</v>
      </c>
      <c r="AD18" s="183">
        <v>0.92586710745935585</v>
      </c>
      <c r="AE18" s="219">
        <f t="shared" si="9"/>
        <v>260.45467514124294</v>
      </c>
      <c r="AF18" s="219">
        <f t="shared" si="10"/>
        <v>283.62134180790963</v>
      </c>
      <c r="AG18" s="207">
        <f>L18*'NC Credits'!$B$15</f>
        <v>69.754999999999995</v>
      </c>
      <c r="AH18" s="219" t="str">
        <f t="shared" si="11"/>
        <v>AUTO</v>
      </c>
      <c r="AI18" s="207">
        <f t="shared" si="12"/>
        <v>0</v>
      </c>
      <c r="AJ18" s="207">
        <f>'Global Inputs'!$B$33</f>
        <v>103.55029585798816</v>
      </c>
      <c r="AK18" s="207">
        <f t="shared" si="13"/>
        <v>621.30177514792899</v>
      </c>
      <c r="AL18" s="207">
        <f t="shared" si="14"/>
        <v>941.42627569952879</v>
      </c>
      <c r="AM18" s="184">
        <f t="shared" si="15"/>
        <v>0.55739237597864721</v>
      </c>
      <c r="AN18" s="207">
        <f t="shared" si="16"/>
        <v>1080.4262756995288</v>
      </c>
      <c r="AO18" s="184">
        <f>IF((L18+U18/(1+'Global Inputs'!$B$17))=0,0,AN18/(L18+U18/(1+'Global Inputs'!$B$17)))</f>
        <v>0.58783255656322053</v>
      </c>
      <c r="AP18" s="207">
        <f t="shared" si="17"/>
        <v>156.9043792832548</v>
      </c>
      <c r="AQ18" s="185">
        <v>5</v>
      </c>
      <c r="AR18" s="186" t="s">
        <v>1287</v>
      </c>
    </row>
    <row r="19" spans="1:44" ht="39" customHeight="1">
      <c r="A19" s="1" t="s">
        <v>76</v>
      </c>
      <c r="B19" s="1" t="s">
        <v>74</v>
      </c>
      <c r="C19" s="9">
        <v>3</v>
      </c>
      <c r="D19" s="182">
        <v>0.95</v>
      </c>
      <c r="E19" s="10">
        <v>0</v>
      </c>
      <c r="F19" s="11">
        <v>1</v>
      </c>
      <c r="G19" s="10"/>
      <c r="H19" s="10"/>
      <c r="I19" s="10"/>
      <c r="J19" s="12">
        <f>'MVP1 Pricing &amp; SKU'!$B$7*D19</f>
        <v>284.05</v>
      </c>
      <c r="K19" s="218">
        <v>1051.1500000000001</v>
      </c>
      <c r="L19" s="219">
        <f>K19/(1+'Global Inputs'!$B$7)</f>
        <v>890.80508474576288</v>
      </c>
      <c r="M19" s="218">
        <f>IF(G19="",'Global Inputs'!$B$6,G19)</f>
        <v>0</v>
      </c>
      <c r="N19" s="219">
        <f t="shared" si="0"/>
        <v>0</v>
      </c>
      <c r="O19" s="219">
        <f>K19*'Global Inputs'!$B$8+'Global Inputs'!$B$9</f>
        <v>0</v>
      </c>
      <c r="P19" s="218">
        <f>SUM('Global Inputs'!$B$10:$B$14)</f>
        <v>56.5</v>
      </c>
      <c r="Q19" s="219">
        <f t="shared" si="1"/>
        <v>93.290250000000015</v>
      </c>
      <c r="R19" s="219">
        <f t="shared" si="2"/>
        <v>797.51483474576287</v>
      </c>
      <c r="S19" s="183">
        <f t="shared" si="3"/>
        <v>0.89527422822622837</v>
      </c>
      <c r="T19" s="218">
        <f>IF(H19="",'Global Inputs'!$B$15,H19)</f>
        <v>500</v>
      </c>
      <c r="U19" s="218">
        <f>IF(I19="",'Global Inputs'!$B$16,I19)</f>
        <v>149</v>
      </c>
      <c r="V19" s="219">
        <f t="shared" si="4"/>
        <v>649</v>
      </c>
      <c r="W19" s="219">
        <f>V19*'Global Inputs'!$B$8</f>
        <v>0</v>
      </c>
      <c r="X19" s="218">
        <f>'Global Inputs'!$B$18</f>
        <v>10</v>
      </c>
      <c r="Y19" s="219">
        <f>U19/(1+'Global Inputs'!$B$17)-W19-X19</f>
        <v>139</v>
      </c>
      <c r="Z19" s="219">
        <f t="shared" si="5"/>
        <v>1700.15</v>
      </c>
      <c r="AA19" s="219">
        <f t="shared" si="6"/>
        <v>603.29025000000001</v>
      </c>
      <c r="AB19" s="219">
        <f t="shared" si="7"/>
        <v>936.51483474576287</v>
      </c>
      <c r="AC19" s="13">
        <f t="shared" si="8"/>
        <v>139</v>
      </c>
      <c r="AD19" s="183">
        <v>0.90066383448658072</v>
      </c>
      <c r="AE19" s="219">
        <f t="shared" si="9"/>
        <v>265.83827824858764</v>
      </c>
      <c r="AF19" s="219">
        <f t="shared" si="10"/>
        <v>312.17161158192096</v>
      </c>
      <c r="AG19" s="207">
        <f>L19*'NC Credits'!$B$15</f>
        <v>36.790250000000007</v>
      </c>
      <c r="AH19" s="219" t="str">
        <f t="shared" si="11"/>
        <v>AUTO</v>
      </c>
      <c r="AI19" s="207">
        <f t="shared" si="12"/>
        <v>0</v>
      </c>
      <c r="AJ19" s="207">
        <f>'Global Inputs'!$B$33</f>
        <v>103.55029585798816</v>
      </c>
      <c r="AK19" s="207">
        <f t="shared" si="13"/>
        <v>310.6508875739645</v>
      </c>
      <c r="AL19" s="207">
        <f t="shared" si="14"/>
        <v>486.86394717179837</v>
      </c>
      <c r="AM19" s="184">
        <f t="shared" si="15"/>
        <v>0.54654374510081527</v>
      </c>
      <c r="AN19" s="207">
        <f t="shared" si="16"/>
        <v>625.86394717179837</v>
      </c>
      <c r="AO19" s="184">
        <f>IF((L19+U19/(1+'Global Inputs'!$B$17))=0,0,AN19/(L19+U19/(1+'Global Inputs'!$B$17)))</f>
        <v>0.6019050650486335</v>
      </c>
      <c r="AP19" s="207">
        <f t="shared" si="17"/>
        <v>162.28798239059947</v>
      </c>
      <c r="AQ19" s="185">
        <v>5</v>
      </c>
      <c r="AR19" s="186" t="s">
        <v>1288</v>
      </c>
    </row>
    <row r="20" spans="1:44" ht="39" customHeight="1">
      <c r="A20" s="1" t="s">
        <v>77</v>
      </c>
      <c r="B20" s="1" t="s">
        <v>74</v>
      </c>
      <c r="C20" s="9">
        <v>2</v>
      </c>
      <c r="D20" s="182">
        <v>0.85</v>
      </c>
      <c r="E20" s="10">
        <v>0</v>
      </c>
      <c r="F20" s="11">
        <v>1</v>
      </c>
      <c r="G20" s="10"/>
      <c r="H20" s="10"/>
      <c r="I20" s="10"/>
      <c r="J20" s="12">
        <f>'MVP1 Pricing &amp; SKU'!$B$7*D20</f>
        <v>254.15</v>
      </c>
      <c r="K20" s="218">
        <v>707.3</v>
      </c>
      <c r="L20" s="219">
        <f>K20/(1+'Global Inputs'!$B$7)</f>
        <v>599.40677966101691</v>
      </c>
      <c r="M20" s="218">
        <f>IF(G20="",'Global Inputs'!$B$6,G20)</f>
        <v>0</v>
      </c>
      <c r="N20" s="219">
        <f t="shared" si="0"/>
        <v>0</v>
      </c>
      <c r="O20" s="219">
        <f>K20*'Global Inputs'!$B$8+'Global Inputs'!$B$9</f>
        <v>0</v>
      </c>
      <c r="P20" s="218">
        <f>SUM('Global Inputs'!$B$10:$B$14)</f>
        <v>56.5</v>
      </c>
      <c r="Q20" s="219">
        <f t="shared" si="1"/>
        <v>81.255499999999998</v>
      </c>
      <c r="R20" s="219">
        <f t="shared" si="2"/>
        <v>518.15127966101693</v>
      </c>
      <c r="S20" s="183">
        <f t="shared" si="3"/>
        <v>0.86444013855506863</v>
      </c>
      <c r="T20" s="218">
        <f>IF(H20="",'Global Inputs'!$B$15,H20)</f>
        <v>500</v>
      </c>
      <c r="U20" s="218">
        <f>IF(I20="",'Global Inputs'!$B$16,I20)</f>
        <v>149</v>
      </c>
      <c r="V20" s="219">
        <f t="shared" si="4"/>
        <v>649</v>
      </c>
      <c r="W20" s="219">
        <f>V20*'Global Inputs'!$B$8</f>
        <v>0</v>
      </c>
      <c r="X20" s="218">
        <f>'Global Inputs'!$B$18</f>
        <v>10</v>
      </c>
      <c r="Y20" s="219">
        <f>U20/(1+'Global Inputs'!$B$17)-W20-X20</f>
        <v>139</v>
      </c>
      <c r="Z20" s="219">
        <f t="shared" si="5"/>
        <v>1356.3</v>
      </c>
      <c r="AA20" s="219">
        <f t="shared" si="6"/>
        <v>591.25549999999998</v>
      </c>
      <c r="AB20" s="219">
        <f t="shared" si="7"/>
        <v>657.15127966101693</v>
      </c>
      <c r="AC20" s="13">
        <f t="shared" si="8"/>
        <v>139</v>
      </c>
      <c r="AD20" s="183">
        <v>0.87806697844007608</v>
      </c>
      <c r="AE20" s="219">
        <f t="shared" si="9"/>
        <v>259.07563983050846</v>
      </c>
      <c r="AF20" s="219">
        <f t="shared" si="10"/>
        <v>328.57563983050846</v>
      </c>
      <c r="AG20" s="207">
        <f>L20*'NC Credits'!$B$15</f>
        <v>24.755499999999998</v>
      </c>
      <c r="AH20" s="219" t="str">
        <f t="shared" si="11"/>
        <v>AUTO</v>
      </c>
      <c r="AI20" s="207">
        <f t="shared" si="12"/>
        <v>0</v>
      </c>
      <c r="AJ20" s="207">
        <f>'Global Inputs'!$B$33</f>
        <v>103.55029585798816</v>
      </c>
      <c r="AK20" s="207">
        <f t="shared" si="13"/>
        <v>207.10059171597632</v>
      </c>
      <c r="AL20" s="207">
        <f t="shared" si="14"/>
        <v>311.05068794504064</v>
      </c>
      <c r="AM20" s="184">
        <f t="shared" si="15"/>
        <v>0.51893088049646252</v>
      </c>
      <c r="AN20" s="207">
        <f t="shared" si="16"/>
        <v>450.05068794504064</v>
      </c>
      <c r="AO20" s="184">
        <f>IF((L20+U20/(1+'Global Inputs'!$B$17))=0,0,AN20/(L20+U20/(1+'Global Inputs'!$B$17)))</f>
        <v>0.60134501741003255</v>
      </c>
      <c r="AP20" s="207">
        <f t="shared" si="17"/>
        <v>155.52534397252032</v>
      </c>
      <c r="AQ20" s="185">
        <v>5</v>
      </c>
      <c r="AR20" s="186" t="s">
        <v>1289</v>
      </c>
    </row>
    <row r="21" spans="1:44" ht="39" customHeight="1">
      <c r="A21" s="1" t="s">
        <v>78</v>
      </c>
      <c r="B21" s="1" t="s">
        <v>79</v>
      </c>
      <c r="C21" s="9">
        <v>3</v>
      </c>
      <c r="D21" s="182">
        <v>0.9</v>
      </c>
      <c r="E21" s="10">
        <v>0</v>
      </c>
      <c r="F21" s="11">
        <v>1</v>
      </c>
      <c r="G21" s="10"/>
      <c r="H21" s="10"/>
      <c r="I21" s="10"/>
      <c r="J21" s="12">
        <f>'MVP1 Pricing &amp; SKU'!$B$7*D21</f>
        <v>269.10000000000002</v>
      </c>
      <c r="K21" s="218">
        <v>1006.3000000000001</v>
      </c>
      <c r="L21" s="219">
        <f>K21/(1+'Global Inputs'!$B$7)</f>
        <v>852.7966101694916</v>
      </c>
      <c r="M21" s="218">
        <f>IF(G21="",'Global Inputs'!$B$6,G21)</f>
        <v>0</v>
      </c>
      <c r="N21" s="219">
        <f t="shared" si="0"/>
        <v>0</v>
      </c>
      <c r="O21" s="219">
        <f>K21*'Global Inputs'!$B$8+'Global Inputs'!$B$9</f>
        <v>0</v>
      </c>
      <c r="P21" s="218">
        <f>SUM('Global Inputs'!$B$10:$B$14)</f>
        <v>56.5</v>
      </c>
      <c r="Q21" s="219">
        <f t="shared" si="1"/>
        <v>91.720500000000001</v>
      </c>
      <c r="R21" s="219">
        <f t="shared" si="2"/>
        <v>761.07611016949159</v>
      </c>
      <c r="S21" s="183">
        <f t="shared" si="3"/>
        <v>0.89244739143396601</v>
      </c>
      <c r="T21" s="218">
        <f>IF(H21="",'Global Inputs'!$B$15,H21)</f>
        <v>500</v>
      </c>
      <c r="U21" s="218">
        <f>IF(I21="",'Global Inputs'!$B$16,I21)</f>
        <v>149</v>
      </c>
      <c r="V21" s="219">
        <f t="shared" si="4"/>
        <v>649</v>
      </c>
      <c r="W21" s="219">
        <f>V21*'Global Inputs'!$B$8</f>
        <v>0</v>
      </c>
      <c r="X21" s="218">
        <f>'Global Inputs'!$B$18</f>
        <v>10</v>
      </c>
      <c r="Y21" s="219">
        <f>U21/(1+'Global Inputs'!$B$17)-W21-X21</f>
        <v>139</v>
      </c>
      <c r="Z21" s="219">
        <f t="shared" si="5"/>
        <v>1655.3000000000002</v>
      </c>
      <c r="AA21" s="219">
        <f t="shared" si="6"/>
        <v>601.72050000000002</v>
      </c>
      <c r="AB21" s="219">
        <f t="shared" si="7"/>
        <v>900.07611016949159</v>
      </c>
      <c r="AC21" s="13">
        <f t="shared" si="8"/>
        <v>139</v>
      </c>
      <c r="AD21" s="183">
        <v>0.89846192433932259</v>
      </c>
      <c r="AE21" s="219">
        <f t="shared" si="9"/>
        <v>253.69203672316385</v>
      </c>
      <c r="AF21" s="219">
        <f t="shared" si="10"/>
        <v>300.0253700564972</v>
      </c>
      <c r="AG21" s="207">
        <f>L21*'NC Credits'!$B$15</f>
        <v>35.220500000000001</v>
      </c>
      <c r="AH21" s="219" t="str">
        <f t="shared" si="11"/>
        <v>AUTO</v>
      </c>
      <c r="AI21" s="207">
        <f t="shared" si="12"/>
        <v>0</v>
      </c>
      <c r="AJ21" s="207">
        <f>'Global Inputs'!$B$33</f>
        <v>103.55029585798816</v>
      </c>
      <c r="AK21" s="207">
        <f t="shared" si="13"/>
        <v>310.6508875739645</v>
      </c>
      <c r="AL21" s="207">
        <f t="shared" si="14"/>
        <v>450.42522259552709</v>
      </c>
      <c r="AM21" s="184">
        <f t="shared" si="15"/>
        <v>0.52817426479451646</v>
      </c>
      <c r="AN21" s="207">
        <f t="shared" si="16"/>
        <v>589.42522259552709</v>
      </c>
      <c r="AO21" s="184">
        <f>IF((L21+U21/(1+'Global Inputs'!$B$17))=0,0,AN21/(L21+U21/(1+'Global Inputs'!$B$17)))</f>
        <v>0.58836815438595225</v>
      </c>
      <c r="AP21" s="207">
        <f t="shared" si="17"/>
        <v>150.14174086517571</v>
      </c>
      <c r="AQ21" s="185">
        <v>5</v>
      </c>
      <c r="AR21" s="186" t="s">
        <v>1290</v>
      </c>
    </row>
    <row r="22" spans="1:44" ht="39" customHeight="1">
      <c r="A22" s="1" t="s">
        <v>80</v>
      </c>
      <c r="B22" s="1" t="s">
        <v>79</v>
      </c>
      <c r="C22" s="9">
        <v>4</v>
      </c>
      <c r="D22" s="182">
        <v>1.2</v>
      </c>
      <c r="E22" s="10">
        <v>0</v>
      </c>
      <c r="F22" s="11">
        <v>1</v>
      </c>
      <c r="G22" s="10"/>
      <c r="H22" s="10"/>
      <c r="I22" s="10"/>
      <c r="J22" s="12">
        <f>'MVP1 Pricing &amp; SKU'!$B$7*D22</f>
        <v>358.8</v>
      </c>
      <c r="K22" s="218">
        <v>1634.2</v>
      </c>
      <c r="L22" s="219">
        <f>K22/(1+'Global Inputs'!$B$7)</f>
        <v>1384.9152542372883</v>
      </c>
      <c r="M22" s="218">
        <f>IF(G22="",'Global Inputs'!$B$6,G22)</f>
        <v>0</v>
      </c>
      <c r="N22" s="219">
        <f t="shared" si="0"/>
        <v>0</v>
      </c>
      <c r="O22" s="219">
        <f>K22*'Global Inputs'!$B$8+'Global Inputs'!$B$9</f>
        <v>0</v>
      </c>
      <c r="P22" s="218">
        <f>SUM('Global Inputs'!$B$10:$B$14)</f>
        <v>56.5</v>
      </c>
      <c r="Q22" s="219">
        <f t="shared" si="1"/>
        <v>113.697</v>
      </c>
      <c r="R22" s="219">
        <f t="shared" si="2"/>
        <v>1271.2182542372884</v>
      </c>
      <c r="S22" s="183">
        <f t="shared" si="3"/>
        <v>0.91790327989230214</v>
      </c>
      <c r="T22" s="218">
        <f>IF(H22="",'Global Inputs'!$B$15,H22)</f>
        <v>500</v>
      </c>
      <c r="U22" s="218">
        <f>IF(I22="",'Global Inputs'!$B$16,I22)</f>
        <v>149</v>
      </c>
      <c r="V22" s="219">
        <f t="shared" si="4"/>
        <v>649</v>
      </c>
      <c r="W22" s="219">
        <f>V22*'Global Inputs'!$B$8</f>
        <v>0</v>
      </c>
      <c r="X22" s="218">
        <f>'Global Inputs'!$B$18</f>
        <v>10</v>
      </c>
      <c r="Y22" s="219">
        <f>U22/(1+'Global Inputs'!$B$17)-W22-X22</f>
        <v>139</v>
      </c>
      <c r="Z22" s="219">
        <f t="shared" si="5"/>
        <v>2283.1999999999998</v>
      </c>
      <c r="AA22" s="219">
        <f t="shared" si="6"/>
        <v>623.697</v>
      </c>
      <c r="AB22" s="219">
        <f t="shared" si="7"/>
        <v>1410.2182542372884</v>
      </c>
      <c r="AC22" s="13">
        <f t="shared" si="8"/>
        <v>139</v>
      </c>
      <c r="AD22" s="183">
        <v>0.91935864797074074</v>
      </c>
      <c r="AE22" s="219">
        <f t="shared" si="9"/>
        <v>317.8045635593221</v>
      </c>
      <c r="AF22" s="219">
        <f t="shared" si="10"/>
        <v>352.5545635593221</v>
      </c>
      <c r="AG22" s="207">
        <f>L22*'NC Credits'!$B$15</f>
        <v>57.197000000000003</v>
      </c>
      <c r="AH22" s="219" t="str">
        <f t="shared" si="11"/>
        <v>AUTO</v>
      </c>
      <c r="AI22" s="207">
        <f t="shared" si="12"/>
        <v>0</v>
      </c>
      <c r="AJ22" s="207">
        <f>'Global Inputs'!$B$33</f>
        <v>103.55029585798816</v>
      </c>
      <c r="AK22" s="207">
        <f t="shared" si="13"/>
        <v>414.20118343195264</v>
      </c>
      <c r="AL22" s="207">
        <f t="shared" si="14"/>
        <v>857.01707080533583</v>
      </c>
      <c r="AM22" s="184">
        <f t="shared" si="15"/>
        <v>0.61882275336574233</v>
      </c>
      <c r="AN22" s="207">
        <f t="shared" si="16"/>
        <v>996.01707080533583</v>
      </c>
      <c r="AO22" s="184">
        <f>IF((L22+U22/(1+'Global Inputs'!$B$17))=0,0,AN22/(L22+U22/(1+'Global Inputs'!$B$17)))</f>
        <v>0.64932992096788777</v>
      </c>
      <c r="AP22" s="207">
        <f t="shared" si="17"/>
        <v>214.25426770133396</v>
      </c>
      <c r="AQ22" s="185">
        <v>5</v>
      </c>
      <c r="AR22" s="186" t="s">
        <v>1291</v>
      </c>
    </row>
    <row r="23" spans="1:44" ht="39" customHeight="1">
      <c r="A23" s="1" t="s">
        <v>81</v>
      </c>
      <c r="B23" s="1" t="s">
        <v>82</v>
      </c>
      <c r="C23" s="9">
        <v>2.5</v>
      </c>
      <c r="D23" s="182">
        <v>0.85</v>
      </c>
      <c r="E23" s="10">
        <v>0</v>
      </c>
      <c r="F23" s="11">
        <v>1</v>
      </c>
      <c r="G23" s="10"/>
      <c r="H23" s="10"/>
      <c r="I23" s="10"/>
      <c r="J23" s="12">
        <f>'MVP1 Pricing &amp; SKU'!$B$7*D23</f>
        <v>254.15</v>
      </c>
      <c r="K23" s="218">
        <v>834.375</v>
      </c>
      <c r="L23" s="219">
        <f>K23/(1+'Global Inputs'!$B$7)</f>
        <v>707.09745762711873</v>
      </c>
      <c r="M23" s="218">
        <f>IF(G23="",'Global Inputs'!$B$6,G23)</f>
        <v>0</v>
      </c>
      <c r="N23" s="219">
        <f t="shared" si="0"/>
        <v>0</v>
      </c>
      <c r="O23" s="219">
        <f>K23*'Global Inputs'!$B$8+'Global Inputs'!$B$9</f>
        <v>0</v>
      </c>
      <c r="P23" s="218">
        <f>SUM('Global Inputs'!$B$10:$B$14)</f>
        <v>56.5</v>
      </c>
      <c r="Q23" s="219">
        <f t="shared" si="1"/>
        <v>85.703125</v>
      </c>
      <c r="R23" s="219">
        <f t="shared" si="2"/>
        <v>621.39433262711873</v>
      </c>
      <c r="S23" s="183">
        <f t="shared" si="3"/>
        <v>0.8787958801498128</v>
      </c>
      <c r="T23" s="218">
        <f>IF(H23="",'Global Inputs'!$B$15,H23)</f>
        <v>500</v>
      </c>
      <c r="U23" s="218">
        <f>IF(I23="",'Global Inputs'!$B$16,I23)</f>
        <v>149</v>
      </c>
      <c r="V23" s="219">
        <f t="shared" si="4"/>
        <v>649</v>
      </c>
      <c r="W23" s="219">
        <f>V23*'Global Inputs'!$B$8</f>
        <v>0</v>
      </c>
      <c r="X23" s="218">
        <f>'Global Inputs'!$B$18</f>
        <v>10</v>
      </c>
      <c r="Y23" s="219">
        <f>U23/(1+'Global Inputs'!$B$17)-W23-X23</f>
        <v>139</v>
      </c>
      <c r="Z23" s="219">
        <f t="shared" si="5"/>
        <v>1483.375</v>
      </c>
      <c r="AA23" s="219">
        <f t="shared" si="6"/>
        <v>595.703125</v>
      </c>
      <c r="AB23" s="219">
        <f t="shared" si="7"/>
        <v>760.39433262711873</v>
      </c>
      <c r="AC23" s="13">
        <f t="shared" si="8"/>
        <v>139</v>
      </c>
      <c r="AD23" s="183">
        <v>0.88821001143343614</v>
      </c>
      <c r="AE23" s="219">
        <f t="shared" si="9"/>
        <v>248.5577330508475</v>
      </c>
      <c r="AF23" s="219">
        <f t="shared" si="10"/>
        <v>304.15773305084747</v>
      </c>
      <c r="AG23" s="207">
        <f>L23*'NC Credits'!$B$15</f>
        <v>29.203125</v>
      </c>
      <c r="AH23" s="219" t="str">
        <f t="shared" si="11"/>
        <v>AUTO</v>
      </c>
      <c r="AI23" s="207">
        <f t="shared" si="12"/>
        <v>0</v>
      </c>
      <c r="AJ23" s="207">
        <f>'Global Inputs'!$B$33</f>
        <v>103.55029585798816</v>
      </c>
      <c r="AK23" s="207">
        <f t="shared" si="13"/>
        <v>258.87573964497039</v>
      </c>
      <c r="AL23" s="207">
        <f t="shared" si="14"/>
        <v>362.51859298214833</v>
      </c>
      <c r="AM23" s="184">
        <f t="shared" si="15"/>
        <v>0.51268547082419169</v>
      </c>
      <c r="AN23" s="207">
        <f t="shared" si="16"/>
        <v>501.51859298214833</v>
      </c>
      <c r="AO23" s="184">
        <f>IF((L23+U23/(1+'Global Inputs'!$B$17))=0,0,AN23/(L23+U23/(1+'Global Inputs'!$B$17)))</f>
        <v>0.58581950981635722</v>
      </c>
      <c r="AP23" s="207">
        <f t="shared" si="17"/>
        <v>145.00743719285933</v>
      </c>
      <c r="AQ23" s="185">
        <v>3</v>
      </c>
      <c r="AR23" s="186" t="s">
        <v>1292</v>
      </c>
    </row>
    <row r="24" spans="1:44" ht="39" customHeight="1">
      <c r="A24" s="1" t="s">
        <v>83</v>
      </c>
      <c r="B24" s="1" t="s">
        <v>82</v>
      </c>
      <c r="C24" s="9">
        <v>1.5</v>
      </c>
      <c r="D24" s="182">
        <v>0.65</v>
      </c>
      <c r="E24" s="10">
        <v>0</v>
      </c>
      <c r="F24" s="11">
        <v>1</v>
      </c>
      <c r="G24" s="10"/>
      <c r="H24" s="10"/>
      <c r="I24" s="10"/>
      <c r="J24" s="12">
        <f>'MVP1 Pricing &amp; SKU'!$B$7*D24</f>
        <v>194.35</v>
      </c>
      <c r="K24" s="218">
        <v>587.70000000000005</v>
      </c>
      <c r="L24" s="219">
        <f>K24/(1+'Global Inputs'!$B$7)</f>
        <v>498.05084745762719</v>
      </c>
      <c r="M24" s="218">
        <f>IF(G24="",'Global Inputs'!$B$6,G24)</f>
        <v>0</v>
      </c>
      <c r="N24" s="219">
        <f t="shared" si="0"/>
        <v>0</v>
      </c>
      <c r="O24" s="219">
        <f>K24*'Global Inputs'!$B$8+'Global Inputs'!$B$9</f>
        <v>0</v>
      </c>
      <c r="P24" s="218">
        <f>SUM('Global Inputs'!$B$10:$B$14)</f>
        <v>56.5</v>
      </c>
      <c r="Q24" s="219">
        <f t="shared" si="1"/>
        <v>77.069500000000005</v>
      </c>
      <c r="R24" s="219">
        <f t="shared" si="2"/>
        <v>420.98134745762718</v>
      </c>
      <c r="S24" s="183">
        <f t="shared" si="3"/>
        <v>0.84525776756848736</v>
      </c>
      <c r="T24" s="218">
        <f>IF(H24="",'Global Inputs'!$B$15,H24)</f>
        <v>500</v>
      </c>
      <c r="U24" s="218">
        <f>IF(I24="",'Global Inputs'!$B$16,I24)</f>
        <v>149</v>
      </c>
      <c r="V24" s="219">
        <f t="shared" si="4"/>
        <v>649</v>
      </c>
      <c r="W24" s="219">
        <f>V24*'Global Inputs'!$B$8</f>
        <v>0</v>
      </c>
      <c r="X24" s="218">
        <f>'Global Inputs'!$B$18</f>
        <v>10</v>
      </c>
      <c r="Y24" s="219">
        <f>U24/(1+'Global Inputs'!$B$17)-W24-X24</f>
        <v>139</v>
      </c>
      <c r="Z24" s="219">
        <f t="shared" si="5"/>
        <v>1236.7</v>
      </c>
      <c r="AA24" s="219">
        <f t="shared" si="6"/>
        <v>587.06950000000006</v>
      </c>
      <c r="AB24" s="219">
        <f t="shared" si="7"/>
        <v>559.98134745762718</v>
      </c>
      <c r="AC24" s="13">
        <f t="shared" si="8"/>
        <v>139</v>
      </c>
      <c r="AD24" s="183">
        <v>0.86543638673512147</v>
      </c>
      <c r="AE24" s="219">
        <f t="shared" si="9"/>
        <v>280.65423163841814</v>
      </c>
      <c r="AF24" s="219">
        <f t="shared" si="10"/>
        <v>373.32089830508477</v>
      </c>
      <c r="AG24" s="207">
        <f>L24*'NC Credits'!$B$15</f>
        <v>20.569500000000001</v>
      </c>
      <c r="AH24" s="219" t="str">
        <f t="shared" si="11"/>
        <v>AUTO</v>
      </c>
      <c r="AI24" s="207">
        <f t="shared" si="12"/>
        <v>0</v>
      </c>
      <c r="AJ24" s="207">
        <f>'Global Inputs'!$B$33</f>
        <v>103.55029585798816</v>
      </c>
      <c r="AK24" s="207">
        <f t="shared" si="13"/>
        <v>155.32544378698225</v>
      </c>
      <c r="AL24" s="207">
        <f t="shared" si="14"/>
        <v>265.65590367064493</v>
      </c>
      <c r="AM24" s="184">
        <f t="shared" si="15"/>
        <v>0.53339112869042193</v>
      </c>
      <c r="AN24" s="207">
        <f t="shared" si="16"/>
        <v>404.65590367064493</v>
      </c>
      <c r="AO24" s="184">
        <f>IF((L24+U24/(1+'Global Inputs'!$B$17))=0,0,AN24/(L24+U24/(1+'Global Inputs'!$B$17)))</f>
        <v>0.62538501457900375</v>
      </c>
      <c r="AP24" s="207">
        <f t="shared" si="17"/>
        <v>177.10393578042996</v>
      </c>
      <c r="AQ24" s="185">
        <v>4</v>
      </c>
      <c r="AR24" s="186" t="s">
        <v>1293</v>
      </c>
    </row>
    <row r="25" spans="1:44" ht="39" customHeight="1">
      <c r="A25" s="1" t="s">
        <v>84</v>
      </c>
      <c r="B25" s="1" t="s">
        <v>82</v>
      </c>
      <c r="C25" s="9">
        <v>2</v>
      </c>
      <c r="D25" s="182">
        <v>0.6</v>
      </c>
      <c r="E25" s="10">
        <v>0</v>
      </c>
      <c r="F25" s="11">
        <v>1</v>
      </c>
      <c r="G25" s="10"/>
      <c r="H25" s="10"/>
      <c r="I25" s="10"/>
      <c r="J25" s="12">
        <f>'MVP1 Pricing &amp; SKU'!$B$7*D25</f>
        <v>179.4</v>
      </c>
      <c r="K25" s="218">
        <v>557.79999999999995</v>
      </c>
      <c r="L25" s="219">
        <f>K25/(1+'Global Inputs'!$B$7)</f>
        <v>472.71186440677963</v>
      </c>
      <c r="M25" s="218">
        <f>IF(G25="",'Global Inputs'!$B$6,G25)</f>
        <v>0</v>
      </c>
      <c r="N25" s="219">
        <f t="shared" si="0"/>
        <v>0</v>
      </c>
      <c r="O25" s="219">
        <f>K25*'Global Inputs'!$B$8+'Global Inputs'!$B$9</f>
        <v>0</v>
      </c>
      <c r="P25" s="218">
        <f>SUM('Global Inputs'!$B$10:$B$14)</f>
        <v>56.5</v>
      </c>
      <c r="Q25" s="219">
        <f t="shared" si="1"/>
        <v>76.022999999999996</v>
      </c>
      <c r="R25" s="219">
        <f t="shared" si="2"/>
        <v>396.68886440677966</v>
      </c>
      <c r="S25" s="183">
        <f t="shared" si="3"/>
        <v>0.8391768734313374</v>
      </c>
      <c r="T25" s="218">
        <f>IF(H25="",'Global Inputs'!$B$15,H25)</f>
        <v>500</v>
      </c>
      <c r="U25" s="218">
        <f>IF(I25="",'Global Inputs'!$B$16,I25)</f>
        <v>149</v>
      </c>
      <c r="V25" s="219">
        <f t="shared" si="4"/>
        <v>649</v>
      </c>
      <c r="W25" s="219">
        <f>V25*'Global Inputs'!$B$8</f>
        <v>0</v>
      </c>
      <c r="X25" s="218">
        <f>'Global Inputs'!$B$18</f>
        <v>10</v>
      </c>
      <c r="Y25" s="219">
        <f>U25/(1+'Global Inputs'!$B$17)-W25-X25</f>
        <v>139</v>
      </c>
      <c r="Z25" s="219">
        <f t="shared" si="5"/>
        <v>1206.8</v>
      </c>
      <c r="AA25" s="219">
        <f t="shared" si="6"/>
        <v>586.02300000000002</v>
      </c>
      <c r="AB25" s="219">
        <f t="shared" si="7"/>
        <v>535.68886440677966</v>
      </c>
      <c r="AC25" s="13">
        <f t="shared" si="8"/>
        <v>139</v>
      </c>
      <c r="AD25" s="183">
        <v>0.86163526076170238</v>
      </c>
      <c r="AE25" s="219">
        <f t="shared" si="9"/>
        <v>198.34443220338983</v>
      </c>
      <c r="AF25" s="219">
        <f t="shared" si="10"/>
        <v>267.84443220338983</v>
      </c>
      <c r="AG25" s="207">
        <f>L25*'NC Credits'!$B$15</f>
        <v>19.522999999999996</v>
      </c>
      <c r="AH25" s="219" t="str">
        <f t="shared" si="11"/>
        <v>AUTO</v>
      </c>
      <c r="AI25" s="207">
        <f t="shared" si="12"/>
        <v>0</v>
      </c>
      <c r="AJ25" s="207">
        <f>'Global Inputs'!$B$33</f>
        <v>103.55029585798816</v>
      </c>
      <c r="AK25" s="207">
        <f t="shared" si="13"/>
        <v>207.10059171597632</v>
      </c>
      <c r="AL25" s="207">
        <f t="shared" si="14"/>
        <v>189.58827269080334</v>
      </c>
      <c r="AM25" s="184">
        <f t="shared" si="15"/>
        <v>0.40106518783640721</v>
      </c>
      <c r="AN25" s="207">
        <f t="shared" si="16"/>
        <v>328.58827269080336</v>
      </c>
      <c r="AO25" s="184">
        <f>IF((L25+U25/(1+'Global Inputs'!$B$17))=0,0,AN25/(L25+U25/(1+'Global Inputs'!$B$17)))</f>
        <v>0.52852179844490066</v>
      </c>
      <c r="AP25" s="207">
        <f t="shared" si="17"/>
        <v>94.794136345401668</v>
      </c>
      <c r="AQ25" s="185">
        <v>3</v>
      </c>
      <c r="AR25" s="186" t="s">
        <v>1294</v>
      </c>
    </row>
    <row r="26" spans="1:44" ht="39" customHeight="1">
      <c r="A26" s="1" t="s">
        <v>85</v>
      </c>
      <c r="B26" s="1" t="s">
        <v>82</v>
      </c>
      <c r="C26" s="9">
        <v>3</v>
      </c>
      <c r="D26" s="182">
        <v>0.75</v>
      </c>
      <c r="E26" s="10">
        <v>0</v>
      </c>
      <c r="F26" s="11">
        <v>1</v>
      </c>
      <c r="G26" s="10"/>
      <c r="H26" s="10"/>
      <c r="I26" s="10"/>
      <c r="J26" s="12">
        <f>'MVP1 Pricing &amp; SKU'!$B$7*D26</f>
        <v>224.25</v>
      </c>
      <c r="K26" s="218">
        <v>871.75</v>
      </c>
      <c r="L26" s="219">
        <f>K26/(1+'Global Inputs'!$B$7)</f>
        <v>738.77118644067798</v>
      </c>
      <c r="M26" s="218">
        <f>IF(G26="",'Global Inputs'!$B$6,G26)</f>
        <v>0</v>
      </c>
      <c r="N26" s="219">
        <f t="shared" si="0"/>
        <v>0</v>
      </c>
      <c r="O26" s="219">
        <f>K26*'Global Inputs'!$B$8+'Global Inputs'!$B$9</f>
        <v>0</v>
      </c>
      <c r="P26" s="218">
        <f>SUM('Global Inputs'!$B$10:$B$14)</f>
        <v>56.5</v>
      </c>
      <c r="Q26" s="219">
        <f t="shared" si="1"/>
        <v>87.01124999999999</v>
      </c>
      <c r="R26" s="219">
        <f t="shared" si="2"/>
        <v>651.75993644067796</v>
      </c>
      <c r="S26" s="183">
        <f t="shared" si="3"/>
        <v>0.88222165184972756</v>
      </c>
      <c r="T26" s="218">
        <f>IF(H26="",'Global Inputs'!$B$15,H26)</f>
        <v>500</v>
      </c>
      <c r="U26" s="218">
        <f>IF(I26="",'Global Inputs'!$B$16,I26)</f>
        <v>149</v>
      </c>
      <c r="V26" s="219">
        <f t="shared" si="4"/>
        <v>649</v>
      </c>
      <c r="W26" s="219">
        <f>V26*'Global Inputs'!$B$8</f>
        <v>0</v>
      </c>
      <c r="X26" s="218">
        <f>'Global Inputs'!$B$18</f>
        <v>10</v>
      </c>
      <c r="Y26" s="219">
        <f>U26/(1+'Global Inputs'!$B$17)-W26-X26</f>
        <v>139</v>
      </c>
      <c r="Z26" s="219">
        <f t="shared" si="5"/>
        <v>1520.75</v>
      </c>
      <c r="AA26" s="219">
        <f t="shared" si="6"/>
        <v>597.01125000000002</v>
      </c>
      <c r="AB26" s="219">
        <f t="shared" si="7"/>
        <v>790.75993644067796</v>
      </c>
      <c r="AC26" s="13">
        <f t="shared" si="8"/>
        <v>139</v>
      </c>
      <c r="AD26" s="183">
        <v>0.89072493962217325</v>
      </c>
      <c r="AE26" s="219">
        <f t="shared" si="9"/>
        <v>217.25331214689265</v>
      </c>
      <c r="AF26" s="219">
        <f t="shared" si="10"/>
        <v>263.58664548022597</v>
      </c>
      <c r="AG26" s="207">
        <f>L26*'NC Credits'!$B$15</f>
        <v>30.511249999999997</v>
      </c>
      <c r="AH26" s="219" t="str">
        <f t="shared" si="11"/>
        <v>AUTO</v>
      </c>
      <c r="AI26" s="207">
        <f t="shared" si="12"/>
        <v>0</v>
      </c>
      <c r="AJ26" s="207">
        <f>'Global Inputs'!$B$33</f>
        <v>103.55029585798816</v>
      </c>
      <c r="AK26" s="207">
        <f t="shared" si="13"/>
        <v>310.6508875739645</v>
      </c>
      <c r="AL26" s="207">
        <f t="shared" si="14"/>
        <v>341.10904886671347</v>
      </c>
      <c r="AM26" s="184">
        <f t="shared" si="15"/>
        <v>0.4617248955121559</v>
      </c>
      <c r="AN26" s="207">
        <f t="shared" si="16"/>
        <v>480.10904886671347</v>
      </c>
      <c r="AO26" s="184">
        <f>IF((L26+U26/(1+'Global Inputs'!$B$17))=0,0,AN26/(L26+U26/(1+'Global Inputs'!$B$17)))</f>
        <v>0.54080269353143162</v>
      </c>
      <c r="AP26" s="207">
        <f t="shared" si="17"/>
        <v>113.70301628890449</v>
      </c>
      <c r="AQ26" s="185">
        <v>3</v>
      </c>
      <c r="AR26" s="186" t="s">
        <v>1295</v>
      </c>
    </row>
    <row r="27" spans="1:44" ht="39" customHeight="1">
      <c r="A27" s="1" t="s">
        <v>86</v>
      </c>
      <c r="B27" s="1" t="s">
        <v>82</v>
      </c>
      <c r="C27" s="9">
        <v>4</v>
      </c>
      <c r="D27" s="182">
        <v>1.1000000000000001</v>
      </c>
      <c r="E27" s="10">
        <v>0</v>
      </c>
      <c r="F27" s="11">
        <v>1</v>
      </c>
      <c r="G27" s="10"/>
      <c r="H27" s="10"/>
      <c r="I27" s="10"/>
      <c r="J27" s="12">
        <f>'MVP1 Pricing &amp; SKU'!$B$7*D27</f>
        <v>328.90000000000003</v>
      </c>
      <c r="K27" s="218">
        <v>1514.6000000000001</v>
      </c>
      <c r="L27" s="219">
        <f>K27/(1+'Global Inputs'!$B$7)</f>
        <v>1283.5593220338985</v>
      </c>
      <c r="M27" s="218">
        <f>IF(G27="",'Global Inputs'!$B$6,G27)</f>
        <v>0</v>
      </c>
      <c r="N27" s="219">
        <f t="shared" si="0"/>
        <v>0</v>
      </c>
      <c r="O27" s="219">
        <f>K27*'Global Inputs'!$B$8+'Global Inputs'!$B$9</f>
        <v>0</v>
      </c>
      <c r="P27" s="218">
        <f>SUM('Global Inputs'!$B$10:$B$14)</f>
        <v>56.5</v>
      </c>
      <c r="Q27" s="219">
        <f t="shared" si="1"/>
        <v>109.511</v>
      </c>
      <c r="R27" s="219">
        <f t="shared" si="2"/>
        <v>1174.0483220338986</v>
      </c>
      <c r="S27" s="183">
        <f t="shared" si="3"/>
        <v>0.91468177736696166</v>
      </c>
      <c r="T27" s="218">
        <f>IF(H27="",'Global Inputs'!$B$15,H27)</f>
        <v>500</v>
      </c>
      <c r="U27" s="218">
        <f>IF(I27="",'Global Inputs'!$B$16,I27)</f>
        <v>149</v>
      </c>
      <c r="V27" s="219">
        <f t="shared" si="4"/>
        <v>649</v>
      </c>
      <c r="W27" s="219">
        <f>V27*'Global Inputs'!$B$8</f>
        <v>0</v>
      </c>
      <c r="X27" s="218">
        <f>'Global Inputs'!$B$18</f>
        <v>10</v>
      </c>
      <c r="Y27" s="219">
        <f>U27/(1+'Global Inputs'!$B$17)-W27-X27</f>
        <v>139</v>
      </c>
      <c r="Z27" s="219">
        <f t="shared" si="5"/>
        <v>2163.6000000000004</v>
      </c>
      <c r="AA27" s="219">
        <f t="shared" si="6"/>
        <v>619.51099999999997</v>
      </c>
      <c r="AB27" s="219">
        <f t="shared" si="7"/>
        <v>1313.0483220338986</v>
      </c>
      <c r="AC27" s="13">
        <f t="shared" si="8"/>
        <v>139</v>
      </c>
      <c r="AD27" s="183">
        <v>0.91657518249902392</v>
      </c>
      <c r="AE27" s="219">
        <f t="shared" si="9"/>
        <v>293.51208050847464</v>
      </c>
      <c r="AF27" s="219">
        <f t="shared" si="10"/>
        <v>328.26208050847464</v>
      </c>
      <c r="AG27" s="207">
        <f>L27*'NC Credits'!$B$15</f>
        <v>53.011000000000003</v>
      </c>
      <c r="AH27" s="219" t="str">
        <f t="shared" si="11"/>
        <v>AUTO</v>
      </c>
      <c r="AI27" s="207">
        <f t="shared" si="12"/>
        <v>0</v>
      </c>
      <c r="AJ27" s="207">
        <f>'Global Inputs'!$B$33</f>
        <v>103.55029585798816</v>
      </c>
      <c r="AK27" s="207">
        <f t="shared" si="13"/>
        <v>414.20118343195264</v>
      </c>
      <c r="AL27" s="207">
        <f t="shared" si="14"/>
        <v>759.84713860194597</v>
      </c>
      <c r="AM27" s="184">
        <f t="shared" si="15"/>
        <v>0.59198443387712674</v>
      </c>
      <c r="AN27" s="207">
        <f t="shared" si="16"/>
        <v>898.84713860194597</v>
      </c>
      <c r="AO27" s="184">
        <f>IF((L27+U27/(1+'Global Inputs'!$B$17))=0,0,AN27/(L27+U27/(1+'Global Inputs'!$B$17)))</f>
        <v>0.62744147818311191</v>
      </c>
      <c r="AP27" s="207">
        <f t="shared" si="17"/>
        <v>189.96178465048649</v>
      </c>
      <c r="AQ27" s="185">
        <v>2</v>
      </c>
      <c r="AR27" s="186" t="s">
        <v>1296</v>
      </c>
    </row>
    <row r="28" spans="1:44" ht="39" customHeight="1">
      <c r="A28" s="1" t="s">
        <v>87</v>
      </c>
      <c r="B28" s="1" t="s">
        <v>82</v>
      </c>
      <c r="C28" s="9">
        <v>4</v>
      </c>
      <c r="D28" s="182">
        <v>1.05</v>
      </c>
      <c r="E28" s="10">
        <v>0</v>
      </c>
      <c r="F28" s="11">
        <v>1</v>
      </c>
      <c r="G28" s="10"/>
      <c r="H28" s="10"/>
      <c r="I28" s="10"/>
      <c r="J28" s="12">
        <f>'MVP1 Pricing &amp; SKU'!$B$7*D28</f>
        <v>313.95</v>
      </c>
      <c r="K28" s="218">
        <v>1454.8</v>
      </c>
      <c r="L28" s="219">
        <f>K28/(1+'Global Inputs'!$B$7)</f>
        <v>1232.8813559322034</v>
      </c>
      <c r="M28" s="218">
        <f>IF(G28="",'Global Inputs'!$B$6,G28)</f>
        <v>0</v>
      </c>
      <c r="N28" s="219">
        <f t="shared" si="0"/>
        <v>0</v>
      </c>
      <c r="O28" s="219">
        <f>K28*'Global Inputs'!$B$8+'Global Inputs'!$B$9</f>
        <v>0</v>
      </c>
      <c r="P28" s="218">
        <f>SUM('Global Inputs'!$B$10:$B$14)</f>
        <v>56.5</v>
      </c>
      <c r="Q28" s="219">
        <f t="shared" si="1"/>
        <v>107.41800000000001</v>
      </c>
      <c r="R28" s="219">
        <f t="shared" si="2"/>
        <v>1125.4633559322033</v>
      </c>
      <c r="S28" s="183">
        <f t="shared" si="3"/>
        <v>0.91287239483090454</v>
      </c>
      <c r="T28" s="218">
        <f>IF(H28="",'Global Inputs'!$B$15,H28)</f>
        <v>500</v>
      </c>
      <c r="U28" s="218">
        <f>IF(I28="",'Global Inputs'!$B$16,I28)</f>
        <v>149</v>
      </c>
      <c r="V28" s="219">
        <f t="shared" si="4"/>
        <v>649</v>
      </c>
      <c r="W28" s="219">
        <f>V28*'Global Inputs'!$B$8</f>
        <v>0</v>
      </c>
      <c r="X28" s="218">
        <f>'Global Inputs'!$B$18</f>
        <v>10</v>
      </c>
      <c r="Y28" s="219">
        <f>U28/(1+'Global Inputs'!$B$17)-W28-X28</f>
        <v>139</v>
      </c>
      <c r="Z28" s="219">
        <f t="shared" si="5"/>
        <v>2103.8000000000002</v>
      </c>
      <c r="AA28" s="219">
        <f t="shared" si="6"/>
        <v>617.41800000000001</v>
      </c>
      <c r="AB28" s="219">
        <f t="shared" si="7"/>
        <v>1264.4633559322033</v>
      </c>
      <c r="AC28" s="13">
        <f t="shared" si="8"/>
        <v>139</v>
      </c>
      <c r="AD28" s="183">
        <v>0.91503033202094897</v>
      </c>
      <c r="AE28" s="219">
        <f t="shared" si="9"/>
        <v>281.36583898305082</v>
      </c>
      <c r="AF28" s="219">
        <f t="shared" si="10"/>
        <v>316.11583898305082</v>
      </c>
      <c r="AG28" s="207">
        <f>L28*'NC Credits'!$B$15</f>
        <v>50.917999999999999</v>
      </c>
      <c r="AH28" s="219" t="str">
        <f t="shared" si="11"/>
        <v>AUTO</v>
      </c>
      <c r="AI28" s="207">
        <f t="shared" si="12"/>
        <v>0</v>
      </c>
      <c r="AJ28" s="207">
        <f>'Global Inputs'!$B$33</f>
        <v>103.55029585798816</v>
      </c>
      <c r="AK28" s="207">
        <f t="shared" si="13"/>
        <v>414.20118343195264</v>
      </c>
      <c r="AL28" s="207">
        <f t="shared" si="14"/>
        <v>711.2621725002507</v>
      </c>
      <c r="AM28" s="184">
        <f t="shared" si="15"/>
        <v>0.57691047810715967</v>
      </c>
      <c r="AN28" s="207">
        <f t="shared" si="16"/>
        <v>850.2621725002507</v>
      </c>
      <c r="AO28" s="184">
        <f>IF((L28+U28/(1+'Global Inputs'!$B$17))=0,0,AN28/(L28+U28/(1+'Global Inputs'!$B$17)))</f>
        <v>0.61529317900571301</v>
      </c>
      <c r="AP28" s="207">
        <f t="shared" si="17"/>
        <v>177.81554312506267</v>
      </c>
      <c r="AQ28" s="185">
        <v>2</v>
      </c>
      <c r="AR28" s="186" t="s">
        <v>1297</v>
      </c>
    </row>
    <row r="29" spans="1:44" ht="39" customHeight="1">
      <c r="A29" s="1" t="s">
        <v>88</v>
      </c>
      <c r="B29" s="1" t="s">
        <v>89</v>
      </c>
      <c r="C29" s="9">
        <v>4</v>
      </c>
      <c r="D29" s="182">
        <v>1.3</v>
      </c>
      <c r="E29" s="10">
        <v>499</v>
      </c>
      <c r="F29" s="11">
        <v>1</v>
      </c>
      <c r="G29" s="10"/>
      <c r="H29" s="10"/>
      <c r="I29" s="10"/>
      <c r="J29" s="12">
        <f>'MVP1 Pricing &amp; SKU'!$B$7*D29</f>
        <v>388.7</v>
      </c>
      <c r="K29" s="218">
        <v>2252.8000000000002</v>
      </c>
      <c r="L29" s="219">
        <f>K29/(1+'Global Inputs'!$B$7)</f>
        <v>1909.1525423728815</v>
      </c>
      <c r="M29" s="218">
        <f>IF(G29="",'Global Inputs'!$B$6,G29)</f>
        <v>0</v>
      </c>
      <c r="N29" s="219">
        <f t="shared" si="0"/>
        <v>0</v>
      </c>
      <c r="O29" s="219">
        <f>K29*'Global Inputs'!$B$8+'Global Inputs'!$B$9</f>
        <v>0</v>
      </c>
      <c r="P29" s="218">
        <f>SUM('Global Inputs'!$B$10:$B$14)</f>
        <v>56.5</v>
      </c>
      <c r="Q29" s="219">
        <f t="shared" si="1"/>
        <v>135.34800000000001</v>
      </c>
      <c r="R29" s="219">
        <f t="shared" si="2"/>
        <v>1773.8045423728815</v>
      </c>
      <c r="S29" s="183">
        <f t="shared" si="3"/>
        <v>0.9291057173295455</v>
      </c>
      <c r="T29" s="218">
        <f>IF(H29="",'Global Inputs'!$B$15,H29)</f>
        <v>500</v>
      </c>
      <c r="U29" s="218">
        <f>IF(I29="",'Global Inputs'!$B$16,I29)</f>
        <v>149</v>
      </c>
      <c r="V29" s="219">
        <f t="shared" si="4"/>
        <v>649</v>
      </c>
      <c r="W29" s="219">
        <f>V29*'Global Inputs'!$B$8</f>
        <v>0</v>
      </c>
      <c r="X29" s="218">
        <f>'Global Inputs'!$B$18</f>
        <v>10</v>
      </c>
      <c r="Y29" s="219">
        <f>U29/(1+'Global Inputs'!$B$17)-W29-X29</f>
        <v>139</v>
      </c>
      <c r="Z29" s="219">
        <f t="shared" si="5"/>
        <v>2901.8</v>
      </c>
      <c r="AA29" s="219">
        <f t="shared" si="6"/>
        <v>645.34799999999996</v>
      </c>
      <c r="AB29" s="219">
        <f t="shared" si="7"/>
        <v>1912.8045423728815</v>
      </c>
      <c r="AC29" s="13">
        <f t="shared" si="8"/>
        <v>139</v>
      </c>
      <c r="AD29" s="183">
        <v>0.92937938417702226</v>
      </c>
      <c r="AE29" s="219">
        <f t="shared" si="9"/>
        <v>443.45113559322039</v>
      </c>
      <c r="AF29" s="219">
        <f t="shared" si="10"/>
        <v>478.20113559322039</v>
      </c>
      <c r="AG29" s="207">
        <f>L29*'NC Credits'!$B$15</f>
        <v>78.847999999999999</v>
      </c>
      <c r="AH29" s="219" t="str">
        <f t="shared" si="11"/>
        <v>AUTO</v>
      </c>
      <c r="AI29" s="207">
        <f t="shared" si="12"/>
        <v>0</v>
      </c>
      <c r="AJ29" s="207">
        <f>'Global Inputs'!$B$33</f>
        <v>103.55029585798816</v>
      </c>
      <c r="AK29" s="207">
        <f t="shared" si="13"/>
        <v>414.20118343195264</v>
      </c>
      <c r="AL29" s="207">
        <f t="shared" si="14"/>
        <v>1359.603358940929</v>
      </c>
      <c r="AM29" s="184">
        <f t="shared" si="15"/>
        <v>0.71215019688844816</v>
      </c>
      <c r="AN29" s="207">
        <f t="shared" si="16"/>
        <v>1498.603358940929</v>
      </c>
      <c r="AO29" s="184">
        <f>IF((L29+U29/(1+'Global Inputs'!$B$17))=0,0,AN29/(L29+U29/(1+'Global Inputs'!$B$17)))</f>
        <v>0.72813036356049765</v>
      </c>
      <c r="AP29" s="207">
        <f t="shared" si="17"/>
        <v>339.90083973523224</v>
      </c>
      <c r="AQ29" s="185">
        <v>2</v>
      </c>
      <c r="AR29" s="186" t="s">
        <v>1298</v>
      </c>
    </row>
    <row r="30" spans="1:44" ht="39" customHeight="1">
      <c r="A30" s="1" t="s">
        <v>90</v>
      </c>
      <c r="B30" s="1" t="s">
        <v>82</v>
      </c>
      <c r="C30" s="9">
        <v>2</v>
      </c>
      <c r="D30" s="182">
        <v>0.85</v>
      </c>
      <c r="E30" s="10">
        <v>0</v>
      </c>
      <c r="F30" s="11">
        <v>1</v>
      </c>
      <c r="G30" s="10"/>
      <c r="H30" s="10"/>
      <c r="I30" s="10"/>
      <c r="J30" s="12">
        <f>'MVP1 Pricing &amp; SKU'!$B$7*D30</f>
        <v>254.15</v>
      </c>
      <c r="K30" s="218">
        <v>707.3</v>
      </c>
      <c r="L30" s="219">
        <f>K30/(1+'Global Inputs'!$B$7)</f>
        <v>599.40677966101691</v>
      </c>
      <c r="M30" s="218">
        <f>IF(G30="",'Global Inputs'!$B$6,G30)</f>
        <v>0</v>
      </c>
      <c r="N30" s="219">
        <f t="shared" si="0"/>
        <v>0</v>
      </c>
      <c r="O30" s="219">
        <f>K30*'Global Inputs'!$B$8+'Global Inputs'!$B$9</f>
        <v>0</v>
      </c>
      <c r="P30" s="218">
        <f>SUM('Global Inputs'!$B$10:$B$14)</f>
        <v>56.5</v>
      </c>
      <c r="Q30" s="219">
        <f t="shared" si="1"/>
        <v>81.255499999999998</v>
      </c>
      <c r="R30" s="219">
        <f t="shared" si="2"/>
        <v>518.15127966101693</v>
      </c>
      <c r="S30" s="183">
        <f t="shared" si="3"/>
        <v>0.86444013855506863</v>
      </c>
      <c r="T30" s="218">
        <f>IF(H30="",'Global Inputs'!$B$15,H30)</f>
        <v>500</v>
      </c>
      <c r="U30" s="218">
        <f>IF(I30="",'Global Inputs'!$B$16,I30)</f>
        <v>149</v>
      </c>
      <c r="V30" s="219">
        <f t="shared" si="4"/>
        <v>649</v>
      </c>
      <c r="W30" s="219">
        <f>V30*'Global Inputs'!$B$8</f>
        <v>0</v>
      </c>
      <c r="X30" s="218">
        <f>'Global Inputs'!$B$18</f>
        <v>10</v>
      </c>
      <c r="Y30" s="219">
        <f>U30/(1+'Global Inputs'!$B$17)-W30-X30</f>
        <v>139</v>
      </c>
      <c r="Z30" s="219">
        <f t="shared" si="5"/>
        <v>1356.3</v>
      </c>
      <c r="AA30" s="219">
        <f t="shared" si="6"/>
        <v>591.25549999999998</v>
      </c>
      <c r="AB30" s="219">
        <f t="shared" si="7"/>
        <v>657.15127966101693</v>
      </c>
      <c r="AC30" s="13">
        <f t="shared" si="8"/>
        <v>139</v>
      </c>
      <c r="AD30" s="183">
        <v>0.87806697844007608</v>
      </c>
      <c r="AE30" s="219">
        <f t="shared" si="9"/>
        <v>259.07563983050846</v>
      </c>
      <c r="AF30" s="219">
        <f t="shared" si="10"/>
        <v>328.57563983050846</v>
      </c>
      <c r="AG30" s="207">
        <f>L30*'NC Credits'!$B$15</f>
        <v>24.755499999999998</v>
      </c>
      <c r="AH30" s="219" t="str">
        <f t="shared" si="11"/>
        <v>AUTO</v>
      </c>
      <c r="AI30" s="207">
        <f t="shared" si="12"/>
        <v>0</v>
      </c>
      <c r="AJ30" s="207">
        <f>'Global Inputs'!$B$33</f>
        <v>103.55029585798816</v>
      </c>
      <c r="AK30" s="207">
        <f t="shared" si="13"/>
        <v>207.10059171597632</v>
      </c>
      <c r="AL30" s="207">
        <f t="shared" si="14"/>
        <v>311.05068794504064</v>
      </c>
      <c r="AM30" s="184">
        <f t="shared" si="15"/>
        <v>0.51893088049646252</v>
      </c>
      <c r="AN30" s="207">
        <f t="shared" si="16"/>
        <v>450.05068794504064</v>
      </c>
      <c r="AO30" s="184">
        <f>IF((L30+U30/(1+'Global Inputs'!$B$17))=0,0,AN30/(L30+U30/(1+'Global Inputs'!$B$17)))</f>
        <v>0.60134501741003255</v>
      </c>
      <c r="AP30" s="207">
        <f t="shared" si="17"/>
        <v>155.52534397252032</v>
      </c>
      <c r="AQ30" s="185">
        <v>3</v>
      </c>
      <c r="AR30" s="186" t="s">
        <v>1299</v>
      </c>
    </row>
    <row r="31" spans="1:44" ht="39" customHeight="1">
      <c r="A31" s="1" t="s">
        <v>91</v>
      </c>
      <c r="B31" s="1" t="s">
        <v>82</v>
      </c>
      <c r="C31" s="9">
        <v>2</v>
      </c>
      <c r="D31" s="182">
        <v>0.85</v>
      </c>
      <c r="E31" s="10">
        <v>0</v>
      </c>
      <c r="F31" s="11">
        <v>1</v>
      </c>
      <c r="G31" s="10"/>
      <c r="H31" s="10"/>
      <c r="I31" s="10"/>
      <c r="J31" s="12">
        <f>'MVP1 Pricing &amp; SKU'!$B$7*D31</f>
        <v>254.15</v>
      </c>
      <c r="K31" s="218">
        <v>707.3</v>
      </c>
      <c r="L31" s="219">
        <f>K31/(1+'Global Inputs'!$B$7)</f>
        <v>599.40677966101691</v>
      </c>
      <c r="M31" s="218">
        <f>IF(G31="",'Global Inputs'!$B$6,G31)</f>
        <v>0</v>
      </c>
      <c r="N31" s="219">
        <f t="shared" si="0"/>
        <v>0</v>
      </c>
      <c r="O31" s="219">
        <f>K31*'Global Inputs'!$B$8+'Global Inputs'!$B$9</f>
        <v>0</v>
      </c>
      <c r="P31" s="218">
        <f>SUM('Global Inputs'!$B$10:$B$14)</f>
        <v>56.5</v>
      </c>
      <c r="Q31" s="219">
        <f t="shared" si="1"/>
        <v>81.255499999999998</v>
      </c>
      <c r="R31" s="219">
        <f t="shared" si="2"/>
        <v>518.15127966101693</v>
      </c>
      <c r="S31" s="183">
        <f t="shared" si="3"/>
        <v>0.86444013855506863</v>
      </c>
      <c r="T31" s="218">
        <f>IF(H31="",'Global Inputs'!$B$15,H31)</f>
        <v>500</v>
      </c>
      <c r="U31" s="218">
        <f>IF(I31="",'Global Inputs'!$B$16,I31)</f>
        <v>149</v>
      </c>
      <c r="V31" s="219">
        <f t="shared" si="4"/>
        <v>649</v>
      </c>
      <c r="W31" s="219">
        <f>V31*'Global Inputs'!$B$8</f>
        <v>0</v>
      </c>
      <c r="X31" s="218">
        <f>'Global Inputs'!$B$18</f>
        <v>10</v>
      </c>
      <c r="Y31" s="219">
        <f>U31/(1+'Global Inputs'!$B$17)-W31-X31</f>
        <v>139</v>
      </c>
      <c r="Z31" s="219">
        <f t="shared" si="5"/>
        <v>1356.3</v>
      </c>
      <c r="AA31" s="219">
        <f t="shared" si="6"/>
        <v>591.25549999999998</v>
      </c>
      <c r="AB31" s="219">
        <f t="shared" si="7"/>
        <v>657.15127966101693</v>
      </c>
      <c r="AC31" s="13">
        <f t="shared" si="8"/>
        <v>139</v>
      </c>
      <c r="AD31" s="183">
        <v>0.87806697844007608</v>
      </c>
      <c r="AE31" s="219">
        <f t="shared" si="9"/>
        <v>259.07563983050846</v>
      </c>
      <c r="AF31" s="219">
        <f t="shared" si="10"/>
        <v>328.57563983050846</v>
      </c>
      <c r="AG31" s="207">
        <f>L31*'NC Credits'!$B$15</f>
        <v>24.755499999999998</v>
      </c>
      <c r="AH31" s="219" t="str">
        <f t="shared" si="11"/>
        <v>AUTO</v>
      </c>
      <c r="AI31" s="207">
        <f t="shared" si="12"/>
        <v>0</v>
      </c>
      <c r="AJ31" s="207">
        <f>'Global Inputs'!$B$33</f>
        <v>103.55029585798816</v>
      </c>
      <c r="AK31" s="207">
        <f t="shared" si="13"/>
        <v>207.10059171597632</v>
      </c>
      <c r="AL31" s="207">
        <f t="shared" si="14"/>
        <v>311.05068794504064</v>
      </c>
      <c r="AM31" s="184">
        <f t="shared" si="15"/>
        <v>0.51893088049646252</v>
      </c>
      <c r="AN31" s="207">
        <f t="shared" si="16"/>
        <v>450.05068794504064</v>
      </c>
      <c r="AO31" s="184">
        <f>IF((L31+U31/(1+'Global Inputs'!$B$17))=0,0,AN31/(L31+U31/(1+'Global Inputs'!$B$17)))</f>
        <v>0.60134501741003255</v>
      </c>
      <c r="AP31" s="207">
        <f t="shared" si="17"/>
        <v>155.52534397252032</v>
      </c>
      <c r="AQ31" s="185">
        <v>4</v>
      </c>
      <c r="AR31" s="186" t="s">
        <v>1299</v>
      </c>
    </row>
    <row r="32" spans="1:44" ht="39" customHeight="1">
      <c r="A32" s="1" t="s">
        <v>1116</v>
      </c>
      <c r="B32" s="1" t="s">
        <v>82</v>
      </c>
      <c r="C32" s="9">
        <v>24</v>
      </c>
      <c r="D32" s="182">
        <v>2</v>
      </c>
      <c r="E32" s="10">
        <v>2999</v>
      </c>
      <c r="F32" s="11">
        <v>1</v>
      </c>
      <c r="G32" s="10"/>
      <c r="H32" s="10"/>
      <c r="I32" s="10"/>
      <c r="J32" s="12">
        <f>'MVP1 Pricing &amp; SKU'!$B$7*D32</f>
        <v>598</v>
      </c>
      <c r="K32" s="218">
        <v>17550</v>
      </c>
      <c r="L32" s="219">
        <f>K32/(1+'Global Inputs'!$B$7)</f>
        <v>14872.881355932204</v>
      </c>
      <c r="M32" s="218">
        <f>IF(G32="",'Global Inputs'!$B$6,G32)</f>
        <v>0</v>
      </c>
      <c r="N32" s="219">
        <f t="shared" si="0"/>
        <v>0</v>
      </c>
      <c r="O32" s="219">
        <f>K32*'Global Inputs'!$B$8+'Global Inputs'!$B$9</f>
        <v>0</v>
      </c>
      <c r="P32" s="218">
        <f>SUM('Global Inputs'!$B$10:$B$14)</f>
        <v>56.5</v>
      </c>
      <c r="Q32" s="219">
        <f t="shared" si="1"/>
        <v>670.75</v>
      </c>
      <c r="R32" s="219">
        <f t="shared" si="2"/>
        <v>14202.131355932204</v>
      </c>
      <c r="S32" s="183">
        <f t="shared" si="3"/>
        <v>0.95490113960113965</v>
      </c>
      <c r="T32" s="218">
        <f>IF(H32="",'Global Inputs'!$B$15,H32)</f>
        <v>500</v>
      </c>
      <c r="U32" s="218">
        <f>IF(I32="",'Global Inputs'!$B$16,I32)</f>
        <v>149</v>
      </c>
      <c r="V32" s="219">
        <f t="shared" si="4"/>
        <v>649</v>
      </c>
      <c r="W32" s="219">
        <f>V32*'Global Inputs'!$B$8</f>
        <v>0</v>
      </c>
      <c r="X32" s="218">
        <f>'Global Inputs'!$B$18</f>
        <v>10</v>
      </c>
      <c r="Y32" s="219">
        <f>U32/(1+'Global Inputs'!$B$17)-W32-X32</f>
        <v>139</v>
      </c>
      <c r="Z32" s="219">
        <f t="shared" si="5"/>
        <v>18199</v>
      </c>
      <c r="AA32" s="219">
        <f t="shared" si="6"/>
        <v>1180.75</v>
      </c>
      <c r="AB32" s="219">
        <f t="shared" si="7"/>
        <v>14341.131355932204</v>
      </c>
      <c r="AC32" s="13">
        <f t="shared" si="8"/>
        <v>139</v>
      </c>
      <c r="AD32" s="183">
        <v>0.95468277349087372</v>
      </c>
      <c r="AE32" s="219">
        <f t="shared" si="9"/>
        <v>591.75547316384188</v>
      </c>
      <c r="AF32" s="219">
        <f t="shared" si="10"/>
        <v>597.54713983050851</v>
      </c>
      <c r="AG32" s="207">
        <f>L32*'NC Credits'!$B$15</f>
        <v>614.25</v>
      </c>
      <c r="AH32" s="219" t="str">
        <f t="shared" si="11"/>
        <v>MANUAL</v>
      </c>
      <c r="AI32" s="207">
        <f t="shared" si="12"/>
        <v>0</v>
      </c>
      <c r="AJ32" s="207">
        <f>'Global Inputs'!$B$33</f>
        <v>103.55029585798816</v>
      </c>
      <c r="AK32" s="207">
        <f t="shared" si="13"/>
        <v>2485.207100591716</v>
      </c>
      <c r="AL32" s="207">
        <f t="shared" si="14"/>
        <v>11716.924255340487</v>
      </c>
      <c r="AM32" s="184">
        <f t="shared" si="15"/>
        <v>0.78780459380636891</v>
      </c>
      <c r="AN32" s="207">
        <f t="shared" si="16"/>
        <v>11855.924255340487</v>
      </c>
      <c r="AO32" s="184">
        <f>IF((L32+U32/(1+'Global Inputs'!$B$17))=0,0,AN32/(L32+U32/(1+'Global Inputs'!$B$17)))</f>
        <v>0.7892436356288044</v>
      </c>
      <c r="AP32" s="207">
        <f t="shared" si="17"/>
        <v>488.20517730585362</v>
      </c>
      <c r="AQ32" s="185">
        <v>2</v>
      </c>
      <c r="AR32" s="186" t="s">
        <v>1300</v>
      </c>
    </row>
    <row r="33" spans="1:44" ht="39" hidden="1" customHeight="1">
      <c r="A33" s="1" t="s">
        <v>92</v>
      </c>
      <c r="B33" s="1" t="s">
        <v>82</v>
      </c>
      <c r="C33" s="9">
        <v>1.5</v>
      </c>
      <c r="D33" s="182">
        <v>0.65</v>
      </c>
      <c r="E33" s="10">
        <v>0</v>
      </c>
      <c r="F33" s="11">
        <v>1</v>
      </c>
      <c r="G33" s="10"/>
      <c r="H33" s="10"/>
      <c r="I33" s="10"/>
      <c r="J33" s="12">
        <f>'MVP1 Pricing &amp; SKU'!$B$7*D33</f>
        <v>194.35</v>
      </c>
      <c r="K33" s="218">
        <v>587.70000000000005</v>
      </c>
      <c r="L33" s="219">
        <f>K33/(1+'Global Inputs'!$B$7)</f>
        <v>498.05084745762719</v>
      </c>
      <c r="M33" s="218">
        <f>IF(G33="",'Global Inputs'!$B$6,G33)</f>
        <v>0</v>
      </c>
      <c r="N33" s="219">
        <f t="shared" si="0"/>
        <v>0</v>
      </c>
      <c r="O33" s="219">
        <f>K33*'Global Inputs'!$B$8+'Global Inputs'!$B$9</f>
        <v>0</v>
      </c>
      <c r="P33" s="218">
        <f>SUM('Global Inputs'!$B$10:$B$14)</f>
        <v>56.5</v>
      </c>
      <c r="Q33" s="219">
        <f t="shared" si="1"/>
        <v>77.069500000000005</v>
      </c>
      <c r="R33" s="219">
        <f t="shared" si="2"/>
        <v>420.98134745762718</v>
      </c>
      <c r="S33" s="183">
        <f t="shared" si="3"/>
        <v>0.84525776756848736</v>
      </c>
      <c r="T33" s="218">
        <f>IF(H33="",'Global Inputs'!$B$15,H33)</f>
        <v>500</v>
      </c>
      <c r="U33" s="218">
        <f>IF(I33="",'Global Inputs'!$B$16,I33)</f>
        <v>149</v>
      </c>
      <c r="V33" s="219">
        <f t="shared" si="4"/>
        <v>649</v>
      </c>
      <c r="W33" s="219">
        <f>V33*'Global Inputs'!$B$8</f>
        <v>0</v>
      </c>
      <c r="X33" s="218">
        <f>'Global Inputs'!$B$18</f>
        <v>10</v>
      </c>
      <c r="Y33" s="219">
        <f>U33/(1+'Global Inputs'!$B$17)-W33-X33</f>
        <v>139</v>
      </c>
      <c r="Z33" s="219">
        <f t="shared" si="5"/>
        <v>1236.7</v>
      </c>
      <c r="AA33" s="219">
        <f t="shared" si="6"/>
        <v>587.06950000000006</v>
      </c>
      <c r="AB33" s="219">
        <f t="shared" si="7"/>
        <v>559.98134745762718</v>
      </c>
      <c r="AC33" s="13">
        <f t="shared" si="8"/>
        <v>139</v>
      </c>
      <c r="AD33" s="183">
        <v>0.86543638673512147</v>
      </c>
      <c r="AE33" s="219">
        <f t="shared" si="9"/>
        <v>280.65423163841814</v>
      </c>
      <c r="AF33" s="219">
        <f t="shared" si="10"/>
        <v>373.32089830508477</v>
      </c>
      <c r="AG33" s="207">
        <f>L33*'NC Credits'!$B$15</f>
        <v>20.569500000000001</v>
      </c>
      <c r="AH33" s="219" t="str">
        <f t="shared" si="11"/>
        <v>AUTO</v>
      </c>
      <c r="AI33" s="207">
        <f t="shared" si="12"/>
        <v>0</v>
      </c>
      <c r="AJ33" s="207">
        <f>'Global Inputs'!$B$33</f>
        <v>103.55029585798816</v>
      </c>
      <c r="AK33" s="207">
        <f t="shared" si="13"/>
        <v>155.32544378698225</v>
      </c>
      <c r="AL33" s="207">
        <f t="shared" si="14"/>
        <v>265.65590367064493</v>
      </c>
      <c r="AM33" s="184">
        <f t="shared" si="15"/>
        <v>0.53339112869042193</v>
      </c>
      <c r="AN33" s="207">
        <f t="shared" si="16"/>
        <v>404.65590367064493</v>
      </c>
      <c r="AO33" s="184">
        <f>IF((L33+U33/(1+'Global Inputs'!$B$17))=0,0,AN33/(L33+U33/(1+'Global Inputs'!$B$17)))</f>
        <v>0.62538501457900375</v>
      </c>
      <c r="AP33" s="207">
        <f t="shared" si="17"/>
        <v>177.10393578042996</v>
      </c>
      <c r="AQ33" s="185">
        <v>4</v>
      </c>
      <c r="AR33" s="186" t="s">
        <v>1301</v>
      </c>
    </row>
    <row r="34" spans="1:44" ht="39" hidden="1" customHeight="1">
      <c r="A34" s="1" t="s">
        <v>93</v>
      </c>
      <c r="B34" s="1" t="s">
        <v>79</v>
      </c>
      <c r="C34" s="9">
        <v>3</v>
      </c>
      <c r="D34" s="182">
        <v>0.65</v>
      </c>
      <c r="E34" s="10">
        <v>0</v>
      </c>
      <c r="F34" s="11">
        <v>1</v>
      </c>
      <c r="G34" s="10"/>
      <c r="H34" s="10"/>
      <c r="I34" s="10"/>
      <c r="J34" s="12">
        <f>'MVP1 Pricing &amp; SKU'!$B$7*D34</f>
        <v>194.35</v>
      </c>
      <c r="K34" s="218">
        <v>782.05000000000007</v>
      </c>
      <c r="L34" s="219">
        <f>K34/(1+'Global Inputs'!$B$7)</f>
        <v>662.75423728813564</v>
      </c>
      <c r="M34" s="218">
        <f>IF(G34="",'Global Inputs'!$B$6,G34)</f>
        <v>0</v>
      </c>
      <c r="N34" s="219">
        <f t="shared" si="0"/>
        <v>0</v>
      </c>
      <c r="O34" s="219">
        <f>K34*'Global Inputs'!$B$8+'Global Inputs'!$B$9</f>
        <v>0</v>
      </c>
      <c r="P34" s="218">
        <f>SUM('Global Inputs'!$B$10:$B$14)</f>
        <v>56.5</v>
      </c>
      <c r="Q34" s="219">
        <f t="shared" si="1"/>
        <v>83.871749999999992</v>
      </c>
      <c r="R34" s="219">
        <f t="shared" si="2"/>
        <v>578.88248728813562</v>
      </c>
      <c r="S34" s="183">
        <f t="shared" si="3"/>
        <v>0.87344969631097757</v>
      </c>
      <c r="T34" s="218">
        <f>IF(H34="",'Global Inputs'!$B$15,H34)</f>
        <v>500</v>
      </c>
      <c r="U34" s="218">
        <f>IF(I34="",'Global Inputs'!$B$16,I34)</f>
        <v>149</v>
      </c>
      <c r="V34" s="219">
        <f t="shared" si="4"/>
        <v>649</v>
      </c>
      <c r="W34" s="219">
        <f>V34*'Global Inputs'!$B$8</f>
        <v>0</v>
      </c>
      <c r="X34" s="218">
        <f>'Global Inputs'!$B$18</f>
        <v>10</v>
      </c>
      <c r="Y34" s="219">
        <f>U34/(1+'Global Inputs'!$B$17)-W34-X34</f>
        <v>139</v>
      </c>
      <c r="Z34" s="219">
        <f t="shared" si="5"/>
        <v>1431.0500000000002</v>
      </c>
      <c r="AA34" s="219">
        <f t="shared" si="6"/>
        <v>593.87175000000002</v>
      </c>
      <c r="AB34" s="219">
        <f t="shared" si="7"/>
        <v>717.88248728813562</v>
      </c>
      <c r="AC34" s="13">
        <f t="shared" si="8"/>
        <v>139</v>
      </c>
      <c r="AD34" s="183">
        <v>0.88435939636902705</v>
      </c>
      <c r="AE34" s="219">
        <f t="shared" si="9"/>
        <v>192.96082909604522</v>
      </c>
      <c r="AF34" s="219">
        <f t="shared" si="10"/>
        <v>239.29416242937853</v>
      </c>
      <c r="AG34" s="207">
        <f>L34*'NC Credits'!$B$15</f>
        <v>27.371749999999999</v>
      </c>
      <c r="AH34" s="219" t="str">
        <f t="shared" si="11"/>
        <v>AUTO</v>
      </c>
      <c r="AI34" s="207">
        <f t="shared" si="12"/>
        <v>0</v>
      </c>
      <c r="AJ34" s="207">
        <f>'Global Inputs'!$B$33</f>
        <v>103.55029585798816</v>
      </c>
      <c r="AK34" s="207">
        <f t="shared" si="13"/>
        <v>310.6508875739645</v>
      </c>
      <c r="AL34" s="207">
        <f t="shared" si="14"/>
        <v>268.23159971417113</v>
      </c>
      <c r="AM34" s="184">
        <f t="shared" si="15"/>
        <v>0.40472257229425473</v>
      </c>
      <c r="AN34" s="207">
        <f t="shared" si="16"/>
        <v>407.23159971417113</v>
      </c>
      <c r="AO34" s="184">
        <f>IF((L34+U34/(1+'Global Inputs'!$B$17))=0,0,AN34/(L34+U34/(1+'Global Inputs'!$B$17)))</f>
        <v>0.50166858515531532</v>
      </c>
      <c r="AP34" s="207">
        <f t="shared" si="17"/>
        <v>89.410533238057042</v>
      </c>
      <c r="AQ34" s="185">
        <v>5</v>
      </c>
      <c r="AR34" s="186" t="s">
        <v>1302</v>
      </c>
    </row>
  </sheetData>
  <mergeCells count="2">
    <mergeCell ref="A1:AF1"/>
    <mergeCell ref="A2:AF2"/>
  </mergeCells>
  <conditionalFormatting sqref="R5:R34">
    <cfRule type="expression" dxfId="81" priority="1">
      <formula>R5&lt;0</formula>
    </cfRule>
  </conditionalFormatting>
  <conditionalFormatting sqref="AB5:AB34">
    <cfRule type="expression" dxfId="80" priority="2">
      <formula>AB5&lt;0</formula>
    </cfRule>
    <cfRule type="dataBar" priority="3">
      <dataBar>
        <cfvo type="min"/>
        <cfvo type="max"/>
        <color rgb="FFA02B93"/>
      </dataBar>
    </cfRule>
    <cfRule type="dataBar" priority="4">
      <dataBar>
        <cfvo type="min"/>
        <cfvo type="max"/>
        <color rgb="FFA02B93"/>
      </dataBar>
    </cfRule>
    <cfRule type="dataBar" priority="5">
      <dataBar>
        <cfvo type="min"/>
        <cfvo type="max"/>
        <color rgb="FFA02B93"/>
      </dataBar>
      <extLst>
        <ext xmlns:x14="http://schemas.microsoft.com/office/spreadsheetml/2009/9/main" uri="{B025F937-C7B1-47D3-B67F-A62EFF666E3E}">
          <x14:id>{2322BD75-956D-5631-3B41-D83821096D9B}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322BD75-956D-5631-3B41-D83821096D9B}">
            <x14:dataBar>
              <x14:cfvo type="min"/>
              <x14:cfvo type="max"/>
              <x14:negativeFillColor auto="1"/>
              <x14:axisColor auto="1"/>
            </x14:dataBar>
          </x14:cfRule>
          <xm:sqref>AB5:AB34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workbookViewId="0"/>
  </sheetViews>
  <sheetFormatPr baseColWidth="10" defaultColWidth="8.83203125" defaultRowHeight="14"/>
  <cols>
    <col min="1" max="1" width="38" customWidth="1"/>
    <col min="2" max="2" width="24" customWidth="1"/>
    <col min="3" max="3" width="60" customWidth="1"/>
    <col min="4" max="4" width="54" customWidth="1"/>
  </cols>
  <sheetData>
    <row r="1" spans="1:4" ht="19">
      <c r="A1" s="443" t="s">
        <v>94</v>
      </c>
      <c r="B1" s="443"/>
      <c r="C1" s="443"/>
      <c r="D1" s="443"/>
    </row>
    <row r="3" spans="1:4" ht="16">
      <c r="A3" s="21" t="s">
        <v>38</v>
      </c>
      <c r="B3" s="21" t="s">
        <v>39</v>
      </c>
      <c r="C3" s="21" t="s">
        <v>95</v>
      </c>
      <c r="D3" s="21" t="s">
        <v>96</v>
      </c>
    </row>
    <row r="4" spans="1:4" ht="60.25" customHeight="1">
      <c r="A4" s="1" t="s">
        <v>59</v>
      </c>
      <c r="B4" s="1" t="s">
        <v>60</v>
      </c>
      <c r="C4" s="1" t="s">
        <v>97</v>
      </c>
      <c r="D4" s="1" t="s">
        <v>98</v>
      </c>
    </row>
    <row r="5" spans="1:4" ht="60.25" customHeight="1">
      <c r="A5" s="1" t="s">
        <v>62</v>
      </c>
      <c r="B5" s="1" t="s">
        <v>60</v>
      </c>
      <c r="C5" s="1" t="s">
        <v>97</v>
      </c>
      <c r="D5" s="1" t="s">
        <v>98</v>
      </c>
    </row>
    <row r="6" spans="1:4" ht="60.25" customHeight="1">
      <c r="A6" s="1" t="s">
        <v>61</v>
      </c>
      <c r="B6" s="1" t="s">
        <v>60</v>
      </c>
      <c r="C6" s="1" t="s">
        <v>97</v>
      </c>
      <c r="D6" s="1" t="s">
        <v>98</v>
      </c>
    </row>
    <row r="7" spans="1:4" ht="60.25" customHeight="1">
      <c r="A7" s="1" t="s">
        <v>99</v>
      </c>
      <c r="B7" s="1" t="s">
        <v>60</v>
      </c>
      <c r="C7" s="1" t="s">
        <v>97</v>
      </c>
      <c r="D7" s="1" t="s">
        <v>98</v>
      </c>
    </row>
    <row r="8" spans="1:4" ht="60.25" customHeight="1">
      <c r="A8" s="1" t="s">
        <v>63</v>
      </c>
      <c r="B8" s="1" t="s">
        <v>60</v>
      </c>
      <c r="C8" s="1" t="s">
        <v>97</v>
      </c>
      <c r="D8" s="1" t="s">
        <v>98</v>
      </c>
    </row>
    <row r="9" spans="1:4" ht="60.25" customHeight="1">
      <c r="A9" s="1" t="s">
        <v>64</v>
      </c>
      <c r="B9" s="1" t="s">
        <v>65</v>
      </c>
      <c r="C9" s="1" t="s">
        <v>100</v>
      </c>
      <c r="D9" s="1" t="s">
        <v>98</v>
      </c>
    </row>
    <row r="10" spans="1:4" ht="60.25" customHeight="1">
      <c r="A10" s="1" t="s">
        <v>66</v>
      </c>
      <c r="B10" s="1" t="s">
        <v>65</v>
      </c>
      <c r="C10" s="1" t="s">
        <v>100</v>
      </c>
      <c r="D10" s="1" t="s">
        <v>98</v>
      </c>
    </row>
    <row r="11" spans="1:4" ht="60.25" customHeight="1">
      <c r="A11" s="1" t="s">
        <v>67</v>
      </c>
      <c r="B11" s="1" t="s">
        <v>65</v>
      </c>
      <c r="C11" s="1" t="s">
        <v>100</v>
      </c>
      <c r="D11" s="1" t="s">
        <v>98</v>
      </c>
    </row>
    <row r="12" spans="1:4" ht="60.25" customHeight="1">
      <c r="A12" s="1" t="s">
        <v>68</v>
      </c>
      <c r="B12" s="1" t="s">
        <v>65</v>
      </c>
      <c r="C12" s="1" t="s">
        <v>100</v>
      </c>
      <c r="D12" s="1" t="s">
        <v>98</v>
      </c>
    </row>
    <row r="13" spans="1:4" ht="60.25" customHeight="1">
      <c r="A13" s="1" t="s">
        <v>69</v>
      </c>
      <c r="B13" s="1" t="s">
        <v>70</v>
      </c>
      <c r="C13" s="1" t="s">
        <v>101</v>
      </c>
      <c r="D13" s="1" t="s">
        <v>98</v>
      </c>
    </row>
    <row r="14" spans="1:4" ht="60.25" customHeight="1">
      <c r="A14" s="1" t="s">
        <v>71</v>
      </c>
      <c r="B14" s="1" t="s">
        <v>70</v>
      </c>
      <c r="C14" s="1" t="s">
        <v>101</v>
      </c>
      <c r="D14" s="1" t="s">
        <v>98</v>
      </c>
    </row>
    <row r="15" spans="1:4" ht="60.25" customHeight="1">
      <c r="A15" s="1" t="s">
        <v>72</v>
      </c>
      <c r="B15" s="1" t="s">
        <v>70</v>
      </c>
      <c r="C15" s="1" t="s">
        <v>101</v>
      </c>
      <c r="D15" s="1" t="s">
        <v>98</v>
      </c>
    </row>
    <row r="16" spans="1:4" ht="60.25" customHeight="1">
      <c r="A16" s="1" t="s">
        <v>73</v>
      </c>
      <c r="B16" s="1" t="s">
        <v>74</v>
      </c>
      <c r="C16" s="1" t="s">
        <v>102</v>
      </c>
      <c r="D16" s="1" t="s">
        <v>98</v>
      </c>
    </row>
    <row r="17" spans="1:4" ht="60.25" customHeight="1">
      <c r="A17" s="1" t="s">
        <v>75</v>
      </c>
      <c r="B17" s="1" t="s">
        <v>74</v>
      </c>
      <c r="C17" s="1" t="s">
        <v>102</v>
      </c>
      <c r="D17" s="1" t="s">
        <v>98</v>
      </c>
    </row>
    <row r="18" spans="1:4" ht="60.25" customHeight="1">
      <c r="A18" s="1" t="s">
        <v>76</v>
      </c>
      <c r="B18" s="1" t="s">
        <v>74</v>
      </c>
      <c r="C18" s="1" t="s">
        <v>102</v>
      </c>
      <c r="D18" s="1" t="s">
        <v>98</v>
      </c>
    </row>
    <row r="19" spans="1:4" ht="60.25" customHeight="1">
      <c r="A19" s="1" t="s">
        <v>77</v>
      </c>
      <c r="B19" s="1" t="s">
        <v>74</v>
      </c>
      <c r="C19" s="1" t="s">
        <v>102</v>
      </c>
      <c r="D19" s="1" t="s">
        <v>98</v>
      </c>
    </row>
    <row r="20" spans="1:4" ht="60.25" customHeight="1">
      <c r="A20" s="1" t="s">
        <v>78</v>
      </c>
      <c r="B20" s="1" t="s">
        <v>79</v>
      </c>
      <c r="C20" s="1" t="s">
        <v>103</v>
      </c>
      <c r="D20" s="1" t="s">
        <v>98</v>
      </c>
    </row>
    <row r="21" spans="1:4" ht="60.25" customHeight="1">
      <c r="A21" s="1" t="s">
        <v>80</v>
      </c>
      <c r="B21" s="1" t="s">
        <v>79</v>
      </c>
      <c r="C21" s="1" t="s">
        <v>103</v>
      </c>
      <c r="D21" s="1" t="s">
        <v>98</v>
      </c>
    </row>
    <row r="22" spans="1:4" ht="60.25" customHeight="1">
      <c r="A22" s="1" t="s">
        <v>81</v>
      </c>
      <c r="B22" s="1" t="s">
        <v>82</v>
      </c>
      <c r="C22" s="1" t="s">
        <v>104</v>
      </c>
      <c r="D22" s="1" t="s">
        <v>98</v>
      </c>
    </row>
    <row r="23" spans="1:4" ht="60.25" customHeight="1">
      <c r="A23" s="1" t="s">
        <v>83</v>
      </c>
      <c r="B23" s="1" t="s">
        <v>82</v>
      </c>
      <c r="C23" s="1" t="s">
        <v>104</v>
      </c>
      <c r="D23" s="1" t="s">
        <v>98</v>
      </c>
    </row>
    <row r="24" spans="1:4" ht="60.25" customHeight="1">
      <c r="A24" s="1" t="s">
        <v>84</v>
      </c>
      <c r="B24" s="1" t="s">
        <v>82</v>
      </c>
      <c r="C24" s="1" t="s">
        <v>104</v>
      </c>
      <c r="D24" s="1" t="s">
        <v>98</v>
      </c>
    </row>
    <row r="25" spans="1:4" ht="60.25" customHeight="1">
      <c r="A25" s="1" t="s">
        <v>85</v>
      </c>
      <c r="B25" s="1" t="s">
        <v>82</v>
      </c>
      <c r="C25" s="1" t="s">
        <v>104</v>
      </c>
      <c r="D25" s="1" t="s">
        <v>98</v>
      </c>
    </row>
    <row r="26" spans="1:4" ht="60.25" customHeight="1">
      <c r="A26" s="1" t="s">
        <v>86</v>
      </c>
      <c r="B26" s="1" t="s">
        <v>82</v>
      </c>
      <c r="C26" s="1" t="s">
        <v>104</v>
      </c>
      <c r="D26" s="1" t="s">
        <v>98</v>
      </c>
    </row>
    <row r="27" spans="1:4" ht="60.25" customHeight="1">
      <c r="A27" s="1" t="s">
        <v>87</v>
      </c>
      <c r="B27" s="1" t="s">
        <v>82</v>
      </c>
      <c r="C27" s="1" t="s">
        <v>104</v>
      </c>
      <c r="D27" s="1" t="s">
        <v>98</v>
      </c>
    </row>
    <row r="28" spans="1:4" ht="60.25" customHeight="1">
      <c r="A28" s="1" t="s">
        <v>88</v>
      </c>
      <c r="B28" s="1" t="s">
        <v>89</v>
      </c>
      <c r="C28" s="1" t="s">
        <v>105</v>
      </c>
      <c r="D28" s="1" t="s">
        <v>98</v>
      </c>
    </row>
    <row r="29" spans="1:4" ht="60.25" customHeight="1">
      <c r="A29" s="1" t="s">
        <v>90</v>
      </c>
      <c r="B29" s="1" t="s">
        <v>82</v>
      </c>
      <c r="C29" s="1" t="s">
        <v>104</v>
      </c>
      <c r="D29" s="1" t="s">
        <v>98</v>
      </c>
    </row>
    <row r="30" spans="1:4" ht="60.25" customHeight="1">
      <c r="A30" s="1" t="s">
        <v>91</v>
      </c>
      <c r="B30" s="1" t="s">
        <v>82</v>
      </c>
      <c r="C30" s="1" t="s">
        <v>104</v>
      </c>
      <c r="D30" s="1" t="s">
        <v>98</v>
      </c>
    </row>
    <row r="31" spans="1:4" ht="60.25" customHeight="1">
      <c r="A31" s="1" t="s">
        <v>106</v>
      </c>
      <c r="B31" s="1" t="s">
        <v>82</v>
      </c>
      <c r="C31" s="1" t="s">
        <v>104</v>
      </c>
      <c r="D31" s="1" t="s">
        <v>98</v>
      </c>
    </row>
    <row r="32" spans="1:4" ht="60.25" customHeight="1">
      <c r="A32" s="1" t="s">
        <v>92</v>
      </c>
      <c r="B32" s="1" t="s">
        <v>82</v>
      </c>
      <c r="C32" s="1" t="s">
        <v>104</v>
      </c>
      <c r="D32" s="1" t="s">
        <v>98</v>
      </c>
    </row>
    <row r="33" spans="1:4" ht="60.25" customHeight="1">
      <c r="A33" s="1" t="s">
        <v>93</v>
      </c>
      <c r="B33" s="1" t="s">
        <v>79</v>
      </c>
      <c r="C33" s="1" t="s">
        <v>103</v>
      </c>
      <c r="D33" s="1" t="s">
        <v>98</v>
      </c>
    </row>
  </sheetData>
  <mergeCells count="1">
    <mergeCell ref="A1:D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99"/>
  <sheetViews>
    <sheetView workbookViewId="0"/>
  </sheetViews>
  <sheetFormatPr baseColWidth="10" defaultColWidth="8.83203125" defaultRowHeight="14"/>
  <cols>
    <col min="1" max="1" width="35" customWidth="1"/>
    <col min="2" max="2" width="16" customWidth="1"/>
    <col min="3" max="4" width="14" customWidth="1"/>
    <col min="6" max="10" width="15" customWidth="1"/>
    <col min="11" max="11" width="11.6640625" customWidth="1"/>
    <col min="14" max="14" width="32" customWidth="1"/>
    <col min="15" max="15" width="17" customWidth="1"/>
    <col min="16" max="16" width="32" customWidth="1"/>
    <col min="17" max="17" width="18" customWidth="1"/>
    <col min="18" max="18" width="30" customWidth="1"/>
    <col min="19" max="19" width="18" customWidth="1"/>
    <col min="21" max="23" width="24" customWidth="1"/>
    <col min="24" max="26" width="14" customWidth="1"/>
  </cols>
  <sheetData>
    <row r="1" spans="1:30" ht="49.75" customHeight="1">
      <c r="A1" s="447" t="s">
        <v>107</v>
      </c>
      <c r="B1" s="447"/>
      <c r="C1" s="447"/>
      <c r="D1" s="447"/>
      <c r="E1" s="447"/>
      <c r="F1" s="447"/>
      <c r="G1" s="447"/>
      <c r="H1" s="447"/>
      <c r="I1" s="447"/>
      <c r="J1" s="447"/>
      <c r="K1" s="447"/>
      <c r="L1" s="447"/>
      <c r="M1" s="447"/>
      <c r="N1" s="447"/>
      <c r="O1" s="447"/>
      <c r="P1" s="447"/>
      <c r="Q1" s="447"/>
      <c r="R1" s="447"/>
      <c r="S1" s="447"/>
      <c r="T1" s="447"/>
      <c r="U1" s="447"/>
      <c r="V1" s="447"/>
      <c r="W1" s="447"/>
      <c r="X1" s="447"/>
      <c r="Y1" s="447"/>
      <c r="Z1" s="447"/>
      <c r="AA1" s="447"/>
      <c r="AB1" s="447"/>
      <c r="AC1" s="447"/>
      <c r="AD1" s="447"/>
    </row>
    <row r="2" spans="1:30" ht="49.75" customHeight="1">
      <c r="A2" s="446" t="s">
        <v>1303</v>
      </c>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row>
    <row r="4" spans="1:30" ht="15">
      <c r="A4" s="25" t="s">
        <v>108</v>
      </c>
      <c r="B4" s="26" t="s">
        <v>109</v>
      </c>
      <c r="F4" s="28" t="s">
        <v>110</v>
      </c>
      <c r="G4" s="28" t="s">
        <v>109</v>
      </c>
      <c r="H4" s="28" t="s">
        <v>111</v>
      </c>
      <c r="I4" s="28" t="s">
        <v>112</v>
      </c>
      <c r="J4" s="28" t="s">
        <v>113</v>
      </c>
      <c r="N4" s="445"/>
      <c r="O4" s="445"/>
      <c r="P4" s="445" t="s">
        <v>114</v>
      </c>
      <c r="Q4" s="445"/>
      <c r="U4" s="445" t="s">
        <v>115</v>
      </c>
      <c r="V4" s="445"/>
      <c r="W4" s="445"/>
    </row>
    <row r="5" spans="1:30" ht="15">
      <c r="A5" s="25" t="s">
        <v>116</v>
      </c>
      <c r="B5" s="25" t="s">
        <v>2</v>
      </c>
      <c r="F5" t="s">
        <v>117</v>
      </c>
      <c r="G5" s="23">
        <v>4</v>
      </c>
      <c r="H5" s="23">
        <v>5</v>
      </c>
      <c r="I5" s="23">
        <v>7</v>
      </c>
      <c r="J5" s="19">
        <f t="shared" ref="J5:J12" si="0">IF($B$4="Conservative",G5,IF($B$4="Base",H5,I5))</f>
        <v>4</v>
      </c>
      <c r="N5" s="25"/>
      <c r="O5" s="25"/>
      <c r="P5" s="25" t="s">
        <v>118</v>
      </c>
      <c r="Q5" s="25" t="s">
        <v>2</v>
      </c>
      <c r="U5" s="25" t="s">
        <v>119</v>
      </c>
      <c r="V5" s="25" t="s">
        <v>120</v>
      </c>
      <c r="W5" s="25" t="s">
        <v>121</v>
      </c>
    </row>
    <row r="6" spans="1:30">
      <c r="A6" t="s">
        <v>117</v>
      </c>
      <c r="B6" s="19">
        <f>J5</f>
        <v>4</v>
      </c>
      <c r="F6" t="s">
        <v>122</v>
      </c>
      <c r="G6" s="23">
        <v>6</v>
      </c>
      <c r="H6" s="23">
        <v>10</v>
      </c>
      <c r="I6" s="23">
        <v>16</v>
      </c>
      <c r="J6" s="19">
        <f t="shared" si="0"/>
        <v>6</v>
      </c>
      <c r="O6" s="15"/>
      <c r="P6" t="s">
        <v>123</v>
      </c>
      <c r="Q6" s="15">
        <f>$B$11*$B$7</f>
        <v>180</v>
      </c>
      <c r="U6" t="s">
        <v>124</v>
      </c>
      <c r="V6" s="156">
        <f>SUMPRODUCT(I37:I66,'Service Economics'!N5:N34)</f>
        <v>0</v>
      </c>
      <c r="W6" t="s">
        <v>125</v>
      </c>
    </row>
    <row r="7" spans="1:30">
      <c r="A7" t="s">
        <v>126</v>
      </c>
      <c r="B7" s="27">
        <v>30</v>
      </c>
      <c r="F7" t="s">
        <v>127</v>
      </c>
      <c r="G7" s="29">
        <v>0.25</v>
      </c>
      <c r="H7" s="29">
        <v>0.35</v>
      </c>
      <c r="I7" s="29">
        <v>0.45</v>
      </c>
      <c r="J7" s="20">
        <f t="shared" si="0"/>
        <v>0.25</v>
      </c>
      <c r="O7" s="15"/>
      <c r="P7" t="s">
        <v>128</v>
      </c>
      <c r="Q7" s="15">
        <f>Q6*$B$12</f>
        <v>45</v>
      </c>
      <c r="U7" t="s">
        <v>129</v>
      </c>
      <c r="V7" s="156">
        <f>SUMPRODUCT(I37:I66,'Service Economics'!O5:O34)</f>
        <v>0</v>
      </c>
      <c r="W7" t="s">
        <v>130</v>
      </c>
    </row>
    <row r="8" spans="1:30">
      <c r="A8" t="s">
        <v>131</v>
      </c>
      <c r="B8" s="23">
        <v>8</v>
      </c>
      <c r="F8" t="s">
        <v>132</v>
      </c>
      <c r="G8" s="29">
        <v>0.12</v>
      </c>
      <c r="H8" s="29">
        <v>0.08</v>
      </c>
      <c r="I8" s="29">
        <v>0.06</v>
      </c>
      <c r="J8" s="20">
        <f t="shared" si="0"/>
        <v>0.12</v>
      </c>
      <c r="O8" s="15"/>
      <c r="P8" t="s">
        <v>133</v>
      </c>
      <c r="Q8" s="15">
        <f>Q7*$B$13</f>
        <v>5.3999999999999995</v>
      </c>
      <c r="U8" t="s">
        <v>19</v>
      </c>
      <c r="V8" s="156">
        <f>$Q$19*'Global Inputs'!$B$10</f>
        <v>376.20000000000005</v>
      </c>
      <c r="W8" t="s">
        <v>134</v>
      </c>
    </row>
    <row r="9" spans="1:30">
      <c r="A9" t="s">
        <v>135</v>
      </c>
      <c r="B9" s="20">
        <v>1</v>
      </c>
      <c r="F9" t="s">
        <v>136</v>
      </c>
      <c r="G9" s="29">
        <v>0.05</v>
      </c>
      <c r="H9" s="29">
        <v>0.03</v>
      </c>
      <c r="I9" s="29">
        <v>0.02</v>
      </c>
      <c r="J9" s="20">
        <f t="shared" si="0"/>
        <v>0.05</v>
      </c>
      <c r="O9" s="15"/>
      <c r="P9" t="s">
        <v>137</v>
      </c>
      <c r="Q9" s="15">
        <f>(Q7-Q8)*$B$14</f>
        <v>1.9800000000000002</v>
      </c>
      <c r="U9" t="s">
        <v>22</v>
      </c>
      <c r="V9" s="156">
        <f>$Q$19*'Global Inputs'!$B$11</f>
        <v>376.20000000000005</v>
      </c>
      <c r="W9" t="s">
        <v>134</v>
      </c>
    </row>
    <row r="10" spans="1:30">
      <c r="A10" t="s">
        <v>138</v>
      </c>
      <c r="B10" s="23">
        <v>1.8</v>
      </c>
      <c r="F10" t="s">
        <v>139</v>
      </c>
      <c r="G10" s="29">
        <v>0.5</v>
      </c>
      <c r="H10" s="29">
        <v>0.65</v>
      </c>
      <c r="I10" s="29">
        <v>0.8</v>
      </c>
      <c r="J10" s="20">
        <f t="shared" si="0"/>
        <v>0.5</v>
      </c>
      <c r="O10" s="15"/>
      <c r="P10" t="s">
        <v>140</v>
      </c>
      <c r="Q10" s="15">
        <f>Q7-Q8-Q9</f>
        <v>37.620000000000005</v>
      </c>
      <c r="U10" t="s">
        <v>141</v>
      </c>
      <c r="V10" s="156">
        <f>$Q$19*'Global Inputs'!$B$12</f>
        <v>18.810000000000002</v>
      </c>
      <c r="W10" t="s">
        <v>134</v>
      </c>
    </row>
    <row r="11" spans="1:30">
      <c r="A11" t="s">
        <v>142</v>
      </c>
      <c r="B11" s="19">
        <f>J6</f>
        <v>6</v>
      </c>
      <c r="F11" t="s">
        <v>143</v>
      </c>
      <c r="G11" s="29">
        <v>0.4</v>
      </c>
      <c r="H11" s="29">
        <v>0.6</v>
      </c>
      <c r="I11" s="29">
        <v>0.7</v>
      </c>
      <c r="J11" s="20">
        <f t="shared" si="0"/>
        <v>0.4</v>
      </c>
      <c r="O11" s="15"/>
      <c r="Q11" s="15"/>
      <c r="U11" t="s">
        <v>24</v>
      </c>
      <c r="V11" s="156">
        <f>$Q$19*'Global Inputs'!$B$13</f>
        <v>0</v>
      </c>
      <c r="W11" t="s">
        <v>134</v>
      </c>
    </row>
    <row r="12" spans="1:30" ht="15">
      <c r="A12" t="s">
        <v>144</v>
      </c>
      <c r="B12" s="20">
        <f>J7</f>
        <v>0.25</v>
      </c>
      <c r="F12" t="s">
        <v>145</v>
      </c>
      <c r="G12" s="29">
        <v>0.2</v>
      </c>
      <c r="H12" s="29">
        <v>0.3</v>
      </c>
      <c r="I12" s="29">
        <v>0.45</v>
      </c>
      <c r="J12" s="20">
        <f t="shared" si="0"/>
        <v>0.2</v>
      </c>
      <c r="N12" s="25"/>
      <c r="O12" s="37"/>
      <c r="P12" s="25" t="s">
        <v>146</v>
      </c>
      <c r="Q12" s="37" t="s">
        <v>2</v>
      </c>
      <c r="U12" t="s">
        <v>25</v>
      </c>
      <c r="V12" s="156">
        <f>$Q$19*'Global Inputs'!$B$14</f>
        <v>1354.3200000000002</v>
      </c>
      <c r="W12" t="s">
        <v>134</v>
      </c>
    </row>
    <row r="13" spans="1:30">
      <c r="A13" t="s">
        <v>147</v>
      </c>
      <c r="B13" s="20">
        <f>J8</f>
        <v>0.12</v>
      </c>
      <c r="O13" s="15"/>
      <c r="P13" t="s">
        <v>148</v>
      </c>
      <c r="Q13" s="15">
        <f>$B$6*$B$7*$B$8</f>
        <v>960</v>
      </c>
      <c r="U13" t="s">
        <v>149</v>
      </c>
      <c r="V13" s="156">
        <f>$B$16*SUMPRODUCT(I37:I66,'Service Economics'!T5:T34)</f>
        <v>7523.9999999999991</v>
      </c>
      <c r="W13" t="s">
        <v>150</v>
      </c>
    </row>
    <row r="14" spans="1:30">
      <c r="A14" t="s">
        <v>151</v>
      </c>
      <c r="B14" s="20">
        <f>J9</f>
        <v>0.05</v>
      </c>
      <c r="O14" s="15"/>
      <c r="P14" t="s">
        <v>152</v>
      </c>
      <c r="Q14" s="15">
        <f>Q13*$B$9</f>
        <v>960</v>
      </c>
      <c r="U14" t="s">
        <v>153</v>
      </c>
      <c r="V14" s="156">
        <f>$B$16*SUMPRODUCT(I37:I66,'Service Economics'!W5:W34)</f>
        <v>0</v>
      </c>
      <c r="W14" t="s">
        <v>154</v>
      </c>
    </row>
    <row r="15" spans="1:30">
      <c r="A15" t="s">
        <v>155</v>
      </c>
      <c r="B15" s="20">
        <f>1-J11</f>
        <v>0.6</v>
      </c>
      <c r="O15" s="15"/>
      <c r="P15" t="s">
        <v>156</v>
      </c>
      <c r="Q15" s="15">
        <f>S45</f>
        <v>4.62</v>
      </c>
      <c r="U15" t="s">
        <v>31</v>
      </c>
      <c r="V15" s="156">
        <f>$Q$19*$B$16*'Global Inputs'!$B$18</f>
        <v>150.48000000000002</v>
      </c>
      <c r="W15" t="s">
        <v>150</v>
      </c>
    </row>
    <row r="16" spans="1:30">
      <c r="A16" t="s">
        <v>157</v>
      </c>
      <c r="B16" s="20">
        <f>J11</f>
        <v>0.4</v>
      </c>
      <c r="O16" s="15"/>
      <c r="P16" t="s">
        <v>158</v>
      </c>
      <c r="Q16" s="15">
        <f>IF(Q15=0,0,Q14/Q15)</f>
        <v>207.79220779220779</v>
      </c>
      <c r="U16" t="s">
        <v>1304</v>
      </c>
      <c r="V16" s="156">
        <f>SUMPRODUCT(I37:I66,H37:H66)</f>
        <v>0</v>
      </c>
      <c r="W16" t="s">
        <v>1305</v>
      </c>
    </row>
    <row r="17" spans="1:23" ht="15">
      <c r="A17" t="s">
        <v>159</v>
      </c>
      <c r="B17" s="20">
        <f>J12</f>
        <v>0.2</v>
      </c>
      <c r="O17" s="15"/>
      <c r="P17" t="s">
        <v>160</v>
      </c>
      <c r="Q17" s="15">
        <f>$B$6*$B$10*$B$7</f>
        <v>216</v>
      </c>
      <c r="U17" s="30" t="s">
        <v>1306</v>
      </c>
      <c r="V17" s="169">
        <f>SUMPRODUCT(I37:I66,'Service Economics'!AG5:AG34)</f>
        <v>2450.2680971999998</v>
      </c>
      <c r="W17" s="30" t="s">
        <v>1307</v>
      </c>
    </row>
    <row r="18" spans="1:23" ht="32">
      <c r="A18" t="s">
        <v>161</v>
      </c>
      <c r="B18" s="20">
        <f>1-J12</f>
        <v>0.8</v>
      </c>
      <c r="O18" s="15"/>
      <c r="P18" t="s">
        <v>162</v>
      </c>
      <c r="Q18" s="15">
        <f>MIN(Q16,Q17)</f>
        <v>207.79220779220779</v>
      </c>
      <c r="U18" s="160" t="s">
        <v>1308</v>
      </c>
      <c r="V18" s="170">
        <f>SUM(V6:V17)</f>
        <v>12250.278097199998</v>
      </c>
      <c r="W18" s="160" t="s">
        <v>1309</v>
      </c>
    </row>
    <row r="19" spans="1:23" ht="15">
      <c r="A19" t="s">
        <v>163</v>
      </c>
      <c r="B19" s="23">
        <v>2</v>
      </c>
      <c r="O19" s="15"/>
      <c r="P19" t="s">
        <v>164</v>
      </c>
      <c r="Q19" s="15">
        <f>MIN(Q18,Q10)</f>
        <v>37.620000000000005</v>
      </c>
      <c r="U19" s="160"/>
      <c r="V19" s="170"/>
      <c r="W19" s="160"/>
    </row>
    <row r="20" spans="1:23">
      <c r="O20" s="17"/>
      <c r="P20" t="s">
        <v>165</v>
      </c>
      <c r="Q20" s="15">
        <f>MAX(Q10-Q19,0)</f>
        <v>0</v>
      </c>
    </row>
    <row r="21" spans="1:23" ht="15">
      <c r="A21" s="445" t="s">
        <v>166</v>
      </c>
      <c r="B21" s="445"/>
      <c r="C21" s="445"/>
      <c r="D21" s="445"/>
      <c r="O21" s="15"/>
      <c r="P21" t="s">
        <v>167</v>
      </c>
      <c r="Q21" s="17">
        <f>IF(Q13=0,0,Q19*Q15/Q13)</f>
        <v>0.18104625000000002</v>
      </c>
    </row>
    <row r="22" spans="1:23" ht="15">
      <c r="A22" s="25" t="s">
        <v>168</v>
      </c>
      <c r="B22" s="25" t="s">
        <v>120</v>
      </c>
      <c r="C22" s="25" t="s">
        <v>169</v>
      </c>
      <c r="D22" s="25"/>
      <c r="P22" t="s">
        <v>170</v>
      </c>
      <c r="Q22" s="15">
        <f>Q14-Q19*Q15</f>
        <v>786.19560000000001</v>
      </c>
    </row>
    <row r="23" spans="1:23">
      <c r="A23" t="s">
        <v>171</v>
      </c>
      <c r="B23" s="22">
        <v>45000</v>
      </c>
      <c r="C23" t="s">
        <v>172</v>
      </c>
    </row>
    <row r="24" spans="1:23" ht="15">
      <c r="A24" t="s">
        <v>173</v>
      </c>
      <c r="B24" s="22">
        <v>10000</v>
      </c>
      <c r="C24" t="s">
        <v>174</v>
      </c>
      <c r="N24" s="25"/>
      <c r="O24" s="25"/>
      <c r="P24" s="25" t="s">
        <v>175</v>
      </c>
      <c r="Q24" s="25" t="s">
        <v>2</v>
      </c>
      <c r="R24" s="25" t="s">
        <v>176</v>
      </c>
      <c r="S24" s="25" t="s">
        <v>2</v>
      </c>
    </row>
    <row r="25" spans="1:23">
      <c r="A25" t="s">
        <v>177</v>
      </c>
      <c r="B25" s="22">
        <v>8000</v>
      </c>
      <c r="C25" t="s">
        <v>178</v>
      </c>
      <c r="O25" s="16"/>
      <c r="P25" t="s">
        <v>179</v>
      </c>
      <c r="Q25" s="16">
        <f>SUM(K37:K66)</f>
        <v>70007.659920000006</v>
      </c>
      <c r="R25" t="s">
        <v>180</v>
      </c>
      <c r="S25" s="15">
        <f>$Q$19*$B$15</f>
        <v>22.572000000000003</v>
      </c>
    </row>
    <row r="26" spans="1:23">
      <c r="A26" t="s">
        <v>181</v>
      </c>
      <c r="B26" s="22">
        <v>10000</v>
      </c>
      <c r="C26" t="s">
        <v>182</v>
      </c>
      <c r="O26" s="16"/>
      <c r="P26" t="s">
        <v>183</v>
      </c>
      <c r="Q26" s="16">
        <f>SUM(L37:L66)</f>
        <v>9766.1520000000019</v>
      </c>
      <c r="R26" t="s">
        <v>184</v>
      </c>
      <c r="S26" s="15">
        <f>$Q$19*$B$16</f>
        <v>15.048000000000002</v>
      </c>
    </row>
    <row r="27" spans="1:23">
      <c r="A27" t="s">
        <v>185</v>
      </c>
      <c r="B27" s="22">
        <v>10000</v>
      </c>
      <c r="C27" t="s">
        <v>186</v>
      </c>
      <c r="O27" s="16"/>
      <c r="P27" t="s">
        <v>187</v>
      </c>
      <c r="Q27" s="16">
        <f>Q25+Q26</f>
        <v>79773.811920000007</v>
      </c>
      <c r="R27" t="s">
        <v>188</v>
      </c>
      <c r="S27" s="16">
        <f>$Q$19*$B$15*(S47-S50)</f>
        <v>32851.636355239323</v>
      </c>
    </row>
    <row r="28" spans="1:23">
      <c r="A28" t="s">
        <v>189</v>
      </c>
      <c r="B28" s="22">
        <v>4000</v>
      </c>
      <c r="C28" t="s">
        <v>190</v>
      </c>
      <c r="O28" s="16"/>
      <c r="P28" t="s">
        <v>191</v>
      </c>
      <c r="Q28" s="16">
        <f>Q25-SUM(Y37:Y66)</f>
        <v>10679.13456406779</v>
      </c>
      <c r="R28" t="s">
        <v>192</v>
      </c>
      <c r="S28" s="16">
        <f>$Q$19*$B$16*(S48-S50)</f>
        <v>23992.762903492876</v>
      </c>
    </row>
    <row r="29" spans="1:23">
      <c r="A29" t="s">
        <v>193</v>
      </c>
      <c r="B29" s="22">
        <v>5000</v>
      </c>
      <c r="C29" t="s">
        <v>194</v>
      </c>
      <c r="O29" s="16"/>
      <c r="P29" t="s">
        <v>195</v>
      </c>
      <c r="Q29" s="16">
        <f>SUM(Z37:Z66)</f>
        <v>0</v>
      </c>
      <c r="R29" t="s">
        <v>196</v>
      </c>
      <c r="S29" s="17">
        <f>$B$15+$B$16</f>
        <v>1</v>
      </c>
    </row>
    <row r="30" spans="1:23">
      <c r="A30" t="s">
        <v>197</v>
      </c>
      <c r="B30" s="22">
        <v>0</v>
      </c>
      <c r="C30" t="s">
        <v>198</v>
      </c>
      <c r="O30" s="16"/>
      <c r="P30" t="s">
        <v>199</v>
      </c>
      <c r="Q30" s="16">
        <f>SUM(M37:M66)</f>
        <v>69094.677355932217</v>
      </c>
    </row>
    <row r="31" spans="1:23">
      <c r="A31" t="s">
        <v>200</v>
      </c>
      <c r="B31" s="22">
        <v>4000</v>
      </c>
      <c r="C31" t="s">
        <v>201</v>
      </c>
      <c r="O31" s="16"/>
      <c r="P31" t="s">
        <v>202</v>
      </c>
      <c r="Q31" s="16">
        <f>Q30-Q32</f>
        <v>12250.278097200011</v>
      </c>
    </row>
    <row r="32" spans="1:23" ht="15">
      <c r="A32" s="30" t="s">
        <v>203</v>
      </c>
      <c r="B32" s="32">
        <f>SUM(B23:B31)+'Global Inputs'!$B$30</f>
        <v>138000</v>
      </c>
      <c r="C32" s="30" t="s">
        <v>1310</v>
      </c>
      <c r="D32" s="30"/>
      <c r="O32" s="31"/>
      <c r="P32" t="s">
        <v>1311</v>
      </c>
      <c r="Q32" s="31">
        <f>SUM(N37:N66)</f>
        <v>56844.399258732206</v>
      </c>
    </row>
    <row r="33" spans="1:26" ht="15">
      <c r="A33" s="195" t="s">
        <v>1312</v>
      </c>
      <c r="B33" s="197">
        <f>'Global Inputs'!$B$30</f>
        <v>42000</v>
      </c>
      <c r="C33" s="195" t="s">
        <v>1313</v>
      </c>
      <c r="O33" s="17"/>
      <c r="P33" t="s">
        <v>204</v>
      </c>
      <c r="Q33" s="17">
        <f>IF(Q30=0,0,Q32/Q30)</f>
        <v>0.82270301322785977</v>
      </c>
    </row>
    <row r="34" spans="1:26">
      <c r="O34" s="16"/>
      <c r="P34" t="s">
        <v>205</v>
      </c>
      <c r="Q34" s="16">
        <f>IF(Q19=0,0,Q32/Q19)</f>
        <v>1511.0153976271185</v>
      </c>
    </row>
    <row r="35" spans="1:26" ht="15">
      <c r="A35" s="445" t="s">
        <v>206</v>
      </c>
      <c r="B35" s="445"/>
      <c r="C35" s="445"/>
      <c r="D35" s="445"/>
      <c r="E35" s="445"/>
      <c r="F35" s="445"/>
      <c r="G35" s="445"/>
      <c r="H35" s="445"/>
      <c r="I35" s="445"/>
      <c r="J35" s="445"/>
      <c r="K35" s="445"/>
      <c r="L35" s="445"/>
      <c r="M35" s="445"/>
      <c r="N35" s="445" t="s">
        <v>207</v>
      </c>
      <c r="O35" s="16"/>
      <c r="P35" t="s">
        <v>207</v>
      </c>
      <c r="Q35" s="16">
        <f>IF(Q19*Q15=0,0,Q32/(Q19*Q15))</f>
        <v>327.05960987599968</v>
      </c>
    </row>
    <row r="36" spans="1:26" ht="74.75" customHeight="1">
      <c r="A36" s="34" t="s">
        <v>38</v>
      </c>
      <c r="B36" s="34" t="s">
        <v>39</v>
      </c>
      <c r="C36" s="34" t="s">
        <v>40</v>
      </c>
      <c r="D36" s="34" t="s">
        <v>208</v>
      </c>
      <c r="E36" s="34" t="s">
        <v>1314</v>
      </c>
      <c r="F36" s="34" t="s">
        <v>1315</v>
      </c>
      <c r="G36" s="34" t="s">
        <v>209</v>
      </c>
      <c r="H36" s="34" t="s">
        <v>210</v>
      </c>
      <c r="I36" s="34" t="s">
        <v>211</v>
      </c>
      <c r="J36" s="34" t="s">
        <v>212</v>
      </c>
      <c r="K36" s="34" t="s">
        <v>213</v>
      </c>
      <c r="L36" s="34" t="s">
        <v>214</v>
      </c>
      <c r="M36" s="34" t="s">
        <v>215</v>
      </c>
      <c r="N36" s="34" t="s">
        <v>1316</v>
      </c>
      <c r="O36" s="16"/>
      <c r="P36" t="s">
        <v>216</v>
      </c>
      <c r="Q36" s="16">
        <f>$B$32</f>
        <v>138000</v>
      </c>
      <c r="R36" s="35"/>
      <c r="S36" s="35"/>
      <c r="T36" s="35"/>
      <c r="X36" s="39" t="s">
        <v>217</v>
      </c>
      <c r="Y36" s="39" t="s">
        <v>218</v>
      </c>
      <c r="Z36" s="39" t="s">
        <v>219</v>
      </c>
    </row>
    <row r="37" spans="1:26" ht="39" customHeight="1">
      <c r="A37" s="40" t="str">
        <f>'Service Economics'!A5</f>
        <v>Hospital Visit</v>
      </c>
      <c r="B37" s="40" t="str">
        <f>'Service Economics'!B5</f>
        <v>Medical Visit</v>
      </c>
      <c r="C37" s="45">
        <f>'Service Economics'!C5</f>
        <v>4</v>
      </c>
      <c r="D37" s="12">
        <f>'Service Economics'!K5</f>
        <v>1395</v>
      </c>
      <c r="E37" s="12">
        <f>'Service Economics'!R5</f>
        <v>1076.8783898305085</v>
      </c>
      <c r="F37" s="12">
        <f>'Service Economics'!AB5</f>
        <v>1215.8783898305085</v>
      </c>
      <c r="G37" s="44">
        <v>0.23</v>
      </c>
      <c r="H37" s="24">
        <v>0</v>
      </c>
      <c r="I37" s="46">
        <f t="shared" ref="I37:I66" si="1">$Q$19*G37</f>
        <v>8.6526000000000014</v>
      </c>
      <c r="J37" s="46">
        <f t="shared" ref="J37:J66" si="2">I37*C37</f>
        <v>34.610400000000006</v>
      </c>
      <c r="K37" s="13">
        <f t="shared" ref="K37:K66" si="3">I37*D37</f>
        <v>12070.377000000002</v>
      </c>
      <c r="L37" s="13">
        <f>I37*$B$16*'Service Economics'!V5</f>
        <v>2246.2149600000002</v>
      </c>
      <c r="M37" s="13">
        <f>I37*('Service Economics'!L5+$B$16*('Service Economics'!T5+'Service Economics'!U5/(1+'Global Inputs'!$B$17)))</f>
        <v>12475.34801084746</v>
      </c>
      <c r="N37" s="13">
        <f t="shared" ref="N37:N66" si="4">I37*($B$15*E37+$B$16*F37-H37)</f>
        <v>9798.882515847461</v>
      </c>
      <c r="O37" s="38"/>
      <c r="P37" t="s">
        <v>1317</v>
      </c>
      <c r="Q37" s="16">
        <f>Q32-Q36</f>
        <v>-81155.600741267786</v>
      </c>
      <c r="R37" s="6"/>
      <c r="S37" s="6"/>
      <c r="T37" s="6"/>
      <c r="X37" s="6">
        <f>G37*'Service Economics'!V5</f>
        <v>149.27000000000001</v>
      </c>
      <c r="Y37" s="6">
        <f>I37*'Service Economics'!L5</f>
        <v>10229.13305084746</v>
      </c>
      <c r="Z37" s="6">
        <f>I37*$B$16*('Service Economics'!U5-'Service Economics'!U5/(1+'Global Inputs'!$B$17))</f>
        <v>0</v>
      </c>
    </row>
    <row r="38" spans="1:26" ht="39" customHeight="1">
      <c r="A38" s="40" t="str">
        <f>'Service Economics'!A6</f>
        <v>Hospital Visit — Concierge at Hospital</v>
      </c>
      <c r="B38" s="40" t="str">
        <f>'Service Economics'!B6</f>
        <v>Medical Visit</v>
      </c>
      <c r="C38" s="45">
        <f>'Service Economics'!C6</f>
        <v>3</v>
      </c>
      <c r="D38" s="12">
        <f>'Service Economics'!K6</f>
        <v>916.6</v>
      </c>
      <c r="E38" s="12">
        <f>'Service Economics'!R6</f>
        <v>688.19866101694925</v>
      </c>
      <c r="F38" s="12">
        <f>'Service Economics'!AB6</f>
        <v>827.19866101694925</v>
      </c>
      <c r="G38" s="44">
        <v>0.12</v>
      </c>
      <c r="H38" s="24">
        <v>0</v>
      </c>
      <c r="I38" s="46">
        <f t="shared" si="1"/>
        <v>4.5144000000000002</v>
      </c>
      <c r="J38" s="46">
        <f t="shared" si="2"/>
        <v>13.543200000000001</v>
      </c>
      <c r="K38" s="13">
        <f t="shared" si="3"/>
        <v>4137.8990400000002</v>
      </c>
      <c r="L38" s="13">
        <f>I38*$B$16*'Service Economics'!V6</f>
        <v>1171.9382400000002</v>
      </c>
      <c r="M38" s="13">
        <f>I38*('Service Economics'!L6+$B$16*('Service Economics'!T6+'Service Economics'!U6/(1+'Global Inputs'!$B$17)))</f>
        <v>4678.6323416949162</v>
      </c>
      <c r="N38" s="13">
        <f t="shared" si="4"/>
        <v>3357.8046752949158</v>
      </c>
      <c r="O38" s="17"/>
      <c r="P38" t="s">
        <v>220</v>
      </c>
      <c r="Q38" s="17">
        <f>IF(Q30=0,0,Q37/Q30)</f>
        <v>-1.1745564759381579</v>
      </c>
      <c r="R38" s="6"/>
      <c r="S38" s="6"/>
      <c r="T38" s="6"/>
      <c r="X38" s="6">
        <f>G38*'Service Economics'!V6</f>
        <v>77.88</v>
      </c>
      <c r="Y38" s="6">
        <f>I38*'Service Economics'!L6</f>
        <v>3506.6941016949158</v>
      </c>
      <c r="Z38" s="6">
        <f>I38*$B$16*('Service Economics'!U6-'Service Economics'!U6/(1+'Global Inputs'!$B$17))</f>
        <v>0</v>
      </c>
    </row>
    <row r="39" spans="1:26" ht="39" customHeight="1">
      <c r="A39" s="40" t="str">
        <f>'Service Economics'!A7</f>
        <v>Clinic Visit</v>
      </c>
      <c r="B39" s="40" t="str">
        <f>'Service Economics'!B7</f>
        <v>Medical Visit</v>
      </c>
      <c r="C39" s="45">
        <f>'Service Economics'!C7</f>
        <v>2</v>
      </c>
      <c r="D39" s="12">
        <f>'Service Economics'!K7</f>
        <v>737.2</v>
      </c>
      <c r="E39" s="12">
        <f>'Service Economics'!R7</f>
        <v>542.44376271186445</v>
      </c>
      <c r="F39" s="12">
        <f>'Service Economics'!AB7</f>
        <v>681.44376271186445</v>
      </c>
      <c r="G39" s="44">
        <v>0.09</v>
      </c>
      <c r="H39" s="24">
        <v>0</v>
      </c>
      <c r="I39" s="46">
        <f t="shared" si="1"/>
        <v>3.3858000000000001</v>
      </c>
      <c r="J39" s="46">
        <f t="shared" si="2"/>
        <v>6.7716000000000003</v>
      </c>
      <c r="K39" s="13">
        <f t="shared" si="3"/>
        <v>2496.0117600000003</v>
      </c>
      <c r="L39" s="13">
        <f>I39*$B$16*'Service Economics'!V7</f>
        <v>878.95368000000008</v>
      </c>
      <c r="M39" s="13">
        <f>I39*('Service Economics'!L7+$B$16*('Service Economics'!T7+'Service Economics'!U7/(1+'Global Inputs'!$B$17)))</f>
        <v>2994.2178833898311</v>
      </c>
      <c r="N39" s="13">
        <f t="shared" si="4"/>
        <v>2024.8565717898309</v>
      </c>
      <c r="O39" s="16"/>
      <c r="P39" t="s">
        <v>221</v>
      </c>
      <c r="Q39" s="16">
        <f>IF(S51&lt;=0,0,Q36/S51)</f>
        <v>91.329314192769729</v>
      </c>
      <c r="R39" s="6"/>
      <c r="S39" s="6"/>
      <c r="T39" s="6"/>
      <c r="X39" s="6">
        <f>G39*'Service Economics'!V7</f>
        <v>58.41</v>
      </c>
      <c r="Y39" s="6">
        <f>I39*'Service Economics'!L7</f>
        <v>2115.264203389831</v>
      </c>
      <c r="Z39" s="6">
        <f>I39*$B$16*('Service Economics'!U7-'Service Economics'!U7/(1+'Global Inputs'!$B$17))</f>
        <v>0</v>
      </c>
    </row>
    <row r="40" spans="1:26" ht="39" customHeight="1">
      <c r="A40" s="40" t="str">
        <f>'Service Economics'!A8</f>
        <v>Diagnostic Center Visit</v>
      </c>
      <c r="B40" s="40" t="str">
        <f>'Service Economics'!B8</f>
        <v>Medical Visit</v>
      </c>
      <c r="C40" s="45">
        <f>'Service Economics'!C8</f>
        <v>3</v>
      </c>
      <c r="D40" s="12">
        <f>'Service Economics'!K8</f>
        <v>961.44999999999993</v>
      </c>
      <c r="E40" s="12">
        <f>'Service Economics'!R8</f>
        <v>724.6373855932203</v>
      </c>
      <c r="F40" s="12">
        <f>'Service Economics'!AB8</f>
        <v>863.6373855932203</v>
      </c>
      <c r="G40" s="44">
        <v>0.08</v>
      </c>
      <c r="H40" s="24">
        <v>0</v>
      </c>
      <c r="I40" s="46">
        <f t="shared" si="1"/>
        <v>3.0096000000000003</v>
      </c>
      <c r="J40" s="46">
        <f t="shared" si="2"/>
        <v>9.0288000000000004</v>
      </c>
      <c r="K40" s="13">
        <f t="shared" si="3"/>
        <v>2893.5799200000001</v>
      </c>
      <c r="L40" s="13">
        <f>I40*$B$16*'Service Economics'!V8</f>
        <v>781.29216000000019</v>
      </c>
      <c r="M40" s="13">
        <f>I40*('Service Economics'!L8+$B$16*('Service Economics'!T8+'Service Economics'!U8/(1+'Global Inputs'!$B$17)))</f>
        <v>3233.4785328813564</v>
      </c>
      <c r="N40" s="13">
        <f t="shared" si="4"/>
        <v>2348.2024356813563</v>
      </c>
      <c r="O40" s="16"/>
      <c r="P40" t="s">
        <v>222</v>
      </c>
      <c r="Q40" s="16">
        <f>IF($B$7=0,0,Q39/$B$7)</f>
        <v>3.0443104730923243</v>
      </c>
      <c r="R40" s="6"/>
      <c r="S40" s="6"/>
      <c r="T40" s="6"/>
      <c r="X40" s="6">
        <f>G40*'Service Economics'!V8</f>
        <v>51.92</v>
      </c>
      <c r="Y40" s="6">
        <f>I40*'Service Economics'!L8</f>
        <v>2452.186372881356</v>
      </c>
      <c r="Z40" s="6">
        <f>I40*$B$16*('Service Economics'!U8-'Service Economics'!U8/(1+'Global Inputs'!$B$17))</f>
        <v>0</v>
      </c>
    </row>
    <row r="41" spans="1:26" ht="39" customHeight="1">
      <c r="A41" s="40" t="str">
        <f>'Service Economics'!A9</f>
        <v>Health Check-up Concierge</v>
      </c>
      <c r="B41" s="40" t="str">
        <f>'Service Economics'!B9</f>
        <v>Medical Visit</v>
      </c>
      <c r="C41" s="45">
        <f>'Service Economics'!C9</f>
        <v>5</v>
      </c>
      <c r="D41" s="12">
        <f>'Service Economics'!K9</f>
        <v>1544.5</v>
      </c>
      <c r="E41" s="12">
        <f>'Service Economics'!R9</f>
        <v>1198.3408050847456</v>
      </c>
      <c r="F41" s="12">
        <f>'Service Economics'!AB9</f>
        <v>1337.3408050847456</v>
      </c>
      <c r="G41" s="44">
        <v>0.05</v>
      </c>
      <c r="H41" s="24">
        <v>0</v>
      </c>
      <c r="I41" s="46">
        <f t="shared" si="1"/>
        <v>1.8810000000000002</v>
      </c>
      <c r="J41" s="46">
        <f t="shared" si="2"/>
        <v>9.4050000000000011</v>
      </c>
      <c r="K41" s="13">
        <f t="shared" si="3"/>
        <v>2905.2045000000003</v>
      </c>
      <c r="L41" s="13">
        <f>I41*$B$16*'Service Economics'!V9</f>
        <v>488.30760000000009</v>
      </c>
      <c r="M41" s="13">
        <f>I41*('Service Economics'!L9+$B$16*('Service Economics'!T9+'Service Economics'!U9/(1+'Global Inputs'!$B$17)))</f>
        <v>2950.3453118644074</v>
      </c>
      <c r="N41" s="13">
        <f t="shared" si="4"/>
        <v>2358.6626543644065</v>
      </c>
      <c r="O41" s="16"/>
      <c r="P41" t="s">
        <v>223</v>
      </c>
      <c r="Q41" s="16">
        <f>Q39*S52</f>
        <v>193665.27201479525</v>
      </c>
      <c r="R41" s="6"/>
      <c r="S41" s="6"/>
      <c r="T41" s="6"/>
      <c r="X41" s="6">
        <f>G41*'Service Economics'!V9</f>
        <v>32.450000000000003</v>
      </c>
      <c r="Y41" s="6">
        <f>I41*'Service Economics'!L9</f>
        <v>2462.0377118644069</v>
      </c>
      <c r="Z41" s="6">
        <f>I41*$B$16*('Service Economics'!U9-'Service Economics'!U9/(1+'Global Inputs'!$B$17))</f>
        <v>0</v>
      </c>
    </row>
    <row r="42" spans="1:26" ht="39" customHeight="1">
      <c r="A42" s="40" t="str">
        <f>'Service Economics'!A10</f>
        <v>Hospital Admission Concierge</v>
      </c>
      <c r="B42" s="40" t="str">
        <f>'Service Economics'!B10</f>
        <v>Hospital Support</v>
      </c>
      <c r="C42" s="45">
        <f>'Service Economics'!C10</f>
        <v>4</v>
      </c>
      <c r="D42" s="12">
        <f>'Service Economics'!K10</f>
        <v>1574.3999999999999</v>
      </c>
      <c r="E42" s="12">
        <f>'Service Economics'!R10</f>
        <v>1222.6332881355931</v>
      </c>
      <c r="F42" s="12">
        <f>'Service Economics'!AB10</f>
        <v>1361.6332881355931</v>
      </c>
      <c r="G42" s="44">
        <v>0.05</v>
      </c>
      <c r="H42" s="24">
        <v>0</v>
      </c>
      <c r="I42" s="46">
        <f t="shared" si="1"/>
        <v>1.8810000000000002</v>
      </c>
      <c r="J42" s="46">
        <f t="shared" si="2"/>
        <v>7.5240000000000009</v>
      </c>
      <c r="K42" s="13">
        <f t="shared" si="3"/>
        <v>2961.4464000000003</v>
      </c>
      <c r="L42" s="13">
        <f>I42*$B$16*'Service Economics'!V10</f>
        <v>488.30760000000009</v>
      </c>
      <c r="M42" s="13">
        <f>I42*('Service Economics'!L10+$B$16*('Service Economics'!T10+'Service Economics'!U10/(1+'Global Inputs'!$B$17)))</f>
        <v>2998.0079389830512</v>
      </c>
      <c r="N42" s="13">
        <f t="shared" si="4"/>
        <v>2404.3568149830512</v>
      </c>
      <c r="O42" s="15"/>
      <c r="P42" t="s">
        <v>224</v>
      </c>
      <c r="Q42" s="15">
        <f>IF($B$7*$B$8*$B$9=0,0,Q39*S45/($B$7*$B$8*$B$9))</f>
        <v>1.7580892982108172</v>
      </c>
      <c r="R42" s="6"/>
      <c r="S42" s="6"/>
      <c r="T42" s="6"/>
      <c r="X42" s="6">
        <f>G42*'Service Economics'!V10</f>
        <v>32.450000000000003</v>
      </c>
      <c r="Y42" s="6">
        <f>I42*'Service Economics'!L10</f>
        <v>2509.7003389830511</v>
      </c>
      <c r="Z42" s="6">
        <f>I42*$B$16*('Service Economics'!U10-'Service Economics'!U10/(1+'Global Inputs'!$B$17))</f>
        <v>0</v>
      </c>
    </row>
    <row r="43" spans="1:26" ht="39" customHeight="1">
      <c r="A43" s="40" t="str">
        <f>'Service Economics'!A11</f>
        <v>Hospital Discharge Concierge</v>
      </c>
      <c r="B43" s="40" t="str">
        <f>'Service Economics'!B11</f>
        <v>Hospital Support</v>
      </c>
      <c r="C43" s="45">
        <f>'Service Economics'!C11</f>
        <v>4</v>
      </c>
      <c r="D43" s="12">
        <f>'Service Economics'!K11</f>
        <v>1514.6000000000001</v>
      </c>
      <c r="E43" s="12">
        <f>'Service Economics'!R11</f>
        <v>1174.0483220338986</v>
      </c>
      <c r="F43" s="12">
        <f>'Service Economics'!AB11</f>
        <v>1313.0483220338986</v>
      </c>
      <c r="G43" s="44">
        <v>0.05</v>
      </c>
      <c r="H43" s="24">
        <v>0</v>
      </c>
      <c r="I43" s="46">
        <f t="shared" si="1"/>
        <v>1.8810000000000002</v>
      </c>
      <c r="J43" s="46">
        <f t="shared" si="2"/>
        <v>7.5240000000000009</v>
      </c>
      <c r="K43" s="13">
        <f t="shared" si="3"/>
        <v>2848.9626000000007</v>
      </c>
      <c r="L43" s="13">
        <f>I43*$B$16*'Service Economics'!V11</f>
        <v>488.30760000000009</v>
      </c>
      <c r="M43" s="13">
        <f>I43*('Service Economics'!L11+$B$16*('Service Economics'!T11+'Service Economics'!U11/(1+'Global Inputs'!$B$17)))</f>
        <v>2902.6826847457637</v>
      </c>
      <c r="N43" s="13">
        <f t="shared" si="4"/>
        <v>2312.9684937457632</v>
      </c>
      <c r="R43" s="6"/>
      <c r="S43" s="6"/>
      <c r="T43" s="6"/>
      <c r="X43" s="6">
        <f>G43*'Service Economics'!V11</f>
        <v>32.450000000000003</v>
      </c>
      <c r="Y43" s="6">
        <f>I43*'Service Economics'!L11</f>
        <v>2414.3750847457636</v>
      </c>
      <c r="Z43" s="6">
        <f>I43*$B$16*('Service Economics'!U11-'Service Economics'!U11/(1+'Global Inputs'!$B$17))</f>
        <v>0</v>
      </c>
    </row>
    <row r="44" spans="1:26" ht="39" customHeight="1">
      <c r="A44" s="40" t="str">
        <f>'Service Economics'!A12</f>
        <v>Overnight Hospital Concierge</v>
      </c>
      <c r="B44" s="40" t="str">
        <f>'Service Economics'!B12</f>
        <v>Hospital Support</v>
      </c>
      <c r="C44" s="45">
        <f>'Service Economics'!C12</f>
        <v>12</v>
      </c>
      <c r="D44" s="12">
        <f>'Service Economics'!K12</f>
        <v>3547.7999999999997</v>
      </c>
      <c r="E44" s="12">
        <f>'Service Economics'!R12</f>
        <v>2825.9371694915253</v>
      </c>
      <c r="F44" s="12">
        <f>'Service Economics'!AB12</f>
        <v>2964.9371694915253</v>
      </c>
      <c r="G44" s="44">
        <v>0.03</v>
      </c>
      <c r="H44" s="24">
        <v>0</v>
      </c>
      <c r="I44" s="46">
        <f t="shared" si="1"/>
        <v>1.1286</v>
      </c>
      <c r="J44" s="46">
        <f t="shared" si="2"/>
        <v>13.543200000000001</v>
      </c>
      <c r="K44" s="13">
        <f t="shared" si="3"/>
        <v>4004.0470799999998</v>
      </c>
      <c r="L44" s="13">
        <f>I44*$B$16*'Service Economics'!V12</f>
        <v>292.98456000000004</v>
      </c>
      <c r="M44" s="13">
        <f>I44*('Service Economics'!L12+$B$16*('Service Economics'!T12+'Service Economics'!U12/(1+'Global Inputs'!$B$17)))</f>
        <v>3686.2447972881359</v>
      </c>
      <c r="N44" s="13">
        <f t="shared" si="4"/>
        <v>3252.1028494881357</v>
      </c>
      <c r="P44" s="444"/>
      <c r="Q44" s="444"/>
      <c r="R44" s="444" t="s">
        <v>225</v>
      </c>
      <c r="S44" s="444"/>
      <c r="T44" s="6"/>
      <c r="X44" s="6">
        <f>G44*'Service Economics'!V12</f>
        <v>19.47</v>
      </c>
      <c r="Y44" s="6">
        <f>I44*'Service Economics'!L12</f>
        <v>3393.2602372881361</v>
      </c>
      <c r="Z44" s="6">
        <f>I44*$B$16*('Service Economics'!U12-'Service Economics'!U12/(1+'Global Inputs'!$B$17))</f>
        <v>0</v>
      </c>
    </row>
    <row r="45" spans="1:26" ht="39" customHeight="1">
      <c r="A45" s="40" t="str">
        <f>'Service Economics'!A13</f>
        <v>Multi-Day Hospital Concierge (per 12h shift)</v>
      </c>
      <c r="B45" s="40" t="str">
        <f>'Service Economics'!B13</f>
        <v>Hospital Support</v>
      </c>
      <c r="C45" s="45">
        <f>'Service Economics'!C13</f>
        <v>12</v>
      </c>
      <c r="D45" s="12">
        <f>'Service Economics'!K13</f>
        <v>3547.7999999999997</v>
      </c>
      <c r="E45" s="12">
        <f>'Service Economics'!R13</f>
        <v>2825.9371694915253</v>
      </c>
      <c r="F45" s="12">
        <f>'Service Economics'!AB13</f>
        <v>2964.9371694915253</v>
      </c>
      <c r="G45" s="44">
        <v>0.01</v>
      </c>
      <c r="H45" s="24">
        <v>0</v>
      </c>
      <c r="I45" s="46">
        <f t="shared" si="1"/>
        <v>0.37620000000000003</v>
      </c>
      <c r="J45" s="46">
        <f t="shared" si="2"/>
        <v>4.5144000000000002</v>
      </c>
      <c r="K45" s="13">
        <f t="shared" si="3"/>
        <v>1334.68236</v>
      </c>
      <c r="L45" s="13">
        <f>I45*$B$16*'Service Economics'!V13</f>
        <v>97.661520000000024</v>
      </c>
      <c r="M45" s="13">
        <f>I45*('Service Economics'!L13+$B$16*('Service Economics'!T13+'Service Economics'!U13/(1+'Global Inputs'!$B$17)))</f>
        <v>1228.748265762712</v>
      </c>
      <c r="N45" s="13">
        <f t="shared" si="4"/>
        <v>1084.034283162712</v>
      </c>
      <c r="Q45" s="36"/>
      <c r="R45" s="6" t="s">
        <v>156</v>
      </c>
      <c r="S45" s="19">
        <f>SUMPRODUCT(G37:G66,C37:C66)</f>
        <v>4.62</v>
      </c>
      <c r="T45" s="6"/>
      <c r="X45" s="6">
        <f>G45*'Service Economics'!V13</f>
        <v>6.49</v>
      </c>
      <c r="Y45" s="6">
        <f>I45*'Service Economics'!L13</f>
        <v>1131.0867457627121</v>
      </c>
      <c r="Z45" s="6">
        <f>I45*$B$16*('Service Economics'!U13-'Service Economics'!U13/(1+'Global Inputs'!$B$17))</f>
        <v>0</v>
      </c>
    </row>
    <row r="46" spans="1:26" ht="39" customHeight="1">
      <c r="A46" s="40" t="str">
        <f>'Service Economics'!A14</f>
        <v>Day Surgery / Procedure Concierge</v>
      </c>
      <c r="B46" s="40" t="str">
        <f>'Service Economics'!B14</f>
        <v>Procedure &amp; Treatment</v>
      </c>
      <c r="C46" s="45">
        <f>'Service Economics'!C14</f>
        <v>6</v>
      </c>
      <c r="D46" s="12">
        <f>'Service Economics'!K14</f>
        <v>2351.7999999999997</v>
      </c>
      <c r="E46" s="12">
        <f>'Service Economics'!R14</f>
        <v>1854.2378474576271</v>
      </c>
      <c r="F46" s="12">
        <f>'Service Economics'!AB14</f>
        <v>1993.2378474576271</v>
      </c>
      <c r="G46" s="44">
        <v>0.04</v>
      </c>
      <c r="H46" s="24">
        <v>0</v>
      </c>
      <c r="I46" s="46">
        <f t="shared" si="1"/>
        <v>1.5048000000000001</v>
      </c>
      <c r="J46" s="46">
        <f t="shared" si="2"/>
        <v>9.0288000000000004</v>
      </c>
      <c r="K46" s="13">
        <f t="shared" si="3"/>
        <v>3538.98864</v>
      </c>
      <c r="L46" s="13">
        <f>I46*$B$16*'Service Economics'!V14</f>
        <v>390.6460800000001</v>
      </c>
      <c r="M46" s="13">
        <f>I46*('Service Economics'!L14+$B$16*('Service Economics'!T14+'Service Economics'!U14/(1+'Global Inputs'!$B$17)))</f>
        <v>3389.7889952542378</v>
      </c>
      <c r="N46" s="13">
        <f t="shared" si="4"/>
        <v>2873.9239928542379</v>
      </c>
      <c r="Q46" s="8"/>
      <c r="R46" s="6" t="s">
        <v>226</v>
      </c>
      <c r="S46" s="7">
        <f>SUMPRODUCT(G37:G66,D37:D66)</f>
        <v>1860.9159999999997</v>
      </c>
      <c r="T46" s="6"/>
      <c r="X46" s="6">
        <f>G46*'Service Economics'!V14</f>
        <v>25.96</v>
      </c>
      <c r="Y46" s="6">
        <f>I46*'Service Economics'!L14</f>
        <v>2999.1429152542373</v>
      </c>
      <c r="Z46" s="6">
        <f>I46*$B$16*('Service Economics'!U14-'Service Economics'!U14/(1+'Global Inputs'!$B$17))</f>
        <v>0</v>
      </c>
    </row>
    <row r="47" spans="1:26" ht="39" customHeight="1">
      <c r="A47" s="40" t="str">
        <f>'Service Economics'!A15</f>
        <v>Pre-Surgery Concierge</v>
      </c>
      <c r="B47" s="40" t="str">
        <f>'Service Economics'!B15</f>
        <v>Procedure &amp; Treatment</v>
      </c>
      <c r="C47" s="45">
        <f>'Service Economics'!C15</f>
        <v>4</v>
      </c>
      <c r="D47" s="12">
        <f>'Service Economics'!K15</f>
        <v>1514.6000000000001</v>
      </c>
      <c r="E47" s="12">
        <f>'Service Economics'!R15</f>
        <v>1174.0483220338986</v>
      </c>
      <c r="F47" s="12">
        <f>'Service Economics'!AB15</f>
        <v>1313.0483220338986</v>
      </c>
      <c r="G47" s="44">
        <v>0.02</v>
      </c>
      <c r="H47" s="24">
        <v>0</v>
      </c>
      <c r="I47" s="46">
        <f t="shared" si="1"/>
        <v>0.75240000000000007</v>
      </c>
      <c r="J47" s="46">
        <f t="shared" si="2"/>
        <v>3.0096000000000003</v>
      </c>
      <c r="K47" s="13">
        <f t="shared" si="3"/>
        <v>1139.5850400000002</v>
      </c>
      <c r="L47" s="13">
        <f>I47*$B$16*'Service Economics'!V15</f>
        <v>195.32304000000005</v>
      </c>
      <c r="M47" s="13">
        <f>I47*('Service Economics'!L15+$B$16*('Service Economics'!T15+'Service Economics'!U15/(1+'Global Inputs'!$B$17)))</f>
        <v>1161.0730738983054</v>
      </c>
      <c r="N47" s="13">
        <f t="shared" si="4"/>
        <v>925.18739749830524</v>
      </c>
      <c r="Q47" s="8"/>
      <c r="R47" s="6" t="s">
        <v>227</v>
      </c>
      <c r="S47" s="7">
        <f>SUMPRODUCT(G37:G66,E37:E66)</f>
        <v>1455.4153976271186</v>
      </c>
      <c r="T47" s="6"/>
      <c r="X47" s="6">
        <f>G47*'Service Economics'!V15</f>
        <v>12.98</v>
      </c>
      <c r="Y47" s="6">
        <f>I47*'Service Economics'!L15</f>
        <v>965.75003389830533</v>
      </c>
      <c r="Z47" s="6">
        <f>I47*$B$16*('Service Economics'!U15-'Service Economics'!U15/(1+'Global Inputs'!$B$17))</f>
        <v>0</v>
      </c>
    </row>
    <row r="48" spans="1:26" ht="39" customHeight="1">
      <c r="A48" s="40" t="str">
        <f>'Service Economics'!A16</f>
        <v>Post-Surgery Follow-up</v>
      </c>
      <c r="B48" s="40" t="str">
        <f>'Service Economics'!B16</f>
        <v>Procedure &amp; Treatment</v>
      </c>
      <c r="C48" s="45">
        <f>'Service Economics'!C16</f>
        <v>3</v>
      </c>
      <c r="D48" s="12">
        <f>'Service Economics'!K16</f>
        <v>1096</v>
      </c>
      <c r="E48" s="12">
        <f>'Service Economics'!R16</f>
        <v>833.95355932203393</v>
      </c>
      <c r="F48" s="12">
        <f>'Service Economics'!AB16</f>
        <v>972.95355932203393</v>
      </c>
      <c r="G48" s="44">
        <v>0.03</v>
      </c>
      <c r="H48" s="24">
        <v>0</v>
      </c>
      <c r="I48" s="46">
        <f t="shared" si="1"/>
        <v>1.1286</v>
      </c>
      <c r="J48" s="46">
        <f t="shared" si="2"/>
        <v>3.3858000000000001</v>
      </c>
      <c r="K48" s="13">
        <f t="shared" si="3"/>
        <v>1236.9456</v>
      </c>
      <c r="L48" s="13">
        <f>I48*$B$16*'Service Economics'!V16</f>
        <v>292.98456000000004</v>
      </c>
      <c r="M48" s="13">
        <f>I48*('Service Economics'!L16+$B$16*('Service Economics'!T16+'Service Economics'!U16/(1+'Global Inputs'!$B$17)))</f>
        <v>1341.2435430508476</v>
      </c>
      <c r="N48" s="13">
        <f t="shared" si="4"/>
        <v>1003.9501470508475</v>
      </c>
      <c r="Q48" s="8"/>
      <c r="R48" s="6" t="s">
        <v>228</v>
      </c>
      <c r="S48" s="7">
        <f>SUMPRODUCT(G37:G66,F37:F66)</f>
        <v>1594.4153976271182</v>
      </c>
      <c r="T48" s="6"/>
      <c r="X48" s="6">
        <f>G48*'Service Economics'!V16</f>
        <v>19.47</v>
      </c>
      <c r="Y48" s="6">
        <f>I48*'Service Economics'!L16</f>
        <v>1048.2589830508475</v>
      </c>
      <c r="Z48" s="6">
        <f>I48*$B$16*('Service Economics'!U16-'Service Economics'!U16/(1+'Global Inputs'!$B$17))</f>
        <v>0</v>
      </c>
    </row>
    <row r="49" spans="1:26" ht="39" customHeight="1">
      <c r="A49" s="40" t="str">
        <f>'Service Economics'!A17</f>
        <v>Dialysis Visit Concierge</v>
      </c>
      <c r="B49" s="40" t="str">
        <f>'Service Economics'!B17</f>
        <v>Recurring Treatment</v>
      </c>
      <c r="C49" s="45">
        <f>'Service Economics'!C17</f>
        <v>5</v>
      </c>
      <c r="D49" s="12">
        <f>'Service Economics'!K17</f>
        <v>1544.5</v>
      </c>
      <c r="E49" s="12">
        <f>'Service Economics'!R17</f>
        <v>1198.3408050847456</v>
      </c>
      <c r="F49" s="12">
        <f>'Service Economics'!AB17</f>
        <v>1337.3408050847456</v>
      </c>
      <c r="G49" s="44">
        <v>0.04</v>
      </c>
      <c r="H49" s="24">
        <v>0</v>
      </c>
      <c r="I49" s="46">
        <f t="shared" si="1"/>
        <v>1.5048000000000001</v>
      </c>
      <c r="J49" s="46">
        <f t="shared" si="2"/>
        <v>7.5240000000000009</v>
      </c>
      <c r="K49" s="13">
        <f t="shared" si="3"/>
        <v>2324.1636000000003</v>
      </c>
      <c r="L49" s="13">
        <f>I49*$B$16*'Service Economics'!V17</f>
        <v>390.6460800000001</v>
      </c>
      <c r="M49" s="13">
        <f>I49*('Service Economics'!L17+$B$16*('Service Economics'!T17+'Service Economics'!U17/(1+'Global Inputs'!$B$17)))</f>
        <v>2360.276249491526</v>
      </c>
      <c r="N49" s="13">
        <f t="shared" si="4"/>
        <v>1886.9301234915254</v>
      </c>
      <c r="Q49" s="8"/>
      <c r="R49" s="6" t="s">
        <v>229</v>
      </c>
      <c r="S49" s="7">
        <f>SUM(X37:X66)</f>
        <v>649.00000000000011</v>
      </c>
      <c r="T49" s="6"/>
      <c r="X49" s="6">
        <f>G49*'Service Economics'!V17</f>
        <v>25.96</v>
      </c>
      <c r="Y49" s="6">
        <f>I49*'Service Economics'!L17</f>
        <v>1969.6301694915255</v>
      </c>
      <c r="Z49" s="6">
        <f>I49*$B$16*('Service Economics'!U17-'Service Economics'!U17/(1+'Global Inputs'!$B$17))</f>
        <v>0</v>
      </c>
    </row>
    <row r="50" spans="1:26" ht="39" customHeight="1">
      <c r="A50" s="40" t="str">
        <f>'Service Economics'!A18</f>
        <v>Chemotherapy Visit Concierge</v>
      </c>
      <c r="B50" s="40" t="str">
        <f>'Service Economics'!B18</f>
        <v>Recurring Treatment</v>
      </c>
      <c r="C50" s="45">
        <f>'Service Economics'!C18</f>
        <v>6</v>
      </c>
      <c r="D50" s="12">
        <f>'Service Economics'!K18</f>
        <v>1993</v>
      </c>
      <c r="E50" s="12">
        <f>'Service Economics'!R18</f>
        <v>1562.7280508474578</v>
      </c>
      <c r="F50" s="12">
        <f>'Service Economics'!AB18</f>
        <v>1701.7280508474578</v>
      </c>
      <c r="G50" s="44">
        <v>0.02</v>
      </c>
      <c r="H50" s="24">
        <v>0</v>
      </c>
      <c r="I50" s="46">
        <f t="shared" si="1"/>
        <v>0.75240000000000007</v>
      </c>
      <c r="J50" s="46">
        <f t="shared" si="2"/>
        <v>4.5144000000000002</v>
      </c>
      <c r="K50" s="13">
        <f t="shared" si="3"/>
        <v>1499.5332000000001</v>
      </c>
      <c r="L50" s="13">
        <f>I50*$B$16*'Service Economics'!V18</f>
        <v>195.32304000000005</v>
      </c>
      <c r="M50" s="13">
        <f>I50*('Service Economics'!L18+$B$16*('Service Economics'!T18+'Service Economics'!U18/(1+'Global Inputs'!$B$17)))</f>
        <v>1466.1138874576275</v>
      </c>
      <c r="N50" s="13">
        <f t="shared" si="4"/>
        <v>1217.6300254576272</v>
      </c>
      <c r="Q50" s="8"/>
      <c r="R50" s="6" t="s">
        <v>230</v>
      </c>
      <c r="S50" s="7">
        <f>SUMPRODUCT(G37:G66,H37:H66)</f>
        <v>0</v>
      </c>
      <c r="T50" s="6"/>
      <c r="X50" s="6">
        <f>G50*'Service Economics'!V18</f>
        <v>12.98</v>
      </c>
      <c r="Y50" s="6">
        <f>I50*'Service Economics'!L18</f>
        <v>1270.7908474576273</v>
      </c>
      <c r="Z50" s="6">
        <f>I50*$B$16*('Service Economics'!U18-'Service Economics'!U18/(1+'Global Inputs'!$B$17))</f>
        <v>0</v>
      </c>
    </row>
    <row r="51" spans="1:26" ht="39" customHeight="1">
      <c r="A51" s="40" t="str">
        <f>'Service Economics'!A19</f>
        <v>Radiation Therapy Concierge</v>
      </c>
      <c r="B51" s="40" t="str">
        <f>'Service Economics'!B19</f>
        <v>Recurring Treatment</v>
      </c>
      <c r="C51" s="45">
        <f>'Service Economics'!C19</f>
        <v>3</v>
      </c>
      <c r="D51" s="12">
        <f>'Service Economics'!K19</f>
        <v>1051.1500000000001</v>
      </c>
      <c r="E51" s="12">
        <f>'Service Economics'!R19</f>
        <v>797.51483474576287</v>
      </c>
      <c r="F51" s="12">
        <f>'Service Economics'!AB19</f>
        <v>936.51483474576287</v>
      </c>
      <c r="G51" s="44">
        <v>0.01</v>
      </c>
      <c r="H51" s="24">
        <v>0</v>
      </c>
      <c r="I51" s="46">
        <f t="shared" si="1"/>
        <v>0.37620000000000003</v>
      </c>
      <c r="J51" s="46">
        <f t="shared" si="2"/>
        <v>1.1286</v>
      </c>
      <c r="K51" s="13">
        <f t="shared" si="3"/>
        <v>395.44263000000007</v>
      </c>
      <c r="L51" s="13">
        <f>I51*$B$16*'Service Economics'!V19</f>
        <v>97.661520000000024</v>
      </c>
      <c r="M51" s="13">
        <f>I51*('Service Economics'!L19+$B$16*('Service Economics'!T19+'Service Economics'!U19/(1+'Global Inputs'!$B$17)))</f>
        <v>432.78239288135603</v>
      </c>
      <c r="N51" s="13">
        <f t="shared" si="4"/>
        <v>320.94180083135603</v>
      </c>
      <c r="Q51" s="8"/>
      <c r="R51" s="6" t="s">
        <v>231</v>
      </c>
      <c r="S51" s="7">
        <f>$B$15*S47+$B$16*S48-S50</f>
        <v>1511.0153976271185</v>
      </c>
      <c r="T51" s="6"/>
      <c r="X51" s="6">
        <f>G51*'Service Economics'!V19</f>
        <v>6.49</v>
      </c>
      <c r="Y51" s="6">
        <f>I51*'Service Economics'!L19</f>
        <v>335.12087288135604</v>
      </c>
      <c r="Z51" s="6">
        <f>I51*$B$16*('Service Economics'!U19-'Service Economics'!U19/(1+'Global Inputs'!$B$17))</f>
        <v>0</v>
      </c>
    </row>
    <row r="52" spans="1:26" ht="39" customHeight="1">
      <c r="A52" s="40" t="str">
        <f>'Service Economics'!A20</f>
        <v>Physiotherapy / Rehab Visit</v>
      </c>
      <c r="B52" s="40" t="str">
        <f>'Service Economics'!B20</f>
        <v>Recurring Treatment</v>
      </c>
      <c r="C52" s="45">
        <f>'Service Economics'!C20</f>
        <v>2</v>
      </c>
      <c r="D52" s="12">
        <f>'Service Economics'!K20</f>
        <v>707.3</v>
      </c>
      <c r="E52" s="12">
        <f>'Service Economics'!R20</f>
        <v>518.15127966101693</v>
      </c>
      <c r="F52" s="12">
        <f>'Service Economics'!AB20</f>
        <v>657.15127966101693</v>
      </c>
      <c r="G52" s="44">
        <v>0.03</v>
      </c>
      <c r="H52" s="24">
        <v>0</v>
      </c>
      <c r="I52" s="46">
        <f t="shared" si="1"/>
        <v>1.1286</v>
      </c>
      <c r="J52" s="46">
        <f t="shared" si="2"/>
        <v>2.2572000000000001</v>
      </c>
      <c r="K52" s="13">
        <f t="shared" si="3"/>
        <v>798.25878</v>
      </c>
      <c r="L52" s="13">
        <f>I52*$B$16*'Service Economics'!V20</f>
        <v>292.98456000000004</v>
      </c>
      <c r="M52" s="13">
        <f>I52*('Service Economics'!L20+$B$16*('Service Economics'!T20+'Service Economics'!U20/(1+'Global Inputs'!$B$17)))</f>
        <v>969.47505152542374</v>
      </c>
      <c r="N52" s="13">
        <f t="shared" si="4"/>
        <v>647.53569422542375</v>
      </c>
      <c r="Q52" s="8"/>
      <c r="R52" s="6" t="s">
        <v>232</v>
      </c>
      <c r="S52" s="7">
        <f>S46+$B$16*S49</f>
        <v>2120.5159999999996</v>
      </c>
      <c r="T52" s="6"/>
      <c r="X52" s="6">
        <f>G52*'Service Economics'!V20</f>
        <v>19.47</v>
      </c>
      <c r="Y52" s="6">
        <f>I52*'Service Economics'!L20</f>
        <v>676.49049152542375</v>
      </c>
      <c r="Z52" s="6">
        <f>I52*$B$16*('Service Economics'!U20-'Service Economics'!U20/(1+'Global Inputs'!$B$17))</f>
        <v>0</v>
      </c>
    </row>
    <row r="53" spans="1:26" ht="39" customHeight="1">
      <c r="A53" s="40" t="str">
        <f>'Service Economics'!A21</f>
        <v>Chronic Care Follow-up</v>
      </c>
      <c r="B53" s="40" t="str">
        <f>'Service Economics'!B21</f>
        <v>Continuing Care</v>
      </c>
      <c r="C53" s="45">
        <f>'Service Economics'!C21</f>
        <v>3</v>
      </c>
      <c r="D53" s="12">
        <f>'Service Economics'!K21</f>
        <v>1006.3000000000001</v>
      </c>
      <c r="E53" s="12">
        <f>'Service Economics'!R21</f>
        <v>761.07611016949159</v>
      </c>
      <c r="F53" s="12">
        <f>'Service Economics'!AB21</f>
        <v>900.07611016949159</v>
      </c>
      <c r="G53" s="44">
        <v>0.02</v>
      </c>
      <c r="H53" s="24">
        <v>0</v>
      </c>
      <c r="I53" s="46">
        <f t="shared" si="1"/>
        <v>0.75240000000000007</v>
      </c>
      <c r="J53" s="46">
        <f t="shared" si="2"/>
        <v>2.2572000000000001</v>
      </c>
      <c r="K53" s="13">
        <f t="shared" si="3"/>
        <v>757.14012000000014</v>
      </c>
      <c r="L53" s="13">
        <f>I53*$B$16*'Service Economics'!V21</f>
        <v>195.32304000000005</v>
      </c>
      <c r="M53" s="13">
        <f>I53*('Service Economics'!L21+$B$16*('Service Economics'!T21+'Service Economics'!U21/(1+'Global Inputs'!$B$17)))</f>
        <v>836.96720949152552</v>
      </c>
      <c r="N53" s="13">
        <f t="shared" si="4"/>
        <v>614.46710529152551</v>
      </c>
      <c r="R53" s="6"/>
      <c r="S53" s="6"/>
      <c r="T53" s="6"/>
      <c r="X53" s="6">
        <f>G53*'Service Economics'!V21</f>
        <v>12.98</v>
      </c>
      <c r="Y53" s="6">
        <f>I53*'Service Economics'!L21</f>
        <v>641.64416949152553</v>
      </c>
      <c r="Z53" s="6">
        <f>I53*$B$16*('Service Economics'!U21-'Service Economics'!U21/(1+'Global Inputs'!$B$17))</f>
        <v>0</v>
      </c>
    </row>
    <row r="54" spans="1:26" ht="39" customHeight="1">
      <c r="A54" s="40" t="str">
        <f>'Service Economics'!A22</f>
        <v>NRI Parent Medical Concierge</v>
      </c>
      <c r="B54" s="40" t="str">
        <f>'Service Economics'!B22</f>
        <v>Continuing Care</v>
      </c>
      <c r="C54" s="45">
        <f>'Service Economics'!C22</f>
        <v>4</v>
      </c>
      <c r="D54" s="12">
        <f>'Service Economics'!K22</f>
        <v>1634.2</v>
      </c>
      <c r="E54" s="12">
        <f>'Service Economics'!R22</f>
        <v>1271.2182542372884</v>
      </c>
      <c r="F54" s="12">
        <f>'Service Economics'!AB22</f>
        <v>1410.2182542372884</v>
      </c>
      <c r="G54" s="44">
        <v>2.5000000000000001E-2</v>
      </c>
      <c r="H54" s="24">
        <v>0</v>
      </c>
      <c r="I54" s="46">
        <f t="shared" si="1"/>
        <v>0.94050000000000011</v>
      </c>
      <c r="J54" s="46">
        <f t="shared" si="2"/>
        <v>3.7620000000000005</v>
      </c>
      <c r="K54" s="13">
        <f t="shared" si="3"/>
        <v>1536.9651000000001</v>
      </c>
      <c r="L54" s="13">
        <f>I54*$B$16*'Service Economics'!V22</f>
        <v>244.15380000000005</v>
      </c>
      <c r="M54" s="13">
        <f>I54*('Service Economics'!L22+$B$16*('Service Economics'!T22+'Service Economics'!U22/(1+'Global Inputs'!$B$17)))</f>
        <v>1546.66659661017</v>
      </c>
      <c r="N54" s="13">
        <f t="shared" si="4"/>
        <v>1247.8725681101698</v>
      </c>
      <c r="R54" s="6"/>
      <c r="S54" s="6"/>
      <c r="T54" s="6"/>
      <c r="X54" s="6">
        <f>G54*'Service Economics'!V22</f>
        <v>16.225000000000001</v>
      </c>
      <c r="Y54" s="6">
        <f>I54*'Service Economics'!L22</f>
        <v>1302.5127966101697</v>
      </c>
      <c r="Z54" s="6">
        <f>I54*$B$16*('Service Economics'!U22-'Service Economics'!U22/(1+'Global Inputs'!$B$17))</f>
        <v>0</v>
      </c>
    </row>
    <row r="55" spans="1:26" ht="39" customHeight="1">
      <c r="A55" s="40" t="str">
        <f>'Service Economics'!A23</f>
        <v>Second Opinion Concierge</v>
      </c>
      <c r="B55" s="40" t="str">
        <f>'Service Economics'!B23</f>
        <v>Medical Coordination</v>
      </c>
      <c r="C55" s="45">
        <f>'Service Economics'!C23</f>
        <v>2.5</v>
      </c>
      <c r="D55" s="12">
        <f>'Service Economics'!K23</f>
        <v>834.375</v>
      </c>
      <c r="E55" s="12">
        <f>'Service Economics'!R23</f>
        <v>621.39433262711873</v>
      </c>
      <c r="F55" s="12">
        <f>'Service Economics'!AB23</f>
        <v>760.39433262711873</v>
      </c>
      <c r="G55" s="44">
        <v>0</v>
      </c>
      <c r="H55" s="24">
        <v>0</v>
      </c>
      <c r="I55" s="46">
        <f t="shared" si="1"/>
        <v>0</v>
      </c>
      <c r="J55" s="46">
        <f t="shared" si="2"/>
        <v>0</v>
      </c>
      <c r="K55" s="13">
        <f t="shared" si="3"/>
        <v>0</v>
      </c>
      <c r="L55" s="13">
        <f>I55*$B$16*'Service Economics'!V23</f>
        <v>0</v>
      </c>
      <c r="M55" s="13">
        <f>I55*('Service Economics'!L23+$B$16*('Service Economics'!T23+'Service Economics'!U23/(1+'Global Inputs'!$B$17)))</f>
        <v>0</v>
      </c>
      <c r="N55" s="13">
        <f t="shared" si="4"/>
        <v>0</v>
      </c>
      <c r="R55" s="6"/>
      <c r="S55" s="6"/>
      <c r="T55" s="6"/>
      <c r="X55" s="6">
        <f>G55*'Service Economics'!V23</f>
        <v>0</v>
      </c>
      <c r="Y55" s="6">
        <f>I55*'Service Economics'!L23</f>
        <v>0</v>
      </c>
      <c r="Z55" s="6">
        <f>I55*$B$16*('Service Economics'!U23-'Service Economics'!U23/(1+'Global Inputs'!$B$17))</f>
        <v>0</v>
      </c>
    </row>
    <row r="56" spans="1:26" ht="39" customHeight="1">
      <c r="A56" s="40" t="str">
        <f>'Service Economics'!A24</f>
        <v>Teleconsultation Concierge</v>
      </c>
      <c r="B56" s="40" t="str">
        <f>'Service Economics'!B24</f>
        <v>Medical Coordination</v>
      </c>
      <c r="C56" s="45">
        <f>'Service Economics'!C24</f>
        <v>1.5</v>
      </c>
      <c r="D56" s="12">
        <f>'Service Economics'!K24</f>
        <v>587.70000000000005</v>
      </c>
      <c r="E56" s="12">
        <f>'Service Economics'!R24</f>
        <v>420.98134745762718</v>
      </c>
      <c r="F56" s="12">
        <f>'Service Economics'!AB24</f>
        <v>559.98134745762718</v>
      </c>
      <c r="G56" s="44">
        <v>0</v>
      </c>
      <c r="H56" s="24">
        <v>0</v>
      </c>
      <c r="I56" s="46">
        <f t="shared" si="1"/>
        <v>0</v>
      </c>
      <c r="J56" s="46">
        <f t="shared" si="2"/>
        <v>0</v>
      </c>
      <c r="K56" s="13">
        <f t="shared" si="3"/>
        <v>0</v>
      </c>
      <c r="L56" s="13">
        <f>I56*$B$16*'Service Economics'!V24</f>
        <v>0</v>
      </c>
      <c r="M56" s="13">
        <f>I56*('Service Economics'!L24+$B$16*('Service Economics'!T24+'Service Economics'!U24/(1+'Global Inputs'!$B$17)))</f>
        <v>0</v>
      </c>
      <c r="N56" s="13">
        <f t="shared" si="4"/>
        <v>0</v>
      </c>
      <c r="R56" s="6"/>
      <c r="S56" s="6"/>
      <c r="T56" s="6"/>
      <c r="X56" s="6">
        <f>G56*'Service Economics'!V24</f>
        <v>0</v>
      </c>
      <c r="Y56" s="6">
        <f>I56*'Service Economics'!L24</f>
        <v>0</v>
      </c>
      <c r="Z56" s="6">
        <f>I56*$B$16*('Service Economics'!U24-'Service Economics'!U24/(1+'Global Inputs'!$B$17))</f>
        <v>0</v>
      </c>
    </row>
    <row r="57" spans="1:26" ht="39" customHeight="1">
      <c r="A57" s="40" t="str">
        <f>'Service Economics'!A25</f>
        <v>Medical Records Concierge</v>
      </c>
      <c r="B57" s="40" t="str">
        <f>'Service Economics'!B25</f>
        <v>Medical Coordination</v>
      </c>
      <c r="C57" s="45">
        <f>'Service Economics'!C25</f>
        <v>2</v>
      </c>
      <c r="D57" s="12">
        <f>'Service Economics'!K25</f>
        <v>557.79999999999995</v>
      </c>
      <c r="E57" s="12">
        <f>'Service Economics'!R25</f>
        <v>396.68886440677966</v>
      </c>
      <c r="F57" s="12">
        <f>'Service Economics'!AB25</f>
        <v>535.68886440677966</v>
      </c>
      <c r="G57" s="44">
        <v>0</v>
      </c>
      <c r="H57" s="24">
        <v>0</v>
      </c>
      <c r="I57" s="46">
        <f t="shared" si="1"/>
        <v>0</v>
      </c>
      <c r="J57" s="46">
        <f t="shared" si="2"/>
        <v>0</v>
      </c>
      <c r="K57" s="13">
        <f t="shared" si="3"/>
        <v>0</v>
      </c>
      <c r="L57" s="13">
        <f>I57*$B$16*'Service Economics'!V25</f>
        <v>0</v>
      </c>
      <c r="M57" s="13">
        <f>I57*('Service Economics'!L25+$B$16*('Service Economics'!T25+'Service Economics'!U25/(1+'Global Inputs'!$B$17)))</f>
        <v>0</v>
      </c>
      <c r="N57" s="13">
        <f t="shared" si="4"/>
        <v>0</v>
      </c>
      <c r="R57" s="6"/>
      <c r="S57" s="6"/>
      <c r="T57" s="6"/>
      <c r="X57" s="6">
        <f>G57*'Service Economics'!V25</f>
        <v>0</v>
      </c>
      <c r="Y57" s="6">
        <f>I57*'Service Economics'!L25</f>
        <v>0</v>
      </c>
      <c r="Z57" s="6">
        <f>I57*$B$16*('Service Economics'!U25-'Service Economics'!U25/(1+'Global Inputs'!$B$17))</f>
        <v>0</v>
      </c>
    </row>
    <row r="58" spans="1:26" ht="39" customHeight="1">
      <c r="A58" s="40" t="str">
        <f>'Service Economics'!A26</f>
        <v>Insurance / TPA Desk Concierge</v>
      </c>
      <c r="B58" s="40" t="str">
        <f>'Service Economics'!B26</f>
        <v>Medical Coordination</v>
      </c>
      <c r="C58" s="45">
        <f>'Service Economics'!C26</f>
        <v>3</v>
      </c>
      <c r="D58" s="12">
        <f>'Service Economics'!K26</f>
        <v>871.75</v>
      </c>
      <c r="E58" s="12">
        <f>'Service Economics'!R26</f>
        <v>651.75993644067796</v>
      </c>
      <c r="F58" s="12">
        <f>'Service Economics'!AB26</f>
        <v>790.75993644067796</v>
      </c>
      <c r="G58" s="44">
        <v>0.01</v>
      </c>
      <c r="H58" s="24">
        <v>0</v>
      </c>
      <c r="I58" s="46">
        <f t="shared" si="1"/>
        <v>0.37620000000000003</v>
      </c>
      <c r="J58" s="46">
        <f t="shared" si="2"/>
        <v>1.1286</v>
      </c>
      <c r="K58" s="13">
        <f t="shared" si="3"/>
        <v>327.95235000000002</v>
      </c>
      <c r="L58" s="13">
        <f>I58*$B$16*'Service Economics'!V26</f>
        <v>97.661520000000024</v>
      </c>
      <c r="M58" s="13">
        <f>I58*('Service Economics'!L26+$B$16*('Service Economics'!T26+'Service Economics'!U26/(1+'Global Inputs'!$B$17)))</f>
        <v>375.58724033898312</v>
      </c>
      <c r="N58" s="13">
        <f t="shared" si="4"/>
        <v>266.1088080889831</v>
      </c>
      <c r="R58" s="6"/>
      <c r="S58" s="6"/>
      <c r="T58" s="6"/>
      <c r="X58" s="6">
        <f>G58*'Service Economics'!V26</f>
        <v>6.49</v>
      </c>
      <c r="Y58" s="6">
        <f>I58*'Service Economics'!L26</f>
        <v>277.92572033898307</v>
      </c>
      <c r="Z58" s="6">
        <f>I58*$B$16*('Service Economics'!U26-'Service Economics'!U26/(1+'Global Inputs'!$B$17))</f>
        <v>0</v>
      </c>
    </row>
    <row r="59" spans="1:26" ht="39" customHeight="1">
      <c r="A59" s="40" t="str">
        <f>'Service Economics'!A27</f>
        <v>Hospital Transfer Concierge</v>
      </c>
      <c r="B59" s="40" t="str">
        <f>'Service Economics'!B27</f>
        <v>Medical Coordination</v>
      </c>
      <c r="C59" s="45">
        <f>'Service Economics'!C27</f>
        <v>4</v>
      </c>
      <c r="D59" s="12">
        <f>'Service Economics'!K27</f>
        <v>1514.6000000000001</v>
      </c>
      <c r="E59" s="12">
        <f>'Service Economics'!R27</f>
        <v>1174.0483220338986</v>
      </c>
      <c r="F59" s="12">
        <f>'Service Economics'!AB27</f>
        <v>1313.0483220338986</v>
      </c>
      <c r="G59" s="44">
        <v>0.01</v>
      </c>
      <c r="H59" s="24">
        <v>0</v>
      </c>
      <c r="I59" s="46">
        <f t="shared" si="1"/>
        <v>0.37620000000000003</v>
      </c>
      <c r="J59" s="46">
        <f t="shared" si="2"/>
        <v>1.5048000000000001</v>
      </c>
      <c r="K59" s="13">
        <f t="shared" si="3"/>
        <v>569.79252000000008</v>
      </c>
      <c r="L59" s="13">
        <f>I59*$B$16*'Service Economics'!V27</f>
        <v>97.661520000000024</v>
      </c>
      <c r="M59" s="13">
        <f>I59*('Service Economics'!L27+$B$16*('Service Economics'!T27+'Service Economics'!U27/(1+'Global Inputs'!$B$17)))</f>
        <v>580.53653694915272</v>
      </c>
      <c r="N59" s="13">
        <f t="shared" si="4"/>
        <v>462.59369874915262</v>
      </c>
      <c r="R59" s="6"/>
      <c r="S59" s="6"/>
      <c r="T59" s="6"/>
      <c r="X59" s="6">
        <f>G59*'Service Economics'!V27</f>
        <v>6.49</v>
      </c>
      <c r="Y59" s="6">
        <f>I59*'Service Economics'!L27</f>
        <v>482.87501694915267</v>
      </c>
      <c r="Z59" s="6">
        <f>I59*$B$16*('Service Economics'!U27-'Service Economics'!U27/(1+'Global Inputs'!$B$17))</f>
        <v>0</v>
      </c>
    </row>
    <row r="60" spans="1:26" ht="39" customHeight="1">
      <c r="A60" s="40" t="str">
        <f>'Service Economics'!A28</f>
        <v>Rehab / Nursing Facility Transfer</v>
      </c>
      <c r="B60" s="40" t="str">
        <f>'Service Economics'!B28</f>
        <v>Medical Coordination</v>
      </c>
      <c r="C60" s="45">
        <f>'Service Economics'!C28</f>
        <v>4</v>
      </c>
      <c r="D60" s="12">
        <f>'Service Economics'!K28</f>
        <v>1454.8</v>
      </c>
      <c r="E60" s="12">
        <f>'Service Economics'!R28</f>
        <v>1125.4633559322033</v>
      </c>
      <c r="F60" s="12">
        <f>'Service Economics'!AB28</f>
        <v>1264.4633559322033</v>
      </c>
      <c r="G60" s="44">
        <v>0</v>
      </c>
      <c r="H60" s="24">
        <v>0</v>
      </c>
      <c r="I60" s="46">
        <f t="shared" si="1"/>
        <v>0</v>
      </c>
      <c r="J60" s="46">
        <f t="shared" si="2"/>
        <v>0</v>
      </c>
      <c r="K60" s="13">
        <f t="shared" si="3"/>
        <v>0</v>
      </c>
      <c r="L60" s="13">
        <f>I60*$B$16*'Service Economics'!V28</f>
        <v>0</v>
      </c>
      <c r="M60" s="13">
        <f>I60*('Service Economics'!L28+$B$16*('Service Economics'!T28+'Service Economics'!U28/(1+'Global Inputs'!$B$17)))</f>
        <v>0</v>
      </c>
      <c r="N60" s="13">
        <f t="shared" si="4"/>
        <v>0</v>
      </c>
      <c r="R60" s="6"/>
      <c r="S60" s="6"/>
      <c r="T60" s="6"/>
      <c r="X60" s="6">
        <f>G60*'Service Economics'!V28</f>
        <v>0</v>
      </c>
      <c r="Y60" s="6">
        <f>I60*'Service Economics'!L28</f>
        <v>0</v>
      </c>
      <c r="Z60" s="6">
        <f>I60*$B$16*('Service Economics'!U28-'Service Economics'!U28/(1+'Global Inputs'!$B$17))</f>
        <v>0</v>
      </c>
    </row>
    <row r="61" spans="1:26" ht="39" customHeight="1">
      <c r="A61" s="40" t="str">
        <f>'Service Economics'!A29</f>
        <v>24×7 Urgent Care Coordination</v>
      </c>
      <c r="B61" s="40" t="str">
        <f>'Service Economics'!B29</f>
        <v>Urgent Coordination</v>
      </c>
      <c r="C61" s="45">
        <f>'Service Economics'!C29</f>
        <v>4</v>
      </c>
      <c r="D61" s="12">
        <f>'Service Economics'!K29</f>
        <v>2252.8000000000002</v>
      </c>
      <c r="E61" s="12">
        <f>'Service Economics'!R29</f>
        <v>1773.8045423728815</v>
      </c>
      <c r="F61" s="12">
        <f>'Service Economics'!AB29</f>
        <v>1912.8045423728815</v>
      </c>
      <c r="G61" s="44">
        <v>5.0000000000000001E-3</v>
      </c>
      <c r="H61" s="24">
        <v>0</v>
      </c>
      <c r="I61" s="46">
        <f t="shared" si="1"/>
        <v>0.18810000000000002</v>
      </c>
      <c r="J61" s="46">
        <f t="shared" si="2"/>
        <v>0.75240000000000007</v>
      </c>
      <c r="K61" s="13">
        <f t="shared" si="3"/>
        <v>423.75168000000008</v>
      </c>
      <c r="L61" s="13">
        <f>I61*$B$16*'Service Economics'!V29</f>
        <v>48.830760000000012</v>
      </c>
      <c r="M61" s="13">
        <f>I61*('Service Economics'!L29+$B$16*('Service Economics'!T29+'Service Economics'!U29/(1+'Global Inputs'!$B$17)))</f>
        <v>407.9423532203391</v>
      </c>
      <c r="N61" s="13">
        <f t="shared" si="4"/>
        <v>344.11099442033901</v>
      </c>
      <c r="R61" s="6"/>
      <c r="S61" s="6"/>
      <c r="T61" s="6"/>
      <c r="X61" s="6">
        <f>G61*'Service Economics'!V29</f>
        <v>3.2450000000000001</v>
      </c>
      <c r="Y61" s="6">
        <f>I61*'Service Economics'!L29</f>
        <v>359.11159322033905</v>
      </c>
      <c r="Z61" s="6">
        <f>I61*$B$16*('Service Economics'!U29-'Service Economics'!U29/(1+'Global Inputs'!$B$17))</f>
        <v>0</v>
      </c>
    </row>
    <row r="62" spans="1:26" ht="39" customHeight="1">
      <c r="A62" s="40" t="str">
        <f>'Service Economics'!A30</f>
        <v>Doctor-at-Home Coordination</v>
      </c>
      <c r="B62" s="40" t="str">
        <f>'Service Economics'!B30</f>
        <v>Medical Coordination</v>
      </c>
      <c r="C62" s="45">
        <f>'Service Economics'!C30</f>
        <v>2</v>
      </c>
      <c r="D62" s="12">
        <f>'Service Economics'!K30</f>
        <v>707.3</v>
      </c>
      <c r="E62" s="12">
        <f>'Service Economics'!R30</f>
        <v>518.15127966101693</v>
      </c>
      <c r="F62" s="12">
        <f>'Service Economics'!AB30</f>
        <v>657.15127966101693</v>
      </c>
      <c r="G62" s="44">
        <v>0</v>
      </c>
      <c r="H62" s="24">
        <v>0</v>
      </c>
      <c r="I62" s="46">
        <f t="shared" si="1"/>
        <v>0</v>
      </c>
      <c r="J62" s="46">
        <f t="shared" si="2"/>
        <v>0</v>
      </c>
      <c r="K62" s="13">
        <f t="shared" si="3"/>
        <v>0</v>
      </c>
      <c r="L62" s="13">
        <f>I62*$B$16*'Service Economics'!V30</f>
        <v>0</v>
      </c>
      <c r="M62" s="13">
        <f>I62*('Service Economics'!L30+$B$16*('Service Economics'!T30+'Service Economics'!U30/(1+'Global Inputs'!$B$17)))</f>
        <v>0</v>
      </c>
      <c r="N62" s="13">
        <f t="shared" si="4"/>
        <v>0</v>
      </c>
      <c r="R62" s="6"/>
      <c r="S62" s="6"/>
      <c r="T62" s="6"/>
      <c r="X62" s="6">
        <f>G62*'Service Economics'!V30</f>
        <v>0</v>
      </c>
      <c r="Y62" s="6">
        <f>I62*'Service Economics'!L30</f>
        <v>0</v>
      </c>
      <c r="Z62" s="6">
        <f>I62*$B$16*('Service Economics'!U30-'Service Economics'!U30/(1+'Global Inputs'!$B$17))</f>
        <v>0</v>
      </c>
    </row>
    <row r="63" spans="1:26" ht="39" customHeight="1">
      <c r="A63" s="40" t="str">
        <f>'Service Economics'!A31</f>
        <v>Nurse-at-Home Coordination</v>
      </c>
      <c r="B63" s="40" t="str">
        <f>'Service Economics'!B31</f>
        <v>Medical Coordination</v>
      </c>
      <c r="C63" s="45">
        <f>'Service Economics'!C31</f>
        <v>2</v>
      </c>
      <c r="D63" s="12">
        <f>'Service Economics'!K31</f>
        <v>707.3</v>
      </c>
      <c r="E63" s="12">
        <f>'Service Economics'!R31</f>
        <v>518.15127966101693</v>
      </c>
      <c r="F63" s="12">
        <f>'Service Economics'!AB31</f>
        <v>657.15127966101693</v>
      </c>
      <c r="G63" s="44">
        <v>0</v>
      </c>
      <c r="H63" s="24">
        <v>0</v>
      </c>
      <c r="I63" s="46">
        <f t="shared" si="1"/>
        <v>0</v>
      </c>
      <c r="J63" s="46">
        <f t="shared" si="2"/>
        <v>0</v>
      </c>
      <c r="K63" s="13">
        <f t="shared" si="3"/>
        <v>0</v>
      </c>
      <c r="L63" s="13">
        <f>I63*$B$16*'Service Economics'!V31</f>
        <v>0</v>
      </c>
      <c r="M63" s="13">
        <f>I63*('Service Economics'!L31+$B$16*('Service Economics'!T31+'Service Economics'!U31/(1+'Global Inputs'!$B$17)))</f>
        <v>0</v>
      </c>
      <c r="N63" s="13">
        <f t="shared" si="4"/>
        <v>0</v>
      </c>
      <c r="R63" s="6"/>
      <c r="S63" s="6"/>
      <c r="T63" s="6"/>
      <c r="X63" s="6">
        <f>G63*'Service Economics'!V31</f>
        <v>0</v>
      </c>
      <c r="Y63" s="6">
        <f>I63*'Service Economics'!L31</f>
        <v>0</v>
      </c>
      <c r="Z63" s="6">
        <f>I63*$B$16*('Service Economics'!U31-'Service Economics'!U31/(1+'Global Inputs'!$B$17))</f>
        <v>0</v>
      </c>
    </row>
    <row r="64" spans="1:26" ht="39" customHeight="1">
      <c r="A64" s="40" t="str">
        <f>'Service Economics'!A32</f>
        <v>Medical Tourism — Concierge Package (24 HR Basis)</v>
      </c>
      <c r="B64" s="40" t="str">
        <f>'Service Economics'!B32</f>
        <v>Medical Coordination</v>
      </c>
      <c r="C64" s="45">
        <f>'Service Economics'!C32</f>
        <v>24</v>
      </c>
      <c r="D64" s="12">
        <f>'Service Economics'!K32</f>
        <v>17550</v>
      </c>
      <c r="E64" s="12">
        <f>'Service Economics'!R32</f>
        <v>14202.131355932204</v>
      </c>
      <c r="F64" s="12">
        <f>'Service Economics'!AB32</f>
        <v>14341.131355932204</v>
      </c>
      <c r="G64" s="44">
        <v>0.03</v>
      </c>
      <c r="H64" s="24">
        <v>0</v>
      </c>
      <c r="I64" s="46">
        <f t="shared" si="1"/>
        <v>1.1286</v>
      </c>
      <c r="J64" s="46">
        <f t="shared" si="2"/>
        <v>27.086400000000001</v>
      </c>
      <c r="K64" s="13">
        <f t="shared" si="3"/>
        <v>19806.93</v>
      </c>
      <c r="L64" s="13">
        <f>I64*$B$16*'Service Economics'!V32</f>
        <v>292.98456000000004</v>
      </c>
      <c r="M64" s="13">
        <f>I64*('Service Economics'!L32+$B$16*('Service Economics'!T32+'Service Economics'!U32/(1+'Global Inputs'!$B$17)))</f>
        <v>17078.518458305087</v>
      </c>
      <c r="N64" s="13">
        <f t="shared" si="4"/>
        <v>16091.275608305084</v>
      </c>
      <c r="R64" s="6"/>
      <c r="S64" s="6"/>
      <c r="T64" s="6"/>
      <c r="X64" s="6">
        <f>G64*'Service Economics'!V32</f>
        <v>19.47</v>
      </c>
      <c r="Y64" s="6">
        <f>I64*'Service Economics'!L32</f>
        <v>16785.533898305086</v>
      </c>
      <c r="Z64" s="6">
        <f>I64*$B$16*('Service Economics'!U32-'Service Economics'!U32/(1+'Global Inputs'!$B$17))</f>
        <v>0</v>
      </c>
    </row>
    <row r="65" spans="1:26" ht="39" customHeight="1">
      <c r="A65" s="40" t="str">
        <f>'Service Economics'!A33</f>
        <v>Pharmacy / Prescription Coordination</v>
      </c>
      <c r="B65" s="40" t="str">
        <f>'Service Economics'!B33</f>
        <v>Medical Coordination</v>
      </c>
      <c r="C65" s="45">
        <f>'Service Economics'!C33</f>
        <v>1.5</v>
      </c>
      <c r="D65" s="12">
        <f>'Service Economics'!K33</f>
        <v>587.70000000000005</v>
      </c>
      <c r="E65" s="12">
        <f>'Service Economics'!R33</f>
        <v>420.98134745762718</v>
      </c>
      <c r="F65" s="12">
        <f>'Service Economics'!AB33</f>
        <v>559.98134745762718</v>
      </c>
      <c r="G65" s="44">
        <v>0</v>
      </c>
      <c r="H65" s="24">
        <v>0</v>
      </c>
      <c r="I65" s="46">
        <f t="shared" si="1"/>
        <v>0</v>
      </c>
      <c r="J65" s="46">
        <f t="shared" si="2"/>
        <v>0</v>
      </c>
      <c r="K65" s="13">
        <f t="shared" si="3"/>
        <v>0</v>
      </c>
      <c r="L65" s="13">
        <f>I65*$B$16*'Service Economics'!V33</f>
        <v>0</v>
      </c>
      <c r="M65" s="13">
        <f>I65*('Service Economics'!L33+$B$16*('Service Economics'!T33+'Service Economics'!U33/(1+'Global Inputs'!$B$17)))</f>
        <v>0</v>
      </c>
      <c r="N65" s="13">
        <f t="shared" si="4"/>
        <v>0</v>
      </c>
      <c r="R65" s="6"/>
      <c r="S65" s="6"/>
      <c r="T65" s="6"/>
      <c r="X65" s="6">
        <f>G65*'Service Economics'!V33</f>
        <v>0</v>
      </c>
      <c r="Y65" s="6">
        <f>I65*'Service Economics'!L33</f>
        <v>0</v>
      </c>
      <c r="Z65" s="6">
        <f>I65*$B$16*('Service Economics'!U33-'Service Economics'!U33/(1+'Global Inputs'!$B$17))</f>
        <v>0</v>
      </c>
    </row>
    <row r="66" spans="1:26" ht="39" customHeight="1">
      <c r="A66" s="40" t="str">
        <f>'Service Economics'!A34</f>
        <v>Family Medical Update Concierge</v>
      </c>
      <c r="B66" s="40" t="str">
        <f>'Service Economics'!B34</f>
        <v>Continuing Care</v>
      </c>
      <c r="C66" s="45">
        <f>'Service Economics'!C34</f>
        <v>3</v>
      </c>
      <c r="D66" s="12">
        <f>'Service Economics'!K34</f>
        <v>782.05000000000007</v>
      </c>
      <c r="E66" s="12">
        <f>'Service Economics'!R34</f>
        <v>578.88248728813562</v>
      </c>
      <c r="F66" s="12">
        <f>'Service Economics'!AB34</f>
        <v>717.88248728813562</v>
      </c>
      <c r="G66" s="44">
        <v>0</v>
      </c>
      <c r="H66" s="24">
        <v>0</v>
      </c>
      <c r="I66" s="46">
        <f t="shared" si="1"/>
        <v>0</v>
      </c>
      <c r="J66" s="46">
        <f t="shared" si="2"/>
        <v>0</v>
      </c>
      <c r="K66" s="13">
        <f t="shared" si="3"/>
        <v>0</v>
      </c>
      <c r="L66" s="13">
        <f>I66*$B$16*'Service Economics'!V34</f>
        <v>0</v>
      </c>
      <c r="M66" s="13">
        <f>I66*('Service Economics'!L34+$B$16*('Service Economics'!T34+'Service Economics'!U34/(1+'Global Inputs'!$B$17)))</f>
        <v>0</v>
      </c>
      <c r="N66" s="13">
        <f t="shared" si="4"/>
        <v>0</v>
      </c>
      <c r="R66" s="6"/>
      <c r="S66" s="6"/>
      <c r="T66" s="6"/>
      <c r="X66" s="6">
        <f>G66*'Service Economics'!V34</f>
        <v>0</v>
      </c>
      <c r="Y66" s="6">
        <f>I66*'Service Economics'!L34</f>
        <v>0</v>
      </c>
      <c r="Z66" s="6">
        <f>I66*$B$16*('Service Economics'!U34-'Service Economics'!U34/(1+'Global Inputs'!$B$17))</f>
        <v>0</v>
      </c>
    </row>
    <row r="67" spans="1:26" ht="16">
      <c r="A67" s="43" t="s">
        <v>233</v>
      </c>
      <c r="B67" s="43"/>
      <c r="C67" s="43"/>
      <c r="D67" s="43"/>
      <c r="E67" s="43"/>
      <c r="F67" s="43"/>
      <c r="G67" s="43">
        <f t="shared" ref="G67:N67" si="5">SUM(G37:G66)</f>
        <v>1.0000000000000002</v>
      </c>
      <c r="H67" s="43">
        <f t="shared" si="5"/>
        <v>0</v>
      </c>
      <c r="I67" s="43">
        <f t="shared" si="5"/>
        <v>37.61999999999999</v>
      </c>
      <c r="J67" s="43">
        <f t="shared" si="5"/>
        <v>173.80440000000002</v>
      </c>
      <c r="K67" s="43">
        <f t="shared" si="5"/>
        <v>70007.659920000006</v>
      </c>
      <c r="L67" s="43">
        <f t="shared" si="5"/>
        <v>9766.1520000000019</v>
      </c>
      <c r="M67" s="43">
        <f t="shared" si="5"/>
        <v>69094.677355932217</v>
      </c>
      <c r="N67" s="51">
        <f t="shared" si="5"/>
        <v>56844.399258732206</v>
      </c>
    </row>
    <row r="70" spans="1:26" ht="15">
      <c r="A70" s="445" t="s">
        <v>234</v>
      </c>
      <c r="B70" s="445"/>
      <c r="C70" s="445"/>
      <c r="D70" s="445"/>
      <c r="E70" s="445"/>
    </row>
    <row r="71" spans="1:26" ht="15">
      <c r="A71" s="25" t="s">
        <v>235</v>
      </c>
      <c r="B71" s="25" t="s">
        <v>109</v>
      </c>
      <c r="C71" s="25" t="s">
        <v>111</v>
      </c>
      <c r="D71" s="25" t="s">
        <v>112</v>
      </c>
    </row>
    <row r="72" spans="1:26">
      <c r="A72" t="s">
        <v>236</v>
      </c>
      <c r="B72" s="15">
        <f>MIN(($G$6*$B$7*$G$7*(1-$G$8)*(1-$G$9)),($G$5*$B$7*$B$8*$G$10/$S$45),($G$5*$B$10*$B$7))</f>
        <v>37.619999999999997</v>
      </c>
      <c r="C72" s="15">
        <f>MIN(($H$6*$B$7*$H$7*(1-$H$8)*(1-$H$9)),($H$5*$B$7*$B$8*$H$10/$S$45),($H$5*$B$10*$B$7))</f>
        <v>93.702000000000012</v>
      </c>
      <c r="D72" s="15">
        <f>MIN(($I$6*$B$7*$I$7*(1-$I$8)*(1-$I$9)),($I$5*$B$7*$B$8*$I$10/$S$45),($I$5*$B$10*$B$7))</f>
        <v>198.97919999999999</v>
      </c>
    </row>
    <row r="73" spans="1:26">
      <c r="A73" t="s">
        <v>237</v>
      </c>
      <c r="B73" s="16">
        <f>MIN(($G$6*$B$7*$G$7*(1-$G$8)*(1-$G$9)),($G$5*$B$7*$B$8*$G$10/$S$45),($G$5*$B$10*$B$7))*($S$46+$G$11*$S$49)</f>
        <v>79773.811919999978</v>
      </c>
      <c r="C73" s="16">
        <f>MIN(($H$6*$B$7*$H$7*(1-$H$8)*(1-$H$9)),($H$5*$B$7*$B$8*$H$10/$S$45),($H$5*$B$10*$B$7))*($S$46+$H$11*$S$49)</f>
        <v>210859.10983200002</v>
      </c>
      <c r="D73" s="16">
        <f>MIN(($I$6*$B$7*$I$7*(1-$I$8)*(1-$I$9)),($I$5*$B$7*$B$8*$I$10/$S$45),($I$5*$B$10*$B$7))*($S$46+$I$11*$S$49)</f>
        <v>460679.82750719995</v>
      </c>
    </row>
    <row r="74" spans="1:26">
      <c r="A74" t="s">
        <v>238</v>
      </c>
      <c r="B74" s="16">
        <f>MIN(($G$6*$B$7*$G$7*(1-$G$8)*(1-$G$9)),($G$5*$B$7*$B$8*$G$10/$S$45),($G$5*$B$10*$B$7))*((1-$G$11)*$S$47+$G$11*$S$48-$S$50)</f>
        <v>56844.399258732199</v>
      </c>
      <c r="C74" s="16">
        <f>MIN(($H$6*$B$7*$H$7*(1-$H$8)*(1-$H$9)),($H$5*$B$7*$B$8*$H$10/$S$45),($H$5*$B$10*$B$7))*((1-$H$11)*$S$47+$H$11*$S$48-$S$50)</f>
        <v>144190.08038845626</v>
      </c>
      <c r="D74" s="16">
        <f>MIN(($I$6*$B$7*$I$7*(1-$I$8)*(1-$I$9)),($I$5*$B$7*$B$8*$I$10/$S$45),($I$5*$B$10*$B$7))*((1-$I$11)*$S$47+$I$11*$S$48-$S$50)</f>
        <v>308958.06764752587</v>
      </c>
    </row>
    <row r="75" spans="1:26">
      <c r="A75" t="s">
        <v>168</v>
      </c>
      <c r="B75" s="16">
        <f>$B$32</f>
        <v>138000</v>
      </c>
      <c r="C75" s="16">
        <f>$B$32</f>
        <v>138000</v>
      </c>
      <c r="D75" s="16">
        <f>$B$32</f>
        <v>138000</v>
      </c>
    </row>
    <row r="76" spans="1:26">
      <c r="A76" t="s">
        <v>239</v>
      </c>
      <c r="B76" s="16">
        <f>B74-B75</f>
        <v>-81155.600741267801</v>
      </c>
      <c r="C76" s="16">
        <f>C74-C75</f>
        <v>6190.0803884562629</v>
      </c>
      <c r="D76" s="16">
        <f>D74-D75</f>
        <v>170958.06764752587</v>
      </c>
    </row>
    <row r="77" spans="1:26">
      <c r="A77" t="s">
        <v>240</v>
      </c>
      <c r="B77" s="17">
        <f>IF(B73=0,0,B76/B73)</f>
        <v>-1.0173213337561646</v>
      </c>
      <c r="C77" s="17">
        <f>IF(C73=0,0,C76/C73)</f>
        <v>2.9356475958701288E-2</v>
      </c>
      <c r="D77" s="17">
        <f>IF(D73=0,0,D76/D73)</f>
        <v>0.37109953038882293</v>
      </c>
    </row>
    <row r="78" spans="1:26">
      <c r="A78" t="s">
        <v>241</v>
      </c>
      <c r="B78" s="15">
        <f>($G$6*$B$7*$G$7*(1-$G$8)*(1-$G$9))*$S$45/($B$7*$B$8*$G$10)</f>
        <v>1.4483699999999999</v>
      </c>
      <c r="C78" s="15">
        <f>($H$6*$B$7*$H$7*(1-$H$8)*(1-$H$9))*$S$45/($B$7*$B$8*$H$10)</f>
        <v>2.7750207692307693</v>
      </c>
      <c r="D78" s="15">
        <f>($I$6*$B$7*$I$7*(1-$I$8)*(1-$I$9))*$S$45/($B$7*$B$8*$I$10)</f>
        <v>4.7879370000000003</v>
      </c>
    </row>
    <row r="82" spans="1:17" ht="15">
      <c r="A82" s="445" t="s">
        <v>242</v>
      </c>
      <c r="B82" s="445"/>
      <c r="C82" s="445"/>
      <c r="D82" s="445"/>
      <c r="E82" s="445"/>
      <c r="F82" s="445"/>
      <c r="G82" s="445"/>
      <c r="H82" s="445"/>
      <c r="I82" s="445"/>
      <c r="J82" s="445"/>
      <c r="K82" s="445"/>
      <c r="L82" s="445"/>
      <c r="M82" s="445"/>
      <c r="N82" s="445"/>
    </row>
    <row r="83" spans="1:17" ht="25">
      <c r="A83" s="33" t="s">
        <v>243</v>
      </c>
      <c r="B83" s="33" t="s">
        <v>244</v>
      </c>
      <c r="C83" s="33" t="s">
        <v>245</v>
      </c>
      <c r="D83" s="33" t="s">
        <v>117</v>
      </c>
      <c r="E83" s="33" t="s">
        <v>246</v>
      </c>
      <c r="F83" s="33" t="s">
        <v>211</v>
      </c>
      <c r="G83" s="33" t="s">
        <v>247</v>
      </c>
      <c r="H83" s="33" t="s">
        <v>238</v>
      </c>
      <c r="I83" s="33" t="s">
        <v>168</v>
      </c>
      <c r="J83" s="33" t="s">
        <v>248</v>
      </c>
      <c r="K83" s="33" t="s">
        <v>249</v>
      </c>
      <c r="L83" s="33" t="s">
        <v>250</v>
      </c>
      <c r="M83" s="33" t="s">
        <v>251</v>
      </c>
      <c r="N83" s="33" t="s">
        <v>252</v>
      </c>
      <c r="P83" s="25" t="s">
        <v>253</v>
      </c>
      <c r="Q83" s="25" t="s">
        <v>2</v>
      </c>
    </row>
    <row r="84" spans="1:17">
      <c r="A84" t="s">
        <v>254</v>
      </c>
      <c r="B84" s="29">
        <v>0</v>
      </c>
      <c r="C84" s="15">
        <f>$B$11</f>
        <v>6</v>
      </c>
      <c r="D84" s="23">
        <v>3</v>
      </c>
      <c r="E84" s="15">
        <f t="shared" ref="E84:E95" si="6">F84*($B$18+$B$17/$B$19)</f>
        <v>33.857999999999997</v>
      </c>
      <c r="F84" s="15">
        <f t="shared" ref="F84:F95" si="7">MIN((C84*$B$7*$B$12*(1-$B$13)*(1-$B$14)),MIN(D84*$B$7*$B$8*$B$9/$S$45,D84*$B$10*$B$7))</f>
        <v>37.619999999999997</v>
      </c>
      <c r="G84" s="16">
        <f t="shared" ref="G84:G95" si="8">F84*$S$52</f>
        <v>79773.811919999978</v>
      </c>
      <c r="H84" s="16">
        <f t="shared" ref="H84:H95" si="9">F84*$S$51</f>
        <v>56844.399258732199</v>
      </c>
      <c r="I84" s="16">
        <f t="shared" ref="I84:I95" si="10">$B$32</f>
        <v>138000</v>
      </c>
      <c r="J84" s="16">
        <f t="shared" ref="J84:J95" si="11">H84-I84</f>
        <v>-81155.600741267801</v>
      </c>
      <c r="K84" s="16">
        <f>J84</f>
        <v>-81155.600741267801</v>
      </c>
      <c r="L84" s="17">
        <f t="shared" ref="L84:L95" si="12">IF(D84*$B$7*$B$8=0,0,F84*$S$45/(D84*$B$7*$B$8))</f>
        <v>0.24139499999999997</v>
      </c>
      <c r="M84" s="15">
        <f t="shared" ref="M84:M95" si="13">(C84*$B$7*$B$12*(1-$B$13)*(1-$B$14))*$S$45/($B$7*$B$8*$B$9)</f>
        <v>0.72418499999999997</v>
      </c>
      <c r="N84" t="str">
        <f t="shared" ref="N84:N95" si="14">IF(J84&gt;=0,"YES","")</f>
        <v/>
      </c>
      <c r="O84" t="str">
        <f t="shared" ref="O84:O95" si="15">IF(K84&gt;=0,"YES","")</f>
        <v/>
      </c>
      <c r="P84" t="s">
        <v>255</v>
      </c>
      <c r="Q84" t="str">
        <f>IF(COUNTIF(N84:N95,"YES")=0,"Not reached","Month "&amp;MATCH("YES",N84:N95,0))</f>
        <v>Not reached</v>
      </c>
    </row>
    <row r="85" spans="1:17">
      <c r="A85" t="s">
        <v>256</v>
      </c>
      <c r="B85" s="29">
        <v>0.15</v>
      </c>
      <c r="C85" s="15">
        <f t="shared" ref="C85:C95" si="16">C84*(1+B85)</f>
        <v>6.8999999999999995</v>
      </c>
      <c r="D85" s="23">
        <v>5</v>
      </c>
      <c r="E85" s="15">
        <f t="shared" si="6"/>
        <v>38.936699999999995</v>
      </c>
      <c r="F85" s="15">
        <f t="shared" si="7"/>
        <v>43.262999999999991</v>
      </c>
      <c r="G85" s="16">
        <f t="shared" si="8"/>
        <v>91739.883707999965</v>
      </c>
      <c r="H85" s="16">
        <f t="shared" si="9"/>
        <v>65371.059147542015</v>
      </c>
      <c r="I85" s="16">
        <f t="shared" si="10"/>
        <v>138000</v>
      </c>
      <c r="J85" s="16">
        <f t="shared" si="11"/>
        <v>-72628.940852457978</v>
      </c>
      <c r="K85" s="16">
        <f t="shared" ref="K85:K95" si="17">K84+J85</f>
        <v>-153784.54159372579</v>
      </c>
      <c r="L85" s="17">
        <f t="shared" si="12"/>
        <v>0.16656254999999998</v>
      </c>
      <c r="M85" s="15">
        <f t="shared" si="13"/>
        <v>0.83281274999999988</v>
      </c>
      <c r="N85" t="str">
        <f t="shared" si="14"/>
        <v/>
      </c>
      <c r="O85" t="str">
        <f t="shared" si="15"/>
        <v/>
      </c>
      <c r="P85" t="s">
        <v>257</v>
      </c>
      <c r="Q85" t="str">
        <f>IF(COUNTIF(O84:O95,"YES")=0,"Not reached","Month "&amp;MATCH("YES",O84:O95,0))</f>
        <v>Not reached</v>
      </c>
    </row>
    <row r="86" spans="1:17">
      <c r="A86" t="s">
        <v>258</v>
      </c>
      <c r="B86" s="29">
        <v>0.12</v>
      </c>
      <c r="C86" s="15">
        <f t="shared" si="16"/>
        <v>7.7279999999999998</v>
      </c>
      <c r="D86" s="23">
        <v>5</v>
      </c>
      <c r="E86" s="15">
        <f t="shared" si="6"/>
        <v>43.609104000000002</v>
      </c>
      <c r="F86" s="15">
        <f t="shared" si="7"/>
        <v>48.454560000000001</v>
      </c>
      <c r="G86" s="16">
        <f t="shared" si="8"/>
        <v>102748.66975295998</v>
      </c>
      <c r="H86" s="16">
        <f t="shared" si="9"/>
        <v>73215.586245247076</v>
      </c>
      <c r="I86" s="16">
        <f t="shared" si="10"/>
        <v>138000</v>
      </c>
      <c r="J86" s="16">
        <f t="shared" si="11"/>
        <v>-64784.413754752924</v>
      </c>
      <c r="K86" s="16">
        <f t="shared" si="17"/>
        <v>-218568.95534847872</v>
      </c>
      <c r="L86" s="17">
        <f t="shared" si="12"/>
        <v>0.18655005599999999</v>
      </c>
      <c r="M86" s="15">
        <f t="shared" si="13"/>
        <v>0.93275028000000004</v>
      </c>
      <c r="N86" t="str">
        <f t="shared" si="14"/>
        <v/>
      </c>
      <c r="O86" t="str">
        <f t="shared" si="15"/>
        <v/>
      </c>
    </row>
    <row r="87" spans="1:17">
      <c r="A87" t="s">
        <v>259</v>
      </c>
      <c r="B87" s="29">
        <v>0.1</v>
      </c>
      <c r="C87" s="15">
        <f t="shared" si="16"/>
        <v>8.5007999999999999</v>
      </c>
      <c r="D87" s="23">
        <v>6</v>
      </c>
      <c r="E87" s="15">
        <f t="shared" si="6"/>
        <v>47.970014400000004</v>
      </c>
      <c r="F87" s="15">
        <f t="shared" si="7"/>
        <v>53.300015999999999</v>
      </c>
      <c r="G87" s="16">
        <f t="shared" si="8"/>
        <v>113023.53672825597</v>
      </c>
      <c r="H87" s="16">
        <f t="shared" si="9"/>
        <v>80537.144869771786</v>
      </c>
      <c r="I87" s="16">
        <f t="shared" si="10"/>
        <v>138000</v>
      </c>
      <c r="J87" s="16">
        <f t="shared" si="11"/>
        <v>-57462.855130228214</v>
      </c>
      <c r="K87" s="16">
        <f t="shared" si="17"/>
        <v>-276031.81047870696</v>
      </c>
      <c r="L87" s="17">
        <f t="shared" si="12"/>
        <v>0.17100421800000001</v>
      </c>
      <c r="M87" s="15">
        <f t="shared" si="13"/>
        <v>1.0260253080000001</v>
      </c>
      <c r="N87" t="str">
        <f t="shared" si="14"/>
        <v/>
      </c>
      <c r="O87" t="str">
        <f t="shared" si="15"/>
        <v/>
      </c>
    </row>
    <row r="88" spans="1:17">
      <c r="A88" t="s">
        <v>260</v>
      </c>
      <c r="B88" s="29">
        <v>0.1</v>
      </c>
      <c r="C88" s="15">
        <f t="shared" si="16"/>
        <v>9.3508800000000001</v>
      </c>
      <c r="D88" s="23">
        <v>6</v>
      </c>
      <c r="E88" s="15">
        <f t="shared" si="6"/>
        <v>52.767015840000006</v>
      </c>
      <c r="F88" s="15">
        <f t="shared" si="7"/>
        <v>58.630017600000002</v>
      </c>
      <c r="G88" s="16">
        <f t="shared" si="8"/>
        <v>124325.89040108159</v>
      </c>
      <c r="H88" s="16">
        <f t="shared" si="9"/>
        <v>88590.859356748959</v>
      </c>
      <c r="I88" s="16">
        <f t="shared" si="10"/>
        <v>138000</v>
      </c>
      <c r="J88" s="16">
        <f t="shared" si="11"/>
        <v>-49409.140643251041</v>
      </c>
      <c r="K88" s="16">
        <f t="shared" si="17"/>
        <v>-325440.95112195797</v>
      </c>
      <c r="L88" s="17">
        <f t="shared" si="12"/>
        <v>0.1881046398</v>
      </c>
      <c r="M88" s="15">
        <f t="shared" si="13"/>
        <v>1.1286278387999999</v>
      </c>
      <c r="N88" t="str">
        <f t="shared" si="14"/>
        <v/>
      </c>
      <c r="O88" t="str">
        <f t="shared" si="15"/>
        <v/>
      </c>
    </row>
    <row r="89" spans="1:17">
      <c r="A89" t="s">
        <v>261</v>
      </c>
      <c r="B89" s="29">
        <v>0.08</v>
      </c>
      <c r="C89" s="15">
        <f t="shared" si="16"/>
        <v>10.098950400000001</v>
      </c>
      <c r="D89" s="23">
        <v>7</v>
      </c>
      <c r="E89" s="15">
        <f t="shared" si="6"/>
        <v>56.988377107200002</v>
      </c>
      <c r="F89" s="15">
        <f t="shared" si="7"/>
        <v>63.320419008000002</v>
      </c>
      <c r="G89" s="16">
        <f t="shared" si="8"/>
        <v>134271.9616331681</v>
      </c>
      <c r="H89" s="16">
        <f t="shared" si="9"/>
        <v>95678.128105288881</v>
      </c>
      <c r="I89" s="16">
        <f t="shared" si="10"/>
        <v>138000</v>
      </c>
      <c r="J89" s="16">
        <f t="shared" si="11"/>
        <v>-42321.871894711119</v>
      </c>
      <c r="K89" s="16">
        <f t="shared" si="17"/>
        <v>-367762.82301666908</v>
      </c>
      <c r="L89" s="17">
        <f t="shared" si="12"/>
        <v>0.17413115227200002</v>
      </c>
      <c r="M89" s="15">
        <f t="shared" si="13"/>
        <v>1.218918065904</v>
      </c>
      <c r="N89" t="str">
        <f t="shared" si="14"/>
        <v/>
      </c>
      <c r="O89" t="str">
        <f t="shared" si="15"/>
        <v/>
      </c>
    </row>
    <row r="90" spans="1:17">
      <c r="A90" t="s">
        <v>262</v>
      </c>
      <c r="B90" s="29">
        <v>0.08</v>
      </c>
      <c r="C90" s="15">
        <f t="shared" si="16"/>
        <v>10.906866432000003</v>
      </c>
      <c r="D90" s="23">
        <v>7</v>
      </c>
      <c r="E90" s="15">
        <f t="shared" si="6"/>
        <v>61.547447275776008</v>
      </c>
      <c r="F90" s="15">
        <f t="shared" si="7"/>
        <v>68.386052528640008</v>
      </c>
      <c r="G90" s="16">
        <f t="shared" si="8"/>
        <v>145013.71856382157</v>
      </c>
      <c r="H90" s="16">
        <f t="shared" si="9"/>
        <v>103332.378353712</v>
      </c>
      <c r="I90" s="16">
        <f t="shared" si="10"/>
        <v>138000</v>
      </c>
      <c r="J90" s="16">
        <f t="shared" si="11"/>
        <v>-34667.621646287997</v>
      </c>
      <c r="K90" s="16">
        <f t="shared" si="17"/>
        <v>-402430.4446629571</v>
      </c>
      <c r="L90" s="17">
        <f t="shared" si="12"/>
        <v>0.18806164445376003</v>
      </c>
      <c r="M90" s="15">
        <f t="shared" si="13"/>
        <v>1.3164315111763201</v>
      </c>
      <c r="N90" t="str">
        <f t="shared" si="14"/>
        <v/>
      </c>
      <c r="O90" t="str">
        <f t="shared" si="15"/>
        <v/>
      </c>
    </row>
    <row r="91" spans="1:17">
      <c r="A91" t="s">
        <v>263</v>
      </c>
      <c r="B91" s="29">
        <v>0.06</v>
      </c>
      <c r="C91" s="15">
        <f t="shared" si="16"/>
        <v>11.561278417920004</v>
      </c>
      <c r="D91" s="23">
        <v>8</v>
      </c>
      <c r="E91" s="15">
        <f t="shared" si="6"/>
        <v>65.240294112322587</v>
      </c>
      <c r="F91" s="15">
        <f t="shared" si="7"/>
        <v>72.489215680358427</v>
      </c>
      <c r="G91" s="16">
        <f t="shared" si="8"/>
        <v>153714.54167765091</v>
      </c>
      <c r="H91" s="16">
        <f t="shared" si="9"/>
        <v>109532.32105493474</v>
      </c>
      <c r="I91" s="16">
        <f t="shared" si="10"/>
        <v>138000</v>
      </c>
      <c r="J91" s="16">
        <f t="shared" si="11"/>
        <v>-28467.678945065258</v>
      </c>
      <c r="K91" s="16">
        <f t="shared" si="17"/>
        <v>-430898.12360802235</v>
      </c>
      <c r="L91" s="17">
        <f t="shared" si="12"/>
        <v>0.17442717523086246</v>
      </c>
      <c r="M91" s="15">
        <f t="shared" si="13"/>
        <v>1.3954174018468997</v>
      </c>
      <c r="N91" t="str">
        <f t="shared" si="14"/>
        <v/>
      </c>
      <c r="O91" t="str">
        <f t="shared" si="15"/>
        <v/>
      </c>
    </row>
    <row r="92" spans="1:17">
      <c r="A92" t="s">
        <v>264</v>
      </c>
      <c r="B92" s="29">
        <v>0.06</v>
      </c>
      <c r="C92" s="15">
        <f t="shared" si="16"/>
        <v>12.254955122995206</v>
      </c>
      <c r="D92" s="23">
        <v>8</v>
      </c>
      <c r="E92" s="15">
        <f t="shared" si="6"/>
        <v>69.154711759061954</v>
      </c>
      <c r="F92" s="15">
        <f t="shared" si="7"/>
        <v>76.838568621179945</v>
      </c>
      <c r="G92" s="16">
        <f t="shared" si="8"/>
        <v>162937.41417830999</v>
      </c>
      <c r="H92" s="16">
        <f t="shared" si="9"/>
        <v>116104.26031823085</v>
      </c>
      <c r="I92" s="16">
        <f t="shared" si="10"/>
        <v>138000</v>
      </c>
      <c r="J92" s="16">
        <f t="shared" si="11"/>
        <v>-21895.739681769148</v>
      </c>
      <c r="K92" s="16">
        <f t="shared" si="17"/>
        <v>-452793.86328979151</v>
      </c>
      <c r="L92" s="17">
        <f t="shared" si="12"/>
        <v>0.18489280574471423</v>
      </c>
      <c r="M92" s="15">
        <f t="shared" si="13"/>
        <v>1.4791424459577138</v>
      </c>
      <c r="N92" t="str">
        <f t="shared" si="14"/>
        <v/>
      </c>
      <c r="O92" t="str">
        <f t="shared" si="15"/>
        <v/>
      </c>
    </row>
    <row r="93" spans="1:17">
      <c r="A93" t="s">
        <v>265</v>
      </c>
      <c r="B93" s="29">
        <v>0.05</v>
      </c>
      <c r="C93" s="15">
        <f t="shared" si="16"/>
        <v>12.867702879144966</v>
      </c>
      <c r="D93" s="23">
        <v>9</v>
      </c>
      <c r="E93" s="15">
        <f t="shared" si="6"/>
        <v>72.612447347015049</v>
      </c>
      <c r="F93" s="15">
        <f t="shared" si="7"/>
        <v>80.680497052238948</v>
      </c>
      <c r="G93" s="16">
        <f t="shared" si="8"/>
        <v>171084.28488722548</v>
      </c>
      <c r="H93" s="16">
        <f t="shared" si="9"/>
        <v>121909.4733341424</v>
      </c>
      <c r="I93" s="16">
        <f t="shared" si="10"/>
        <v>138000</v>
      </c>
      <c r="J93" s="16">
        <f t="shared" si="11"/>
        <v>-16090.5266658576</v>
      </c>
      <c r="K93" s="16">
        <f t="shared" si="17"/>
        <v>-468884.38995564909</v>
      </c>
      <c r="L93" s="17">
        <f t="shared" si="12"/>
        <v>0.17256661869506665</v>
      </c>
      <c r="M93" s="15">
        <f t="shared" si="13"/>
        <v>1.5530995682555999</v>
      </c>
      <c r="N93" t="str">
        <f t="shared" si="14"/>
        <v/>
      </c>
      <c r="O93" t="str">
        <f t="shared" si="15"/>
        <v/>
      </c>
    </row>
    <row r="94" spans="1:17">
      <c r="A94" t="s">
        <v>266</v>
      </c>
      <c r="B94" s="29">
        <v>0.05</v>
      </c>
      <c r="C94" s="15">
        <f t="shared" si="16"/>
        <v>13.511088023102214</v>
      </c>
      <c r="D94" s="23">
        <v>9</v>
      </c>
      <c r="E94" s="15">
        <f t="shared" si="6"/>
        <v>76.243069714365788</v>
      </c>
      <c r="F94" s="15">
        <f t="shared" si="7"/>
        <v>84.714521904850869</v>
      </c>
      <c r="G94" s="16">
        <f t="shared" si="8"/>
        <v>179638.49913158672</v>
      </c>
      <c r="H94" s="16">
        <f t="shared" si="9"/>
        <v>128004.94700084948</v>
      </c>
      <c r="I94" s="16">
        <f t="shared" si="10"/>
        <v>138000</v>
      </c>
      <c r="J94" s="16">
        <f t="shared" si="11"/>
        <v>-9995.0529991505173</v>
      </c>
      <c r="K94" s="16">
        <f t="shared" si="17"/>
        <v>-478879.44295479963</v>
      </c>
      <c r="L94" s="17">
        <f t="shared" si="12"/>
        <v>0.18119494962981994</v>
      </c>
      <c r="M94" s="15">
        <f t="shared" si="13"/>
        <v>1.6307545466683793</v>
      </c>
      <c r="N94" t="str">
        <f t="shared" si="14"/>
        <v/>
      </c>
      <c r="O94" t="str">
        <f t="shared" si="15"/>
        <v/>
      </c>
    </row>
    <row r="95" spans="1:17">
      <c r="A95" t="s">
        <v>267</v>
      </c>
      <c r="B95" s="29">
        <v>0.05</v>
      </c>
      <c r="C95" s="15">
        <f t="shared" si="16"/>
        <v>14.186642424257325</v>
      </c>
      <c r="D95" s="23">
        <v>10</v>
      </c>
      <c r="E95" s="15">
        <f t="shared" si="6"/>
        <v>80.055223200084086</v>
      </c>
      <c r="F95" s="15">
        <f t="shared" si="7"/>
        <v>88.950248000093424</v>
      </c>
      <c r="G95" s="16">
        <f t="shared" si="8"/>
        <v>188620.42408816607</v>
      </c>
      <c r="H95" s="16">
        <f t="shared" si="9"/>
        <v>134405.19435089198</v>
      </c>
      <c r="I95" s="16">
        <f t="shared" si="10"/>
        <v>138000</v>
      </c>
      <c r="J95" s="16">
        <f t="shared" si="11"/>
        <v>-3594.8056491080206</v>
      </c>
      <c r="K95" s="16">
        <f t="shared" si="17"/>
        <v>-482474.24860390765</v>
      </c>
      <c r="L95" s="17">
        <f t="shared" si="12"/>
        <v>0.17122922740017985</v>
      </c>
      <c r="M95" s="15">
        <f t="shared" si="13"/>
        <v>1.7122922740017983</v>
      </c>
      <c r="N95" t="str">
        <f t="shared" si="14"/>
        <v/>
      </c>
      <c r="O95" t="str">
        <f t="shared" si="15"/>
        <v/>
      </c>
    </row>
    <row r="97" spans="1:14">
      <c r="A97" s="446" t="s">
        <v>268</v>
      </c>
      <c r="B97" s="446"/>
      <c r="C97" s="446"/>
      <c r="D97" s="446"/>
      <c r="E97" s="446"/>
      <c r="F97" s="446"/>
      <c r="G97" s="446"/>
      <c r="H97" s="446"/>
      <c r="I97" s="446"/>
      <c r="J97" s="446"/>
      <c r="K97" s="446"/>
      <c r="L97" s="446"/>
      <c r="M97" s="446"/>
      <c r="N97" s="446"/>
    </row>
    <row r="98" spans="1:14">
      <c r="A98" s="446"/>
      <c r="B98" s="446"/>
      <c r="C98" s="446"/>
      <c r="D98" s="446"/>
      <c r="E98" s="446"/>
      <c r="F98" s="446"/>
      <c r="G98" s="446"/>
      <c r="H98" s="446"/>
      <c r="I98" s="446"/>
      <c r="J98" s="446"/>
      <c r="K98" s="446"/>
      <c r="L98" s="446"/>
      <c r="M98" s="446"/>
      <c r="N98" s="446"/>
    </row>
    <row r="99" spans="1:14">
      <c r="A99" s="446"/>
      <c r="B99" s="446"/>
      <c r="C99" s="446"/>
      <c r="D99" s="446"/>
      <c r="E99" s="446"/>
      <c r="F99" s="446"/>
      <c r="G99" s="446"/>
      <c r="H99" s="446"/>
      <c r="I99" s="446"/>
      <c r="J99" s="446"/>
      <c r="K99" s="446"/>
      <c r="L99" s="446"/>
      <c r="M99" s="446"/>
      <c r="N99" s="446"/>
    </row>
  </sheetData>
  <mergeCells count="11">
    <mergeCell ref="A1:AD1"/>
    <mergeCell ref="A2:AD2"/>
    <mergeCell ref="A21:D21"/>
    <mergeCell ref="A35:N35"/>
    <mergeCell ref="N4:Q4"/>
    <mergeCell ref="P44:Q44"/>
    <mergeCell ref="U4:W4"/>
    <mergeCell ref="A70:E70"/>
    <mergeCell ref="A82:N82"/>
    <mergeCell ref="A97:N99"/>
    <mergeCell ref="R44:S44"/>
  </mergeCells>
  <conditionalFormatting sqref="B76:D76">
    <cfRule type="expression" dxfId="79" priority="5">
      <formula>B76&lt;0</formula>
    </cfRule>
  </conditionalFormatting>
  <conditionalFormatting sqref="G67">
    <cfRule type="expression" dxfId="78" priority="1">
      <formula>ABS(G67-1)&gt;0.0001</formula>
    </cfRule>
    <cfRule type="expression" dxfId="77" priority="2">
      <formula>ABS(G67-1)&lt;=0.0001</formula>
    </cfRule>
  </conditionalFormatting>
  <conditionalFormatting sqref="J84:J95">
    <cfRule type="expression" dxfId="76" priority="6">
      <formula>J84&lt;0</formula>
    </cfRule>
  </conditionalFormatting>
  <conditionalFormatting sqref="O37">
    <cfRule type="expression" dxfId="75" priority="3">
      <formula>O37&lt;0</formula>
    </cfRule>
    <cfRule type="expression" dxfId="74" priority="4">
      <formula>O37&gt;=0</formula>
    </cfRule>
  </conditionalFormatting>
  <conditionalFormatting sqref="Q37">
    <cfRule type="expression" dxfId="73" priority="7">
      <formula>Q37&lt;0</formula>
    </cfRule>
    <cfRule type="expression" dxfId="72" priority="8">
      <formula>Q37&gt;=0</formula>
    </cfRule>
  </conditionalFormatting>
  <dataValidations count="1">
    <dataValidation type="list" sqref="B4" xr:uid="{00000000-0002-0000-0400-000000000000}">
      <formula1>"Conservative,Base,Aggressive"</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78"/>
  <sheetViews>
    <sheetView workbookViewId="0"/>
  </sheetViews>
  <sheetFormatPr baseColWidth="10" defaultColWidth="8.83203125" defaultRowHeight="14"/>
  <cols>
    <col min="1" max="1" width="36" customWidth="1"/>
    <col min="2" max="2" width="22" customWidth="1"/>
    <col min="3" max="3" width="10" customWidth="1"/>
    <col min="4" max="14" width="16" customWidth="1"/>
    <col min="15" max="16" width="14" customWidth="1"/>
    <col min="17" max="17" width="32" customWidth="1"/>
    <col min="18" max="20" width="16" customWidth="1"/>
    <col min="21" max="23" width="14" customWidth="1"/>
    <col min="33" max="36" width="20" customWidth="1"/>
    <col min="37" max="37" width="16" customWidth="1"/>
    <col min="38" max="39" width="20" customWidth="1"/>
  </cols>
  <sheetData>
    <row r="1" spans="1:52" ht="49.75" customHeight="1">
      <c r="A1" s="450" t="s">
        <v>1318</v>
      </c>
      <c r="B1" s="450"/>
      <c r="C1" s="450"/>
      <c r="D1" s="450"/>
      <c r="E1" s="450"/>
      <c r="F1" s="450"/>
      <c r="G1" s="450"/>
      <c r="H1" s="450"/>
      <c r="I1" s="450"/>
      <c r="J1" s="450"/>
      <c r="K1" s="450"/>
      <c r="L1" s="450"/>
      <c r="M1" s="450"/>
      <c r="N1" s="450"/>
      <c r="O1" s="450"/>
      <c r="P1" s="450"/>
      <c r="Q1" s="450"/>
      <c r="R1" s="450"/>
      <c r="S1" s="450"/>
      <c r="T1" s="450"/>
      <c r="U1" s="450"/>
      <c r="V1" s="450"/>
      <c r="W1" s="450"/>
      <c r="X1" s="450"/>
      <c r="Y1" s="450"/>
      <c r="Z1" s="450"/>
      <c r="AA1" s="450"/>
      <c r="AB1" s="450"/>
      <c r="AC1" s="450"/>
      <c r="AD1" s="450"/>
      <c r="AE1" s="450"/>
      <c r="AF1" s="450"/>
      <c r="AG1" s="450"/>
      <c r="AH1" s="450"/>
      <c r="AI1" s="450"/>
      <c r="AJ1" s="450"/>
      <c r="AK1" s="450"/>
      <c r="AL1" s="450"/>
      <c r="AM1" s="450"/>
      <c r="AN1" s="450"/>
      <c r="AO1" s="450"/>
      <c r="AP1" s="450"/>
      <c r="AQ1" s="450"/>
      <c r="AR1" s="450"/>
      <c r="AS1" s="450"/>
      <c r="AT1" s="450"/>
      <c r="AU1" s="450"/>
      <c r="AV1" s="450"/>
      <c r="AW1" s="450"/>
      <c r="AX1" s="450"/>
      <c r="AY1" s="450"/>
      <c r="AZ1" s="450"/>
    </row>
    <row r="2" spans="1:52" ht="49.75" customHeight="1">
      <c r="A2" s="446" t="s">
        <v>1319</v>
      </c>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c r="AW2" s="446"/>
      <c r="AX2" s="446"/>
      <c r="AY2" s="446"/>
      <c r="AZ2" s="446"/>
    </row>
    <row r="4" spans="1:52" ht="15">
      <c r="A4" s="444" t="s">
        <v>269</v>
      </c>
      <c r="B4" s="444"/>
      <c r="C4" s="444"/>
      <c r="D4" s="444"/>
      <c r="E4" s="444"/>
      <c r="F4" s="444"/>
      <c r="G4" s="444"/>
      <c r="H4" s="444"/>
    </row>
    <row r="5" spans="1:52">
      <c r="A5" t="s">
        <v>1320</v>
      </c>
      <c r="B5" s="6" t="str">
        <f>INDEX($A$15:$A$44,MATCH(MAX($AL$15:$AL$44),$AL$15:$AL$44,0))</f>
        <v>Medical Tourism — Concierge Package (24 HR Basis)</v>
      </c>
      <c r="C5" t="s">
        <v>1321</v>
      </c>
      <c r="D5" s="7">
        <f>MAX($AL$15:$AL$44)</f>
        <v>11772.524255340486</v>
      </c>
    </row>
    <row r="6" spans="1:52">
      <c r="A6" t="s">
        <v>1322</v>
      </c>
      <c r="B6" s="6" t="str">
        <f>INDEX($A$15:$A$44,MATCH(MAX($AM$15:$AM$44),$AM$15:$AM$44,0))</f>
        <v>Medical Tourism — Concierge Package (24 HR Basis)</v>
      </c>
      <c r="C6" t="s">
        <v>7</v>
      </c>
      <c r="D6" s="7">
        <f>MAX($AM$15:$AM$44)</f>
        <v>488.20517730585362</v>
      </c>
    </row>
    <row r="7" spans="1:52">
      <c r="A7" t="s">
        <v>1323</v>
      </c>
      <c r="B7" s="6" t="str">
        <f>INDEX($A$15:$A$44,MATCH(MAX($AJ$15:$AJ$44),$AJ$15:$AJ$44,0))</f>
        <v>Hospital Visit</v>
      </c>
      <c r="C7" t="s">
        <v>1324</v>
      </c>
      <c r="D7" s="7">
        <f>MAX($AJ$15:$AJ$44)</f>
        <v>5</v>
      </c>
    </row>
    <row r="8" spans="1:52">
      <c r="A8" t="s">
        <v>1325</v>
      </c>
      <c r="B8" s="6" t="str">
        <f>INDEX('Service Economics'!$A$5:$A$34,MATCH(MIN('Service Economics'!$AM$5:$AM$34),'Service Economics'!$AM$5:$AM$34,0))</f>
        <v>Medical Records Concierge</v>
      </c>
      <c r="C8" t="s">
        <v>1326</v>
      </c>
      <c r="D8" s="184">
        <f>MIN('Service Economics'!$AM$5:$AM$34)</f>
        <v>0.40106518783640721</v>
      </c>
    </row>
    <row r="9" spans="1:52">
      <c r="A9" t="s">
        <v>270</v>
      </c>
      <c r="B9" s="6" t="str">
        <f>IF(AVERAGE($G$15:$G$44)&gt;AVERAGE($F$15:$F$44),"Case 2 primary / Case 1 fallback","Case 1 primary")</f>
        <v>Case 2 primary / Case 1 fallback</v>
      </c>
      <c r="C9" t="s">
        <v>271</v>
      </c>
      <c r="D9" s="19">
        <f>'Whitefield Monthly Projection'!$Q$39</f>
        <v>91.329314192769729</v>
      </c>
    </row>
    <row r="10" spans="1:52">
      <c r="A10" t="s">
        <v>272</v>
      </c>
      <c r="B10" s="6" t="str">
        <f>INDEX($A$51:$A$63,MATCH(MAX($I$51:$I$63),$I$51:$I$63,0))</f>
        <v>Customer leads / day</v>
      </c>
      <c r="C10" s="6" t="s">
        <v>273</v>
      </c>
      <c r="D10" s="6" t="str">
        <f>IF('Whitefield Monthly Projection'!$Q$21&lt;'Whitefield Monthly Projection'!$B$9*0.8,"Low Whitefield demand density / Angel under-utilization",IF('Whitefield Monthly Projection'!$S$45&gt;4,"Long hospital waiting / journey duration","Transport/payment leakage"))</f>
        <v>Low Whitefield demand density / Angel under-utilization</v>
      </c>
    </row>
    <row r="11" spans="1:52">
      <c r="A11" s="451" t="str">
        <f>"Model insight: "&amp;B6&amp;" currently has the highest modeled contribution per Angel hour. Commercial priority must also consider repeat potential, operational complexity and manual-pricing status; do not treat the top modeled service as an automatic launch recommendation."</f>
        <v>Model insight: Medical Tourism — Concierge Package (24 HR Basis) currently has the highest modeled contribution per Angel hour. Commercial priority must also consider repeat potential, operational complexity and manual-pricing status; do not treat the top modeled service as an automatic launch recommendation.</v>
      </c>
      <c r="B11" s="451"/>
      <c r="C11" s="451"/>
      <c r="D11" s="451"/>
      <c r="E11" s="451"/>
      <c r="F11" s="451"/>
      <c r="G11" s="451"/>
      <c r="H11" s="451"/>
      <c r="I11" s="1"/>
      <c r="J11" s="1"/>
      <c r="K11" s="1"/>
      <c r="L11" s="1"/>
      <c r="M11" s="1"/>
      <c r="N11" s="1"/>
      <c r="O11" s="1"/>
      <c r="P11" s="1"/>
      <c r="Q11" s="1"/>
      <c r="R11" s="1"/>
      <c r="S11" s="1"/>
      <c r="T11" s="1"/>
      <c r="U11" s="1"/>
      <c r="V11" s="1"/>
      <c r="W11" s="1"/>
      <c r="X11" s="1"/>
      <c r="Y11" s="1"/>
      <c r="Z11" s="1"/>
      <c r="AA11" s="1"/>
      <c r="AB11" s="1"/>
      <c r="AC11" s="1"/>
      <c r="AD11" s="1"/>
      <c r="AE11" s="1"/>
      <c r="AF11" s="1"/>
    </row>
    <row r="12" spans="1:52">
      <c r="A12" s="452"/>
      <c r="B12" s="452"/>
      <c r="C12" s="452"/>
      <c r="D12" s="452"/>
      <c r="E12" s="452"/>
      <c r="F12" s="452"/>
      <c r="G12" s="452"/>
      <c r="H12" s="452"/>
    </row>
    <row r="13" spans="1:52" ht="15">
      <c r="A13" s="445" t="s">
        <v>1327</v>
      </c>
      <c r="B13" s="445"/>
      <c r="C13" s="445"/>
      <c r="D13" s="445"/>
      <c r="E13" s="445"/>
      <c r="F13" s="445"/>
      <c r="G13" s="445"/>
      <c r="H13" s="445"/>
      <c r="I13" s="445"/>
      <c r="J13" s="445"/>
      <c r="K13" s="445"/>
      <c r="L13" s="445"/>
      <c r="M13" s="445"/>
      <c r="N13" s="445"/>
      <c r="O13" s="445"/>
      <c r="P13" s="445"/>
      <c r="Q13" s="445"/>
      <c r="R13" s="445"/>
      <c r="S13" s="445"/>
      <c r="T13" s="445"/>
      <c r="U13" s="445"/>
      <c r="V13" s="445"/>
      <c r="W13" s="445"/>
    </row>
    <row r="14" spans="1:52" ht="85.25" customHeight="1">
      <c r="A14" s="33" t="s">
        <v>38</v>
      </c>
      <c r="B14" s="33" t="s">
        <v>39</v>
      </c>
      <c r="C14" s="33" t="s">
        <v>40</v>
      </c>
      <c r="D14" s="33" t="s">
        <v>274</v>
      </c>
      <c r="E14" s="33" t="s">
        <v>275</v>
      </c>
      <c r="F14" s="33" t="s">
        <v>276</v>
      </c>
      <c r="G14" s="33" t="s">
        <v>277</v>
      </c>
      <c r="H14" s="33" t="s">
        <v>278</v>
      </c>
      <c r="I14" s="33" t="s">
        <v>279</v>
      </c>
      <c r="J14" s="33" t="s">
        <v>280</v>
      </c>
      <c r="K14" s="33" t="s">
        <v>281</v>
      </c>
      <c r="L14" s="33" t="s">
        <v>282</v>
      </c>
      <c r="M14" s="33" t="s">
        <v>283</v>
      </c>
      <c r="N14" s="33" t="s">
        <v>284</v>
      </c>
      <c r="O14" s="33" t="s">
        <v>285</v>
      </c>
      <c r="P14" s="33" t="s">
        <v>1328</v>
      </c>
      <c r="Q14" s="33" t="s">
        <v>286</v>
      </c>
      <c r="R14" s="33" t="s">
        <v>287</v>
      </c>
      <c r="S14" s="33" t="s">
        <v>288</v>
      </c>
      <c r="T14" s="33" t="s">
        <v>1329</v>
      </c>
      <c r="U14" s="33" t="s">
        <v>289</v>
      </c>
      <c r="V14" s="33" t="s">
        <v>41</v>
      </c>
      <c r="W14" s="33" t="s">
        <v>290</v>
      </c>
      <c r="X14" s="39" t="s">
        <v>291</v>
      </c>
      <c r="Y14" s="39" t="s">
        <v>292</v>
      </c>
      <c r="Z14" s="39" t="s">
        <v>293</v>
      </c>
      <c r="AA14" s="39" t="s">
        <v>294</v>
      </c>
      <c r="AB14" s="39" t="s">
        <v>295</v>
      </c>
      <c r="AC14" s="39" t="s">
        <v>296</v>
      </c>
      <c r="AD14" s="39" t="s">
        <v>297</v>
      </c>
      <c r="AE14" s="39" t="s">
        <v>298</v>
      </c>
      <c r="AF14" s="39" t="s">
        <v>299</v>
      </c>
      <c r="AG14" s="198" t="s">
        <v>1330</v>
      </c>
      <c r="AH14" s="198" t="s">
        <v>1331</v>
      </c>
      <c r="AI14" s="198" t="s">
        <v>1271</v>
      </c>
      <c r="AJ14" s="198" t="s">
        <v>1272</v>
      </c>
      <c r="AK14" s="198" t="s">
        <v>1332</v>
      </c>
      <c r="AL14" s="198" t="s">
        <v>1333</v>
      </c>
      <c r="AM14" s="198" t="s">
        <v>1334</v>
      </c>
    </row>
    <row r="15" spans="1:52" ht="39" customHeight="1">
      <c r="A15" s="40" t="str">
        <f>'Service Economics'!A5</f>
        <v>Hospital Visit</v>
      </c>
      <c r="B15" s="40" t="str">
        <f>'Service Economics'!B5</f>
        <v>Medical Visit</v>
      </c>
      <c r="C15" s="40">
        <f>'Service Economics'!C5</f>
        <v>4</v>
      </c>
      <c r="D15" s="12">
        <f>'Service Economics'!K5</f>
        <v>1395</v>
      </c>
      <c r="E15" s="13">
        <f t="shared" ref="E15:E44" si="0">IF(C15=0,0,D15/C15)</f>
        <v>348.75</v>
      </c>
      <c r="F15" s="12">
        <f>'Service Economics'!R5</f>
        <v>1076.8783898305085</v>
      </c>
      <c r="G15" s="12">
        <f>'Service Economics'!AB5</f>
        <v>1215.8783898305085</v>
      </c>
      <c r="H15" s="13">
        <f>'Whitefield Monthly Projection'!$B$15*F15+'Whitefield Monthly Projection'!$B$16*G15-'Whitefield Monthly Projection'!H37</f>
        <v>1132.4783898305086</v>
      </c>
      <c r="I15" s="14">
        <f>IF(('Service Economics'!L5+'Whitefield Monthly Projection'!$B$16*'Service Economics'!U5/(1+'Global Inputs'!$B$17))=0,0,H15/('Service Economics'!L5+'Whitefield Monthly Projection'!$B$16*'Service Economics'!U5/(1+'Global Inputs'!$B$17)))</f>
        <v>0.91196271415000618</v>
      </c>
      <c r="J15" s="13">
        <f t="shared" ref="J15:J44" si="1">IF(C15=0,0,H15/C15)</f>
        <v>283.11959745762715</v>
      </c>
      <c r="K15" s="41">
        <v>3</v>
      </c>
      <c r="L15" s="41">
        <v>3</v>
      </c>
      <c r="M15" s="41">
        <v>5</v>
      </c>
      <c r="N15" s="47">
        <v>1.2</v>
      </c>
      <c r="O15" s="48">
        <f t="shared" ref="O15:O44" si="2">IF(MAX($J$15:$J$44)=0,0,J15/MAX($J$15:$J$44)*100)</f>
        <v>47.657444016546954</v>
      </c>
      <c r="P15" s="48">
        <f t="shared" ref="P15:P44" si="3">(IF(MAX($J$15:$J$44)=0,0,J15/MAX($J$15:$J$44))*0.45+K15/5*0.2+(6-L15)/5*0.15+(6-M15)/5*0.1+N15/1.5*0.1)*100</f>
        <v>52.44584980744613</v>
      </c>
      <c r="Q15" s="42" t="str">
        <f t="shared" ref="Q15:Q44" si="4">IF(H15&lt;=0,"REVIEW — Economics need improvement",IF(AND(J15&gt;=AVERAGE($J$15:$J$44)*1.15,K15&gt;=4,L15&lt;=3),"CORE — Push aggressively",IF(J15&gt;=AVERAGE($J$15:$J$44),"GROW — Attractive economics",IF(K15&gt;=4,"STRATEGIC — Important but lower margin","REVIEW — Economics need improvement"))))</f>
        <v>REVIEW — Economics need improvement</v>
      </c>
      <c r="R15" s="49">
        <f>'Whitefield Monthly Projection'!G37</f>
        <v>0.23</v>
      </c>
      <c r="S15" s="42">
        <f t="shared" ref="S15:S44" si="5">MAX(J15,0)^3*(0.5+K15/10)*(0.5+(6-L15)/10)*N15</f>
        <v>17428941.671253435</v>
      </c>
      <c r="T15" s="14">
        <f t="shared" ref="T15:T44" si="6">IF(SUM($S$15:$S$44)=0,R15,0.2*R15+0.8*S15/SUM($S$15:$S$44))</f>
        <v>6.6824068801777367E-2</v>
      </c>
      <c r="U15" s="41" t="s">
        <v>300</v>
      </c>
      <c r="V15" s="1">
        <f>'Service Economics'!D5</f>
        <v>1</v>
      </c>
      <c r="W15" s="50">
        <f>'Service Economics'!E5</f>
        <v>0</v>
      </c>
      <c r="X15">
        <f t="shared" ref="X15:X44" si="7">IF(U15="Yes",J15,0)</f>
        <v>0</v>
      </c>
      <c r="Y15">
        <f t="shared" ref="Y15:Y44" si="8">R15*C15*V15</f>
        <v>0.92</v>
      </c>
      <c r="Z15">
        <f>R15*C15*'Service Economics'!F5</f>
        <v>0.92</v>
      </c>
      <c r="AA15">
        <f>MAX(C15,$C$53)*'Global Inputs'!$B$5*V15+W15</f>
        <v>1196</v>
      </c>
      <c r="AB15">
        <f>MAX(C15,'Global Inputs'!$B$22)*'Global Inputs'!$B$5*V15*$C$54+W15</f>
        <v>1076.4000000000001</v>
      </c>
      <c r="AC15">
        <f>D15+'Whitefield Monthly Projection'!$B$16*'Service Economics'!V5</f>
        <v>1654.6</v>
      </c>
      <c r="AD15">
        <f t="shared" ref="AD15:AD44" si="9">T15*AC15</f>
        <v>110.56710423942083</v>
      </c>
      <c r="AE15">
        <f t="shared" ref="AE15:AE44" si="10">T15*H15</f>
        <v>75.676813838559951</v>
      </c>
      <c r="AF15">
        <f t="shared" ref="AF15:AF44" si="11">T15*C15</f>
        <v>0.26729627520710947</v>
      </c>
      <c r="AG15" s="7">
        <f>'Service Economics'!AL5</f>
        <v>662.67720639855588</v>
      </c>
      <c r="AH15" s="7">
        <f>'Service Economics'!AN5</f>
        <v>801.67720639855588</v>
      </c>
      <c r="AI15" s="7">
        <f>'Service Economics'!AP5</f>
        <v>165.66930159963897</v>
      </c>
      <c r="AJ15" s="174">
        <f>'Service Economics'!AQ5</f>
        <v>5</v>
      </c>
      <c r="AK15" s="6" t="str">
        <f>'Service Portfolio'!P5</f>
        <v>SCALE</v>
      </c>
      <c r="AL15" s="7">
        <f>IF(ISNUMBER(SEARCH("Future",'Service Economics'!AH5)),-1000000000,AG15*(1-'Whitefield Monthly Projection'!$B$16)+AH15*'Whitefield Monthly Projection'!$B$16)</f>
        <v>718.27720639855579</v>
      </c>
      <c r="AM15" s="7">
        <f>IF(ISNUMBER(SEARCH("Future",'Service Economics'!AH5)),-1000000000,AI15)</f>
        <v>165.66930159963897</v>
      </c>
    </row>
    <row r="16" spans="1:52" ht="39" customHeight="1">
      <c r="A16" s="40" t="str">
        <f>'Service Economics'!A6</f>
        <v>Hospital Visit — Concierge at Hospital</v>
      </c>
      <c r="B16" s="40" t="str">
        <f>'Service Economics'!B6</f>
        <v>Medical Visit</v>
      </c>
      <c r="C16" s="40">
        <f>'Service Economics'!C6</f>
        <v>3</v>
      </c>
      <c r="D16" s="12">
        <f>'Service Economics'!K6</f>
        <v>916.6</v>
      </c>
      <c r="E16" s="13">
        <f t="shared" si="0"/>
        <v>305.53333333333336</v>
      </c>
      <c r="F16" s="12">
        <f>'Service Economics'!R6</f>
        <v>688.19866101694925</v>
      </c>
      <c r="G16" s="12">
        <f>'Service Economics'!AB6</f>
        <v>827.19866101694925</v>
      </c>
      <c r="H16" s="13">
        <f>'Whitefield Monthly Projection'!$B$15*F16+'Whitefield Monthly Projection'!$B$16*G16-'Whitefield Monthly Projection'!H38</f>
        <v>743.79866101694927</v>
      </c>
      <c r="I16" s="14">
        <f>IF(('Service Economics'!L6+'Whitefield Monthly Projection'!$B$16*'Service Economics'!U6/(1+'Global Inputs'!$B$17))=0,0,H16/('Service Economics'!L6+'Whitefield Monthly Projection'!$B$16*'Service Economics'!U6/(1+'Global Inputs'!$B$17)))</f>
        <v>0.88930744694648445</v>
      </c>
      <c r="J16" s="13">
        <f t="shared" si="1"/>
        <v>247.93288700564975</v>
      </c>
      <c r="K16" s="41">
        <v>3</v>
      </c>
      <c r="L16" s="41">
        <v>2</v>
      </c>
      <c r="M16" s="41">
        <v>4</v>
      </c>
      <c r="N16" s="47">
        <v>1</v>
      </c>
      <c r="O16" s="48">
        <f t="shared" si="2"/>
        <v>41.734474718236427</v>
      </c>
      <c r="P16" s="48">
        <f t="shared" si="3"/>
        <v>53.447180289873067</v>
      </c>
      <c r="Q16" s="42" t="str">
        <f t="shared" si="4"/>
        <v>REVIEW — Economics need improvement</v>
      </c>
      <c r="R16" s="49">
        <f>'Whitefield Monthly Projection'!G38</f>
        <v>0.12</v>
      </c>
      <c r="S16" s="42">
        <f t="shared" si="5"/>
        <v>10973240.782541815</v>
      </c>
      <c r="T16" s="14">
        <f t="shared" si="6"/>
        <v>3.7110808753867755E-2</v>
      </c>
      <c r="U16" s="41" t="s">
        <v>300</v>
      </c>
      <c r="V16" s="1">
        <f>'Service Economics'!D6</f>
        <v>0.8</v>
      </c>
      <c r="W16" s="50">
        <f>'Service Economics'!E6</f>
        <v>0</v>
      </c>
      <c r="X16">
        <f t="shared" si="7"/>
        <v>0</v>
      </c>
      <c r="Y16">
        <f t="shared" si="8"/>
        <v>0.28799999999999998</v>
      </c>
      <c r="Z16">
        <f>R16*C16*'Service Economics'!F6</f>
        <v>0.36</v>
      </c>
      <c r="AA16">
        <f>MAX(C16,$C$53)*'Global Inputs'!$B$5*V16+W16</f>
        <v>717.6</v>
      </c>
      <c r="AB16">
        <f>MAX(C16,'Global Inputs'!$B$22)*'Global Inputs'!$B$5*V16*$C$54+W16</f>
        <v>645.84</v>
      </c>
      <c r="AC16">
        <f>D16+'Whitefield Monthly Projection'!$B$16*'Service Economics'!V6</f>
        <v>1176.2</v>
      </c>
      <c r="AD16">
        <f t="shared" si="9"/>
        <v>43.649733256299257</v>
      </c>
      <c r="AE16">
        <f t="shared" si="10"/>
        <v>27.602969860382917</v>
      </c>
      <c r="AF16">
        <f t="shared" si="11"/>
        <v>0.11133242626160327</v>
      </c>
      <c r="AG16" s="7">
        <f>'Service Economics'!AL6</f>
        <v>377.54777344298475</v>
      </c>
      <c r="AH16" s="7">
        <f>'Service Economics'!AN6</f>
        <v>516.54777344298475</v>
      </c>
      <c r="AI16" s="7">
        <f>'Service Economics'!AP6</f>
        <v>125.84925781432825</v>
      </c>
      <c r="AJ16" s="174">
        <f>'Service Economics'!AQ6</f>
        <v>4</v>
      </c>
      <c r="AK16" s="6" t="str">
        <f>'Service Portfolio'!P6</f>
        <v>OPTIMIZE</v>
      </c>
      <c r="AL16" s="7">
        <f>IF(ISNUMBER(SEARCH("Future",'Service Economics'!AH6)),-1000000000,AG16*(1-'Whitefield Monthly Projection'!$B$16)+AH16*'Whitefield Monthly Projection'!$B$16)</f>
        <v>433.14777344298477</v>
      </c>
      <c r="AM16" s="7">
        <f>IF(ISNUMBER(SEARCH("Future",'Service Economics'!AH6)),-1000000000,AI16)</f>
        <v>125.84925781432825</v>
      </c>
    </row>
    <row r="17" spans="1:39" ht="39" customHeight="1">
      <c r="A17" s="40" t="str">
        <f>'Service Economics'!A7</f>
        <v>Clinic Visit</v>
      </c>
      <c r="B17" s="40" t="str">
        <f>'Service Economics'!B7</f>
        <v>Medical Visit</v>
      </c>
      <c r="C17" s="40">
        <f>'Service Economics'!C7</f>
        <v>2</v>
      </c>
      <c r="D17" s="12">
        <f>'Service Economics'!K7</f>
        <v>737.2</v>
      </c>
      <c r="E17" s="13">
        <f t="shared" si="0"/>
        <v>368.6</v>
      </c>
      <c r="F17" s="12">
        <f>'Service Economics'!R7</f>
        <v>542.44376271186445</v>
      </c>
      <c r="G17" s="12">
        <f>'Service Economics'!AB7</f>
        <v>681.44376271186445</v>
      </c>
      <c r="H17" s="13">
        <f>'Whitefield Monthly Projection'!$B$15*F17+'Whitefield Monthly Projection'!$B$16*G17-'Whitefield Monthly Projection'!H39</f>
        <v>598.04376271186447</v>
      </c>
      <c r="I17" s="14">
        <f>IF(('Service Economics'!L7+'Whitefield Monthly Projection'!$B$16*'Service Economics'!U7/(1+'Global Inputs'!$B$17))=0,0,H17/('Service Economics'!L7+'Whitefield Monthly Projection'!$B$16*'Service Economics'!U7/(1+'Global Inputs'!$B$17)))</f>
        <v>0.87389123349283249</v>
      </c>
      <c r="J17" s="13">
        <f t="shared" si="1"/>
        <v>299.02188135593224</v>
      </c>
      <c r="K17" s="41">
        <v>3</v>
      </c>
      <c r="L17" s="41">
        <v>2</v>
      </c>
      <c r="M17" s="41">
        <v>4</v>
      </c>
      <c r="N17" s="47">
        <v>1</v>
      </c>
      <c r="O17" s="48">
        <f t="shared" si="2"/>
        <v>50.334271093952424</v>
      </c>
      <c r="P17" s="48">
        <f t="shared" si="3"/>
        <v>57.317088658945259</v>
      </c>
      <c r="Q17" s="42" t="str">
        <f t="shared" si="4"/>
        <v>GROW — Attractive economics</v>
      </c>
      <c r="R17" s="49">
        <f>'Whitefield Monthly Projection'!G39</f>
        <v>0.09</v>
      </c>
      <c r="S17" s="42">
        <f t="shared" si="5"/>
        <v>19250473.013851359</v>
      </c>
      <c r="T17" s="14">
        <f t="shared" si="6"/>
        <v>4.1000431240663479E-2</v>
      </c>
      <c r="U17" s="41" t="s">
        <v>300</v>
      </c>
      <c r="V17" s="1">
        <f>'Service Economics'!D7</f>
        <v>0.9</v>
      </c>
      <c r="W17" s="50">
        <f>'Service Economics'!E7</f>
        <v>0</v>
      </c>
      <c r="X17">
        <f t="shared" si="7"/>
        <v>0</v>
      </c>
      <c r="Y17">
        <f t="shared" si="8"/>
        <v>0.16200000000000001</v>
      </c>
      <c r="Z17">
        <f>R17*C17*'Service Economics'!F7</f>
        <v>0.18</v>
      </c>
      <c r="AA17">
        <f>MAX(C17,$C$53)*'Global Inputs'!$B$5*V17+W17</f>
        <v>807.30000000000007</v>
      </c>
      <c r="AB17">
        <f>MAX(C17,'Global Inputs'!$B$22)*'Global Inputs'!$B$5*V17*$C$54+W17</f>
        <v>484.38000000000005</v>
      </c>
      <c r="AC17">
        <f>D17+'Whitefield Monthly Projection'!$B$16*'Service Economics'!V7</f>
        <v>996.80000000000007</v>
      </c>
      <c r="AD17">
        <f t="shared" si="9"/>
        <v>40.869229860693359</v>
      </c>
      <c r="AE17">
        <f t="shared" si="10"/>
        <v>24.520052171975465</v>
      </c>
      <c r="AF17">
        <f t="shared" si="11"/>
        <v>8.2000862481326958E-2</v>
      </c>
      <c r="AG17" s="7">
        <f>'Service Economics'!AL7</f>
        <v>335.34317099588816</v>
      </c>
      <c r="AH17" s="7">
        <f>'Service Economics'!AN7</f>
        <v>474.34317099588816</v>
      </c>
      <c r="AI17" s="7">
        <f>'Service Economics'!AP7</f>
        <v>167.67158549794408</v>
      </c>
      <c r="AJ17" s="174">
        <f>'Service Economics'!AQ7</f>
        <v>4</v>
      </c>
      <c r="AK17" s="6" t="str">
        <f>'Service Portfolio'!P7</f>
        <v>SCALE</v>
      </c>
      <c r="AL17" s="7">
        <f>IF(ISNUMBER(SEARCH("Future",'Service Economics'!AH7)),-1000000000,AG17*(1-'Whitefield Monthly Projection'!$B$16)+AH17*'Whitefield Monthly Projection'!$B$16)</f>
        <v>390.94317099588818</v>
      </c>
      <c r="AM17" s="7">
        <f>IF(ISNUMBER(SEARCH("Future",'Service Economics'!AH7)),-1000000000,AI17)</f>
        <v>167.67158549794408</v>
      </c>
    </row>
    <row r="18" spans="1:39" ht="39" customHeight="1">
      <c r="A18" s="40" t="str">
        <f>'Service Economics'!A8</f>
        <v>Diagnostic Center Visit</v>
      </c>
      <c r="B18" s="40" t="str">
        <f>'Service Economics'!B8</f>
        <v>Medical Visit</v>
      </c>
      <c r="C18" s="40">
        <f>'Service Economics'!C8</f>
        <v>3</v>
      </c>
      <c r="D18" s="12">
        <f>'Service Economics'!K8</f>
        <v>961.44999999999993</v>
      </c>
      <c r="E18" s="13">
        <f t="shared" si="0"/>
        <v>320.48333333333329</v>
      </c>
      <c r="F18" s="12">
        <f>'Service Economics'!R8</f>
        <v>724.6373855932203</v>
      </c>
      <c r="G18" s="12">
        <f>'Service Economics'!AB8</f>
        <v>863.6373855932203</v>
      </c>
      <c r="H18" s="13">
        <f>'Whitefield Monthly Projection'!$B$15*F18+'Whitefield Monthly Projection'!$B$16*G18-'Whitefield Monthly Projection'!H40</f>
        <v>780.23738559322032</v>
      </c>
      <c r="I18" s="14">
        <f>IF(('Service Economics'!L8+'Whitefield Monthly Projection'!$B$16*'Service Economics'!U8/(1+'Global Inputs'!$B$17))=0,0,H18/('Service Economics'!L8+'Whitefield Monthly Projection'!$B$16*'Service Economics'!U8/(1+'Global Inputs'!$B$17)))</f>
        <v>0.89232384776570151</v>
      </c>
      <c r="J18" s="13">
        <f t="shared" si="1"/>
        <v>260.07912853107342</v>
      </c>
      <c r="K18" s="41">
        <v>3</v>
      </c>
      <c r="L18" s="41">
        <v>2</v>
      </c>
      <c r="M18" s="41">
        <v>4</v>
      </c>
      <c r="N18" s="47">
        <v>1</v>
      </c>
      <c r="O18" s="48">
        <f t="shared" si="2"/>
        <v>43.779048215470127</v>
      </c>
      <c r="P18" s="48">
        <f t="shared" si="3"/>
        <v>54.367238363628225</v>
      </c>
      <c r="Q18" s="42" t="str">
        <f t="shared" si="4"/>
        <v>REVIEW — Economics need improvement</v>
      </c>
      <c r="R18" s="49">
        <f>'Whitefield Monthly Projection'!G40</f>
        <v>0.08</v>
      </c>
      <c r="S18" s="42">
        <f t="shared" si="5"/>
        <v>12666277.548309742</v>
      </c>
      <c r="T18" s="14">
        <f t="shared" si="6"/>
        <v>3.1133646098744493E-2</v>
      </c>
      <c r="U18" s="41" t="s">
        <v>300</v>
      </c>
      <c r="V18" s="1">
        <f>'Service Economics'!D8</f>
        <v>0.85</v>
      </c>
      <c r="W18" s="50">
        <f>'Service Economics'!E8</f>
        <v>0</v>
      </c>
      <c r="X18">
        <f t="shared" si="7"/>
        <v>0</v>
      </c>
      <c r="Y18">
        <f t="shared" si="8"/>
        <v>0.20399999999999999</v>
      </c>
      <c r="Z18">
        <f>R18*C18*'Service Economics'!F8</f>
        <v>0.24</v>
      </c>
      <c r="AA18">
        <f>MAX(C18,$C$53)*'Global Inputs'!$B$5*V18+W18</f>
        <v>762.44999999999993</v>
      </c>
      <c r="AB18">
        <f>MAX(C18,'Global Inputs'!$B$22)*'Global Inputs'!$B$5*V18*$C$54+W18</f>
        <v>686.20499999999993</v>
      </c>
      <c r="AC18">
        <f>D18+'Whitefield Monthly Projection'!$B$16*'Service Economics'!V8</f>
        <v>1221.05</v>
      </c>
      <c r="AD18">
        <f t="shared" si="9"/>
        <v>38.01573856887196</v>
      </c>
      <c r="AE18">
        <f t="shared" si="10"/>
        <v>24.291634636068967</v>
      </c>
      <c r="AF18">
        <f t="shared" si="11"/>
        <v>9.3400938296233471E-2</v>
      </c>
      <c r="AG18" s="7">
        <f>'Service Economics'!AL8</f>
        <v>413.98649801925581</v>
      </c>
      <c r="AH18" s="7">
        <f>'Service Economics'!AN8</f>
        <v>552.98649801925581</v>
      </c>
      <c r="AI18" s="7">
        <f>'Service Economics'!AP8</f>
        <v>137.99549933975194</v>
      </c>
      <c r="AJ18" s="174">
        <f>'Service Economics'!AQ8</f>
        <v>4</v>
      </c>
      <c r="AK18" s="6" t="str">
        <f>'Service Portfolio'!P8</f>
        <v>OPTIMIZE</v>
      </c>
      <c r="AL18" s="7">
        <f>IF(ISNUMBER(SEARCH("Future",'Service Economics'!AH8)),-1000000000,AG18*(1-'Whitefield Monthly Projection'!$B$16)+AH18*'Whitefield Monthly Projection'!$B$16)</f>
        <v>469.58649801925583</v>
      </c>
      <c r="AM18" s="7">
        <f>IF(ISNUMBER(SEARCH("Future",'Service Economics'!AH8)),-1000000000,AI18)</f>
        <v>137.99549933975194</v>
      </c>
    </row>
    <row r="19" spans="1:39" ht="39" customHeight="1">
      <c r="A19" s="40" t="str">
        <f>'Service Economics'!A9</f>
        <v>Health Check-up Concierge</v>
      </c>
      <c r="B19" s="40" t="str">
        <f>'Service Economics'!B9</f>
        <v>Medical Visit</v>
      </c>
      <c r="C19" s="40">
        <f>'Service Economics'!C9</f>
        <v>5</v>
      </c>
      <c r="D19" s="12">
        <f>'Service Economics'!K9</f>
        <v>1544.5</v>
      </c>
      <c r="E19" s="13">
        <f t="shared" si="0"/>
        <v>308.89999999999998</v>
      </c>
      <c r="F19" s="12">
        <f>'Service Economics'!R9</f>
        <v>1198.3408050847456</v>
      </c>
      <c r="G19" s="12">
        <f>'Service Economics'!AB9</f>
        <v>1337.3408050847456</v>
      </c>
      <c r="H19" s="13">
        <f>'Whitefield Monthly Projection'!$B$15*F19+'Whitefield Monthly Projection'!$B$16*G19-'Whitefield Monthly Projection'!H41</f>
        <v>1253.9408050847455</v>
      </c>
      <c r="I19" s="14">
        <f>IF(('Service Economics'!L9+'Whitefield Monthly Projection'!$B$16*'Service Economics'!U9/(1+'Global Inputs'!$B$17))=0,0,H19/('Service Economics'!L9+'Whitefield Monthly Projection'!$B$16*'Service Economics'!U9/(1+'Global Inputs'!$B$17)))</f>
        <v>0.9162896296076114</v>
      </c>
      <c r="J19" s="13">
        <f t="shared" si="1"/>
        <v>250.78816101694912</v>
      </c>
      <c r="K19" s="41">
        <v>2</v>
      </c>
      <c r="L19" s="41">
        <v>3</v>
      </c>
      <c r="M19" s="41">
        <v>4</v>
      </c>
      <c r="N19" s="47">
        <v>0.9</v>
      </c>
      <c r="O19" s="48">
        <f t="shared" si="2"/>
        <v>42.215102207704966</v>
      </c>
      <c r="P19" s="48">
        <f t="shared" si="3"/>
        <v>45.996795993467238</v>
      </c>
      <c r="Q19" s="42" t="str">
        <f t="shared" si="4"/>
        <v>REVIEW — Economics need improvement</v>
      </c>
      <c r="R19" s="49">
        <f>'Whitefield Monthly Projection'!G41</f>
        <v>0.05</v>
      </c>
      <c r="S19" s="42">
        <f t="shared" si="5"/>
        <v>7949716.2756261528</v>
      </c>
      <c r="T19" s="14">
        <f t="shared" si="6"/>
        <v>1.949830699997648E-2</v>
      </c>
      <c r="U19" s="41" t="s">
        <v>300</v>
      </c>
      <c r="V19" s="1">
        <f>'Service Economics'!D9</f>
        <v>0.9</v>
      </c>
      <c r="W19" s="50">
        <f>'Service Economics'!E9</f>
        <v>0</v>
      </c>
      <c r="X19">
        <f t="shared" si="7"/>
        <v>0</v>
      </c>
      <c r="Y19">
        <f t="shared" si="8"/>
        <v>0.22500000000000001</v>
      </c>
      <c r="Z19">
        <f>R19*C19*'Service Economics'!F9</f>
        <v>0.25</v>
      </c>
      <c r="AA19">
        <f>MAX(C19,$C$53)*'Global Inputs'!$B$5*V19+W19</f>
        <v>1345.5</v>
      </c>
      <c r="AB19">
        <f>MAX(C19,'Global Inputs'!$B$22)*'Global Inputs'!$B$5*V19*$C$54+W19</f>
        <v>1210.95</v>
      </c>
      <c r="AC19">
        <f>D19+'Whitefield Monthly Projection'!$B$16*'Service Economics'!V9</f>
        <v>1804.1</v>
      </c>
      <c r="AD19">
        <f t="shared" si="9"/>
        <v>35.176895658657564</v>
      </c>
      <c r="AE19">
        <f t="shared" si="10"/>
        <v>24.449722777340035</v>
      </c>
      <c r="AF19">
        <f t="shared" si="11"/>
        <v>9.7491534999882404E-2</v>
      </c>
      <c r="AG19" s="7">
        <f>'Service Economics'!AL9</f>
        <v>680.58932579480484</v>
      </c>
      <c r="AH19" s="7">
        <f>'Service Economics'!AN9</f>
        <v>819.58932579480484</v>
      </c>
      <c r="AI19" s="7">
        <f>'Service Economics'!AP9</f>
        <v>136.11786515896097</v>
      </c>
      <c r="AJ19" s="174">
        <f>'Service Economics'!AQ9</f>
        <v>3</v>
      </c>
      <c r="AK19" s="6" t="str">
        <f>'Service Portfolio'!P9</f>
        <v>REVIEW</v>
      </c>
      <c r="AL19" s="7">
        <f>IF(ISNUMBER(SEARCH("Future",'Service Economics'!AH9)),-1000000000,AG19*(1-'Whitefield Monthly Projection'!$B$16)+AH19*'Whitefield Monthly Projection'!$B$16)</f>
        <v>736.18932579480486</v>
      </c>
      <c r="AM19" s="7">
        <f>IF(ISNUMBER(SEARCH("Future",'Service Economics'!AH9)),-1000000000,AI19)</f>
        <v>136.11786515896097</v>
      </c>
    </row>
    <row r="20" spans="1:39" ht="39" customHeight="1">
      <c r="A20" s="40" t="str">
        <f>'Service Economics'!A10</f>
        <v>Hospital Admission Concierge</v>
      </c>
      <c r="B20" s="40" t="str">
        <f>'Service Economics'!B10</f>
        <v>Hospital Support</v>
      </c>
      <c r="C20" s="40">
        <f>'Service Economics'!C10</f>
        <v>4</v>
      </c>
      <c r="D20" s="12">
        <f>'Service Economics'!K10</f>
        <v>1574.3999999999999</v>
      </c>
      <c r="E20" s="13">
        <f t="shared" si="0"/>
        <v>393.59999999999997</v>
      </c>
      <c r="F20" s="12">
        <f>'Service Economics'!R10</f>
        <v>1222.6332881355931</v>
      </c>
      <c r="G20" s="12">
        <f>'Service Economics'!AB10</f>
        <v>1361.6332881355931</v>
      </c>
      <c r="H20" s="13">
        <f>'Whitefield Monthly Projection'!$B$15*F20+'Whitefield Monthly Projection'!$B$16*G20-'Whitefield Monthly Projection'!H42</f>
        <v>1278.2332881355933</v>
      </c>
      <c r="I20" s="14">
        <f>IF(('Service Economics'!L10+'Whitefield Monthly Projection'!$B$16*'Service Economics'!U10/(1+'Global Inputs'!$B$17))=0,0,H20/('Service Economics'!L10+'Whitefield Monthly Projection'!$B$16*'Service Economics'!U10/(1+'Global Inputs'!$B$17)))</f>
        <v>0.91706062035789515</v>
      </c>
      <c r="J20" s="13">
        <f t="shared" si="1"/>
        <v>319.55832203389832</v>
      </c>
      <c r="K20" s="41">
        <v>2</v>
      </c>
      <c r="L20" s="41">
        <v>4</v>
      </c>
      <c r="M20" s="41">
        <v>4</v>
      </c>
      <c r="N20" s="47">
        <v>1.1000000000000001</v>
      </c>
      <c r="O20" s="48">
        <f t="shared" si="2"/>
        <v>53.791164508248066</v>
      </c>
      <c r="P20" s="48">
        <f t="shared" si="3"/>
        <v>49.539357362044967</v>
      </c>
      <c r="Q20" s="42" t="str">
        <f t="shared" si="4"/>
        <v>GROW — Attractive economics</v>
      </c>
      <c r="R20" s="49">
        <f>'Whitefield Monthly Projection'!G42</f>
        <v>0.05</v>
      </c>
      <c r="S20" s="42">
        <f t="shared" si="5"/>
        <v>17588919.504487094</v>
      </c>
      <c r="T20" s="14">
        <f t="shared" si="6"/>
        <v>3.1015210035069317E-2</v>
      </c>
      <c r="U20" s="41" t="s">
        <v>300</v>
      </c>
      <c r="V20" s="1">
        <f>'Service Economics'!D10</f>
        <v>1.1499999999999999</v>
      </c>
      <c r="W20" s="50">
        <f>'Service Economics'!E10</f>
        <v>0</v>
      </c>
      <c r="X20">
        <f t="shared" si="7"/>
        <v>0</v>
      </c>
      <c r="Y20">
        <f t="shared" si="8"/>
        <v>0.22999999999999998</v>
      </c>
      <c r="Z20">
        <f>R20*C20*'Service Economics'!F10</f>
        <v>0.2</v>
      </c>
      <c r="AA20">
        <f>MAX(C20,$C$53)*'Global Inputs'!$B$5*V20+W20</f>
        <v>1375.3999999999999</v>
      </c>
      <c r="AB20">
        <f>MAX(C20,'Global Inputs'!$B$22)*'Global Inputs'!$B$5*V20*$C$54+W20</f>
        <v>1237.8599999999999</v>
      </c>
      <c r="AC20">
        <f>D20+'Whitefield Monthly Projection'!$B$16*'Service Economics'!V10</f>
        <v>1834</v>
      </c>
      <c r="AD20">
        <f t="shared" si="9"/>
        <v>56.881895204317125</v>
      </c>
      <c r="AE20">
        <f t="shared" si="10"/>
        <v>39.6446739053427</v>
      </c>
      <c r="AF20">
        <f t="shared" si="11"/>
        <v>0.12406084014027727</v>
      </c>
      <c r="AG20" s="7">
        <f>'Service Economics'!AL10</f>
        <v>808.43210470364056</v>
      </c>
      <c r="AH20" s="7">
        <f>'Service Economics'!AN10</f>
        <v>947.43210470364056</v>
      </c>
      <c r="AI20" s="7">
        <f>'Service Economics'!AP10</f>
        <v>202.10802617591014</v>
      </c>
      <c r="AJ20" s="174">
        <f>'Service Economics'!AQ10</f>
        <v>3</v>
      </c>
      <c r="AK20" s="6" t="str">
        <f>'Service Portfolio'!P10</f>
        <v>RETAIN</v>
      </c>
      <c r="AL20" s="7">
        <f>IF(ISNUMBER(SEARCH("Future",'Service Economics'!AH10)),-1000000000,AG20*(1-'Whitefield Monthly Projection'!$B$16)+AH20*'Whitefield Monthly Projection'!$B$16)</f>
        <v>864.03210470364058</v>
      </c>
      <c r="AM20" s="7">
        <f>IF(ISNUMBER(SEARCH("Future",'Service Economics'!AH10)),-1000000000,AI20)</f>
        <v>202.10802617591014</v>
      </c>
    </row>
    <row r="21" spans="1:39" ht="39" customHeight="1">
      <c r="A21" s="40" t="str">
        <f>'Service Economics'!A11</f>
        <v>Hospital Discharge Concierge</v>
      </c>
      <c r="B21" s="40" t="str">
        <f>'Service Economics'!B11</f>
        <v>Hospital Support</v>
      </c>
      <c r="C21" s="40">
        <f>'Service Economics'!C11</f>
        <v>4</v>
      </c>
      <c r="D21" s="12">
        <f>'Service Economics'!K11</f>
        <v>1514.6000000000001</v>
      </c>
      <c r="E21" s="13">
        <f t="shared" si="0"/>
        <v>378.65000000000003</v>
      </c>
      <c r="F21" s="12">
        <f>'Service Economics'!R11</f>
        <v>1174.0483220338986</v>
      </c>
      <c r="G21" s="12">
        <f>'Service Economics'!AB11</f>
        <v>1313.0483220338986</v>
      </c>
      <c r="H21" s="13">
        <f>'Whitefield Monthly Projection'!$B$15*F21+'Whitefield Monthly Projection'!$B$16*G21-'Whitefield Monthly Projection'!H43</f>
        <v>1229.6483220338985</v>
      </c>
      <c r="I21" s="14">
        <f>IF(('Service Economics'!L11+'Whitefield Monthly Projection'!$B$16*'Service Economics'!U11/(1+'Global Inputs'!$B$17))=0,0,H21/('Service Economics'!L11+'Whitefield Monthly Projection'!$B$16*'Service Economics'!U11/(1+'Global Inputs'!$B$17)))</f>
        <v>0.91548954905207058</v>
      </c>
      <c r="J21" s="13">
        <f t="shared" si="1"/>
        <v>307.41208050847462</v>
      </c>
      <c r="K21" s="41">
        <v>2</v>
      </c>
      <c r="L21" s="41">
        <v>4</v>
      </c>
      <c r="M21" s="41">
        <v>4</v>
      </c>
      <c r="N21" s="47">
        <v>1.1000000000000001</v>
      </c>
      <c r="O21" s="48">
        <f t="shared" si="2"/>
        <v>51.746591011014367</v>
      </c>
      <c r="P21" s="48">
        <f t="shared" si="3"/>
        <v>48.619299288289795</v>
      </c>
      <c r="Q21" s="42" t="str">
        <f t="shared" si="4"/>
        <v>GROW — Attractive economics</v>
      </c>
      <c r="R21" s="49">
        <f>'Whitefield Monthly Projection'!G43</f>
        <v>0.05</v>
      </c>
      <c r="S21" s="42">
        <f t="shared" si="5"/>
        <v>15658550.442137191</v>
      </c>
      <c r="T21" s="14">
        <f t="shared" si="6"/>
        <v>2.8708808480378364E-2</v>
      </c>
      <c r="U21" s="41" t="s">
        <v>300</v>
      </c>
      <c r="V21" s="1">
        <f>'Service Economics'!D11</f>
        <v>1.1000000000000001</v>
      </c>
      <c r="W21" s="50">
        <f>'Service Economics'!E11</f>
        <v>0</v>
      </c>
      <c r="X21">
        <f t="shared" si="7"/>
        <v>0</v>
      </c>
      <c r="Y21">
        <f t="shared" si="8"/>
        <v>0.22000000000000003</v>
      </c>
      <c r="Z21">
        <f>R21*C21*'Service Economics'!F11</f>
        <v>0.2</v>
      </c>
      <c r="AA21">
        <f>MAX(C21,$C$53)*'Global Inputs'!$B$5*V21+W21</f>
        <v>1315.6000000000001</v>
      </c>
      <c r="AB21">
        <f>MAX(C21,'Global Inputs'!$B$22)*'Global Inputs'!$B$5*V21*$C$54+W21</f>
        <v>1184.0400000000002</v>
      </c>
      <c r="AC21">
        <f>D21+'Whitefield Monthly Projection'!$B$16*'Service Economics'!V11</f>
        <v>1774.2000000000003</v>
      </c>
      <c r="AD21">
        <f t="shared" si="9"/>
        <v>50.935168005887299</v>
      </c>
      <c r="AE21">
        <f t="shared" si="10"/>
        <v>35.30173817548981</v>
      </c>
      <c r="AF21">
        <f t="shared" si="11"/>
        <v>0.11483523392151346</v>
      </c>
      <c r="AG21" s="7">
        <f>'Service Economics'!AL11</f>
        <v>759.84713860194597</v>
      </c>
      <c r="AH21" s="7">
        <f>'Service Economics'!AN11</f>
        <v>898.84713860194597</v>
      </c>
      <c r="AI21" s="7">
        <f>'Service Economics'!AP11</f>
        <v>189.96178465048649</v>
      </c>
      <c r="AJ21" s="174">
        <f>'Service Economics'!AQ11</f>
        <v>3</v>
      </c>
      <c r="AK21" s="6" t="str">
        <f>'Service Portfolio'!P11</f>
        <v>RETAIN</v>
      </c>
      <c r="AL21" s="7">
        <f>IF(ISNUMBER(SEARCH("Future",'Service Economics'!AH11)),-1000000000,AG21*(1-'Whitefield Monthly Projection'!$B$16)+AH21*'Whitefield Monthly Projection'!$B$16)</f>
        <v>815.44713860194599</v>
      </c>
      <c r="AM21" s="7">
        <f>IF(ISNUMBER(SEARCH("Future",'Service Economics'!AH11)),-1000000000,AI21)</f>
        <v>189.96178465048649</v>
      </c>
    </row>
    <row r="22" spans="1:39" ht="39" customHeight="1">
      <c r="A22" s="40" t="str">
        <f>'Service Economics'!A12</f>
        <v>Overnight Hospital Concierge</v>
      </c>
      <c r="B22" s="40" t="str">
        <f>'Service Economics'!B12</f>
        <v>Hospital Support</v>
      </c>
      <c r="C22" s="40">
        <f>'Service Economics'!C12</f>
        <v>12</v>
      </c>
      <c r="D22" s="12">
        <f>'Service Economics'!K12</f>
        <v>3547.7999999999997</v>
      </c>
      <c r="E22" s="13">
        <f t="shared" si="0"/>
        <v>295.64999999999998</v>
      </c>
      <c r="F22" s="12">
        <f>'Service Economics'!R12</f>
        <v>2825.9371694915253</v>
      </c>
      <c r="G22" s="12">
        <f>'Service Economics'!AB12</f>
        <v>2964.9371694915253</v>
      </c>
      <c r="H22" s="13">
        <f>'Whitefield Monthly Projection'!$B$15*F22+'Whitefield Monthly Projection'!$B$16*G22-'Whitefield Monthly Projection'!H44</f>
        <v>2881.5371694915252</v>
      </c>
      <c r="I22" s="14">
        <f>IF(('Service Economics'!L12+'Whitefield Monthly Projection'!$B$16*'Service Economics'!U12/(1+'Global Inputs'!$B$17))=0,0,H22/('Service Economics'!L12+'Whitefield Monthly Projection'!$B$16*'Service Economics'!U12/(1+'Global Inputs'!$B$17)))</f>
        <v>0.93977157800940148</v>
      </c>
      <c r="J22" s="13">
        <f t="shared" si="1"/>
        <v>240.12809745762709</v>
      </c>
      <c r="K22" s="41">
        <v>2</v>
      </c>
      <c r="L22" s="41">
        <v>4</v>
      </c>
      <c r="M22" s="41">
        <v>2</v>
      </c>
      <c r="N22" s="47">
        <v>0.9</v>
      </c>
      <c r="O22" s="48">
        <f t="shared" si="2"/>
        <v>40.420696638986762</v>
      </c>
      <c r="P22" s="48">
        <f t="shared" si="3"/>
        <v>46.189313487544048</v>
      </c>
      <c r="Q22" s="42" t="str">
        <f t="shared" si="4"/>
        <v>REVIEW — Economics need improvement</v>
      </c>
      <c r="R22" s="49">
        <f>'Whitefield Monthly Projection'!G44</f>
        <v>0.03</v>
      </c>
      <c r="S22" s="42">
        <f t="shared" si="5"/>
        <v>6106150.8522384893</v>
      </c>
      <c r="T22" s="14">
        <f t="shared" si="6"/>
        <v>1.329561828018334E-2</v>
      </c>
      <c r="U22" s="41" t="s">
        <v>300</v>
      </c>
      <c r="V22" s="1">
        <f>'Service Economics'!D12</f>
        <v>0.85</v>
      </c>
      <c r="W22" s="50">
        <f>'Service Economics'!E12</f>
        <v>299</v>
      </c>
      <c r="X22">
        <f t="shared" si="7"/>
        <v>0</v>
      </c>
      <c r="Y22">
        <f t="shared" si="8"/>
        <v>0.30599999999999999</v>
      </c>
      <c r="Z22">
        <f>R22*C22*'Service Economics'!F12</f>
        <v>0.36</v>
      </c>
      <c r="AA22">
        <f>MAX(C22,$C$53)*'Global Inputs'!$B$5*V22+W22</f>
        <v>3348.7999999999997</v>
      </c>
      <c r="AB22">
        <f>MAX(C22,'Global Inputs'!$B$22)*'Global Inputs'!$B$5*V22*$C$54+W22</f>
        <v>3043.8199999999997</v>
      </c>
      <c r="AC22">
        <f>D22+'Whitefield Monthly Projection'!$B$16*'Service Economics'!V12</f>
        <v>3807.3999999999996</v>
      </c>
      <c r="AD22">
        <f t="shared" si="9"/>
        <v>50.621737039970043</v>
      </c>
      <c r="AE22">
        <f t="shared" si="10"/>
        <v>38.311818265719282</v>
      </c>
      <c r="AF22">
        <f t="shared" si="11"/>
        <v>0.15954741936220007</v>
      </c>
      <c r="AG22" s="7">
        <f>'Service Economics'!AL12</f>
        <v>1583.3336191956673</v>
      </c>
      <c r="AH22" s="7">
        <f>'Service Economics'!AN12</f>
        <v>1722.3336191956673</v>
      </c>
      <c r="AI22" s="7">
        <f>'Service Economics'!AP12</f>
        <v>131.94446826630562</v>
      </c>
      <c r="AJ22" s="174">
        <f>'Service Economics'!AQ12</f>
        <v>2</v>
      </c>
      <c r="AK22" s="6" t="str">
        <f>'Service Portfolio'!P12</f>
        <v>REVIEW</v>
      </c>
      <c r="AL22" s="7">
        <f>IF(ISNUMBER(SEARCH("Future",'Service Economics'!AH12)),-1000000000,AG22*(1-'Whitefield Monthly Projection'!$B$16)+AH22*'Whitefield Monthly Projection'!$B$16)</f>
        <v>1638.9336191956672</v>
      </c>
      <c r="AM22" s="7">
        <f>IF(ISNUMBER(SEARCH("Future",'Service Economics'!AH12)),-1000000000,AI22)</f>
        <v>131.94446826630562</v>
      </c>
    </row>
    <row r="23" spans="1:39" ht="39" customHeight="1">
      <c r="A23" s="40" t="str">
        <f>'Service Economics'!A13</f>
        <v>Multi-Day Hospital Concierge (per 12h shift)</v>
      </c>
      <c r="B23" s="40" t="str">
        <f>'Service Economics'!B13</f>
        <v>Hospital Support</v>
      </c>
      <c r="C23" s="40">
        <f>'Service Economics'!C13</f>
        <v>12</v>
      </c>
      <c r="D23" s="12">
        <f>'Service Economics'!K13</f>
        <v>3547.7999999999997</v>
      </c>
      <c r="E23" s="13">
        <f t="shared" si="0"/>
        <v>295.64999999999998</v>
      </c>
      <c r="F23" s="12">
        <f>'Service Economics'!R13</f>
        <v>2825.9371694915253</v>
      </c>
      <c r="G23" s="12">
        <f>'Service Economics'!AB13</f>
        <v>2964.9371694915253</v>
      </c>
      <c r="H23" s="13">
        <f>'Whitefield Monthly Projection'!$B$15*F23+'Whitefield Monthly Projection'!$B$16*G23-'Whitefield Monthly Projection'!H45</f>
        <v>2881.5371694915252</v>
      </c>
      <c r="I23" s="14">
        <f>IF(('Service Economics'!L13+'Whitefield Monthly Projection'!$B$16*'Service Economics'!U13/(1+'Global Inputs'!$B$17))=0,0,H23/('Service Economics'!L13+'Whitefield Monthly Projection'!$B$16*'Service Economics'!U13/(1+'Global Inputs'!$B$17)))</f>
        <v>0.93977157800940148</v>
      </c>
      <c r="J23" s="13">
        <f t="shared" si="1"/>
        <v>240.12809745762709</v>
      </c>
      <c r="K23" s="41">
        <v>3</v>
      </c>
      <c r="L23" s="41">
        <v>5</v>
      </c>
      <c r="M23" s="41">
        <v>1</v>
      </c>
      <c r="N23" s="47">
        <v>0.8</v>
      </c>
      <c r="O23" s="48">
        <f t="shared" si="2"/>
        <v>40.420696638986762</v>
      </c>
      <c r="P23" s="48">
        <f t="shared" si="3"/>
        <v>48.522646820877377</v>
      </c>
      <c r="Q23" s="42" t="str">
        <f t="shared" si="4"/>
        <v>REVIEW — Economics need improvement</v>
      </c>
      <c r="R23" s="49">
        <f>'Whitefield Monthly Projection'!G45</f>
        <v>0.01</v>
      </c>
      <c r="S23" s="42">
        <f t="shared" si="5"/>
        <v>5316920.469976373</v>
      </c>
      <c r="T23" s="14">
        <f t="shared" si="6"/>
        <v>8.3526472099555646E-3</v>
      </c>
      <c r="U23" s="41" t="s">
        <v>301</v>
      </c>
      <c r="V23" s="1">
        <f>'Service Economics'!D13</f>
        <v>0.85</v>
      </c>
      <c r="W23" s="50">
        <f>'Service Economics'!E13</f>
        <v>299</v>
      </c>
      <c r="X23">
        <f t="shared" si="7"/>
        <v>240.12809745762709</v>
      </c>
      <c r="Y23">
        <f t="shared" si="8"/>
        <v>0.10199999999999999</v>
      </c>
      <c r="Z23">
        <f>R23*C23*'Service Economics'!F13</f>
        <v>0.12</v>
      </c>
      <c r="AA23">
        <f>MAX(C23,$C$53)*'Global Inputs'!$B$5*V23+W23</f>
        <v>3348.7999999999997</v>
      </c>
      <c r="AB23">
        <f>MAX(C23,'Global Inputs'!$B$22)*'Global Inputs'!$B$5*V23*$C$54+W23</f>
        <v>3043.8199999999997</v>
      </c>
      <c r="AC23">
        <f>D23+'Whitefield Monthly Projection'!$B$16*'Service Economics'!V13</f>
        <v>3807.3999999999996</v>
      </c>
      <c r="AD23">
        <f t="shared" si="9"/>
        <v>31.801868987184815</v>
      </c>
      <c r="AE23">
        <f t="shared" si="10"/>
        <v>24.068463399136643</v>
      </c>
      <c r="AF23">
        <f t="shared" si="11"/>
        <v>0.10023176651946678</v>
      </c>
      <c r="AG23" s="7">
        <f>'Service Economics'!AL13</f>
        <v>1583.3336191956673</v>
      </c>
      <c r="AH23" s="7">
        <f>'Service Economics'!AN13</f>
        <v>1722.3336191956673</v>
      </c>
      <c r="AI23" s="7">
        <f>'Service Economics'!AP13</f>
        <v>131.94446826630562</v>
      </c>
      <c r="AJ23" s="174">
        <f>'Service Economics'!AQ13</f>
        <v>2</v>
      </c>
      <c r="AK23" s="6" t="str">
        <f>'Service Portfolio'!P13</f>
        <v>REVIEW</v>
      </c>
      <c r="AL23" s="7">
        <f>IF(ISNUMBER(SEARCH("Future",'Service Economics'!AH13)),-1000000000,AG23*(1-'Whitefield Monthly Projection'!$B$16)+AH23*'Whitefield Monthly Projection'!$B$16)</f>
        <v>1638.9336191956672</v>
      </c>
      <c r="AM23" s="7">
        <f>IF(ISNUMBER(SEARCH("Future",'Service Economics'!AH13)),-1000000000,AI23)</f>
        <v>131.94446826630562</v>
      </c>
    </row>
    <row r="24" spans="1:39" ht="39" customHeight="1">
      <c r="A24" s="40" t="str">
        <f>'Service Economics'!A14</f>
        <v>Day Surgery / Procedure Concierge</v>
      </c>
      <c r="B24" s="40" t="str">
        <f>'Service Economics'!B14</f>
        <v>Procedure &amp; Treatment</v>
      </c>
      <c r="C24" s="40">
        <f>'Service Economics'!C14</f>
        <v>6</v>
      </c>
      <c r="D24" s="12">
        <f>'Service Economics'!K14</f>
        <v>2351.7999999999997</v>
      </c>
      <c r="E24" s="13">
        <f t="shared" si="0"/>
        <v>391.96666666666664</v>
      </c>
      <c r="F24" s="12">
        <f>'Service Economics'!R14</f>
        <v>1854.2378474576271</v>
      </c>
      <c r="G24" s="12">
        <f>'Service Economics'!AB14</f>
        <v>1993.2378474576271</v>
      </c>
      <c r="H24" s="13">
        <f>'Whitefield Monthly Projection'!$B$15*F24+'Whitefield Monthly Projection'!$B$16*G24-'Whitefield Monthly Projection'!H46</f>
        <v>1909.8378474576273</v>
      </c>
      <c r="I24" s="14">
        <f>IF(('Service Economics'!L14+'Whitefield Monthly Projection'!$B$16*'Service Economics'!U14/(1+'Global Inputs'!$B$17))=0,0,H24/('Service Economics'!L14+'Whitefield Monthly Projection'!$B$16*'Service Economics'!U14/(1+'Global Inputs'!$B$17)))</f>
        <v>0.93042508901263687</v>
      </c>
      <c r="J24" s="13">
        <f t="shared" si="1"/>
        <v>318.30630790960453</v>
      </c>
      <c r="K24" s="41">
        <v>2</v>
      </c>
      <c r="L24" s="41">
        <v>4</v>
      </c>
      <c r="M24" s="41">
        <v>4</v>
      </c>
      <c r="N24" s="47">
        <v>1.1000000000000001</v>
      </c>
      <c r="O24" s="48">
        <f t="shared" si="2"/>
        <v>53.580413314857481</v>
      </c>
      <c r="P24" s="48">
        <f t="shared" si="3"/>
        <v>49.444519325019201</v>
      </c>
      <c r="Q24" s="42" t="str">
        <f t="shared" si="4"/>
        <v>GROW — Attractive economics</v>
      </c>
      <c r="R24" s="49">
        <f>'Whitefield Monthly Projection'!G46</f>
        <v>0.04</v>
      </c>
      <c r="S24" s="42">
        <f t="shared" si="5"/>
        <v>17382990.814688746</v>
      </c>
      <c r="T24" s="14">
        <f t="shared" si="6"/>
        <v>2.8769166799312001E-2</v>
      </c>
      <c r="U24" s="41" t="s">
        <v>300</v>
      </c>
      <c r="V24" s="1">
        <f>'Service Economics'!D14</f>
        <v>1.2</v>
      </c>
      <c r="W24" s="50">
        <f>'Service Economics'!E14</f>
        <v>0</v>
      </c>
      <c r="X24">
        <f t="shared" si="7"/>
        <v>0</v>
      </c>
      <c r="Y24">
        <f t="shared" si="8"/>
        <v>0.28799999999999998</v>
      </c>
      <c r="Z24">
        <f>R24*C24*'Service Economics'!F14</f>
        <v>0.24</v>
      </c>
      <c r="AA24">
        <f>MAX(C24,$C$53)*'Global Inputs'!$B$5*V24+W24</f>
        <v>2152.7999999999997</v>
      </c>
      <c r="AB24">
        <f>MAX(C24,'Global Inputs'!$B$22)*'Global Inputs'!$B$5*V24*$C$54+W24</f>
        <v>1937.5199999999998</v>
      </c>
      <c r="AC24">
        <f>D24+'Whitefield Monthly Projection'!$B$16*'Service Economics'!V14</f>
        <v>2611.3999999999996</v>
      </c>
      <c r="AD24">
        <f t="shared" si="9"/>
        <v>75.127802179723346</v>
      </c>
      <c r="AE24">
        <f t="shared" si="10"/>
        <v>54.944443593147469</v>
      </c>
      <c r="AF24">
        <f t="shared" si="11"/>
        <v>0.172615000795872</v>
      </c>
      <c r="AG24" s="7">
        <f>'Service Economics'!AL14</f>
        <v>1232.9360723096981</v>
      </c>
      <c r="AH24" s="7">
        <f>'Service Economics'!AN14</f>
        <v>1371.9360723096981</v>
      </c>
      <c r="AI24" s="7">
        <f>'Service Economics'!AP14</f>
        <v>205.4893453849497</v>
      </c>
      <c r="AJ24" s="174">
        <f>'Service Economics'!AQ14</f>
        <v>3</v>
      </c>
      <c r="AK24" s="6" t="str">
        <f>'Service Portfolio'!P14</f>
        <v>RETAIN</v>
      </c>
      <c r="AL24" s="7">
        <f>IF(ISNUMBER(SEARCH("Future",'Service Economics'!AH14)),-1000000000,AG24*(1-'Whitefield Monthly Projection'!$B$16)+AH24*'Whitefield Monthly Projection'!$B$16)</f>
        <v>1288.5360723096983</v>
      </c>
      <c r="AM24" s="7">
        <f>IF(ISNUMBER(SEARCH("Future",'Service Economics'!AH14)),-1000000000,AI24)</f>
        <v>205.4893453849497</v>
      </c>
    </row>
    <row r="25" spans="1:39" ht="39" customHeight="1">
      <c r="A25" s="40" t="str">
        <f>'Service Economics'!A15</f>
        <v>Pre-Surgery Concierge</v>
      </c>
      <c r="B25" s="40" t="str">
        <f>'Service Economics'!B15</f>
        <v>Procedure &amp; Treatment</v>
      </c>
      <c r="C25" s="40">
        <f>'Service Economics'!C15</f>
        <v>4</v>
      </c>
      <c r="D25" s="12">
        <f>'Service Economics'!K15</f>
        <v>1514.6000000000001</v>
      </c>
      <c r="E25" s="13">
        <f t="shared" si="0"/>
        <v>378.65000000000003</v>
      </c>
      <c r="F25" s="12">
        <f>'Service Economics'!R15</f>
        <v>1174.0483220338986</v>
      </c>
      <c r="G25" s="12">
        <f>'Service Economics'!AB15</f>
        <v>1313.0483220338986</v>
      </c>
      <c r="H25" s="13">
        <f>'Whitefield Monthly Projection'!$B$15*F25+'Whitefield Monthly Projection'!$B$16*G25-'Whitefield Monthly Projection'!H47</f>
        <v>1229.6483220338985</v>
      </c>
      <c r="I25" s="14">
        <f>IF(('Service Economics'!L15+'Whitefield Monthly Projection'!$B$16*'Service Economics'!U15/(1+'Global Inputs'!$B$17))=0,0,H25/('Service Economics'!L15+'Whitefield Monthly Projection'!$B$16*'Service Economics'!U15/(1+'Global Inputs'!$B$17)))</f>
        <v>0.91548954905207058</v>
      </c>
      <c r="J25" s="13">
        <f t="shared" si="1"/>
        <v>307.41208050847462</v>
      </c>
      <c r="K25" s="41">
        <v>2</v>
      </c>
      <c r="L25" s="41">
        <v>3</v>
      </c>
      <c r="M25" s="41">
        <v>4</v>
      </c>
      <c r="N25" s="47">
        <v>1</v>
      </c>
      <c r="O25" s="48">
        <f t="shared" si="2"/>
        <v>51.746591011014367</v>
      </c>
      <c r="P25" s="48">
        <f t="shared" si="3"/>
        <v>50.952632621623131</v>
      </c>
      <c r="Q25" s="42" t="str">
        <f t="shared" si="4"/>
        <v>GROW — Attractive economics</v>
      </c>
      <c r="R25" s="49">
        <f>'Whitefield Monthly Projection'!G47</f>
        <v>0.02</v>
      </c>
      <c r="S25" s="42">
        <f t="shared" si="5"/>
        <v>16268623.835986692</v>
      </c>
      <c r="T25" s="14">
        <f t="shared" si="6"/>
        <v>2.3437723096497002E-2</v>
      </c>
      <c r="U25" s="41" t="s">
        <v>300</v>
      </c>
      <c r="V25" s="1">
        <f>'Service Economics'!D15</f>
        <v>1.1000000000000001</v>
      </c>
      <c r="W25" s="50">
        <f>'Service Economics'!E15</f>
        <v>0</v>
      </c>
      <c r="X25">
        <f t="shared" si="7"/>
        <v>0</v>
      </c>
      <c r="Y25">
        <f t="shared" si="8"/>
        <v>8.8000000000000009E-2</v>
      </c>
      <c r="Z25">
        <f>R25*C25*'Service Economics'!F15</f>
        <v>0.08</v>
      </c>
      <c r="AA25">
        <f>MAX(C25,$C$53)*'Global Inputs'!$B$5*V25+W25</f>
        <v>1315.6000000000001</v>
      </c>
      <c r="AB25">
        <f>MAX(C25,'Global Inputs'!$B$22)*'Global Inputs'!$B$5*V25*$C$54+W25</f>
        <v>1184.0400000000002</v>
      </c>
      <c r="AC25">
        <f>D25+'Whitefield Monthly Projection'!$B$16*'Service Economics'!V15</f>
        <v>1774.2000000000003</v>
      </c>
      <c r="AD25">
        <f t="shared" si="9"/>
        <v>41.583208317804988</v>
      </c>
      <c r="AE25">
        <f t="shared" si="10"/>
        <v>28.820156877902686</v>
      </c>
      <c r="AF25">
        <f t="shared" si="11"/>
        <v>9.3750892385988008E-2</v>
      </c>
      <c r="AG25" s="7">
        <f>'Service Economics'!AL15</f>
        <v>759.84713860194597</v>
      </c>
      <c r="AH25" s="7">
        <f>'Service Economics'!AN15</f>
        <v>898.84713860194597</v>
      </c>
      <c r="AI25" s="7">
        <f>'Service Economics'!AP15</f>
        <v>189.96178465048649</v>
      </c>
      <c r="AJ25" s="174">
        <f>'Service Economics'!AQ15</f>
        <v>2</v>
      </c>
      <c r="AK25" s="6" t="str">
        <f>'Service Portfolio'!P15</f>
        <v>RETAIN</v>
      </c>
      <c r="AL25" s="7">
        <f>IF(ISNUMBER(SEARCH("Future",'Service Economics'!AH15)),-1000000000,AG25*(1-'Whitefield Monthly Projection'!$B$16)+AH25*'Whitefield Monthly Projection'!$B$16)</f>
        <v>815.44713860194599</v>
      </c>
      <c r="AM25" s="7">
        <f>IF(ISNUMBER(SEARCH("Future",'Service Economics'!AH15)),-1000000000,AI25)</f>
        <v>189.96178465048649</v>
      </c>
    </row>
    <row r="26" spans="1:39" ht="39" customHeight="1">
      <c r="A26" s="40" t="str">
        <f>'Service Economics'!A16</f>
        <v>Post-Surgery Follow-up</v>
      </c>
      <c r="B26" s="40" t="str">
        <f>'Service Economics'!B16</f>
        <v>Procedure &amp; Treatment</v>
      </c>
      <c r="C26" s="40">
        <f>'Service Economics'!C16</f>
        <v>3</v>
      </c>
      <c r="D26" s="12">
        <f>'Service Economics'!K16</f>
        <v>1096</v>
      </c>
      <c r="E26" s="13">
        <f t="shared" si="0"/>
        <v>365.33333333333331</v>
      </c>
      <c r="F26" s="12">
        <f>'Service Economics'!R16</f>
        <v>833.95355932203393</v>
      </c>
      <c r="G26" s="12">
        <f>'Service Economics'!AB16</f>
        <v>972.95355932203393</v>
      </c>
      <c r="H26" s="13">
        <f>'Whitefield Monthly Projection'!$B$15*F26+'Whitefield Monthly Projection'!$B$16*G26-'Whitefield Monthly Projection'!H48</f>
        <v>889.55355932203383</v>
      </c>
      <c r="I26" s="14">
        <f>IF(('Service Economics'!L16+'Whitefield Monthly Projection'!$B$16*'Service Economics'!U16/(1+'Global Inputs'!$B$17))=0,0,H26/('Service Economics'!L16+'Whitefield Monthly Projection'!$B$16*'Service Economics'!U16/(1+'Global Inputs'!$B$17)))</f>
        <v>0.89998113738159413</v>
      </c>
      <c r="J26" s="13">
        <f t="shared" si="1"/>
        <v>296.51785310734459</v>
      </c>
      <c r="K26" s="41">
        <v>3</v>
      </c>
      <c r="L26" s="41">
        <v>3</v>
      </c>
      <c r="M26" s="41">
        <v>4</v>
      </c>
      <c r="N26" s="47">
        <v>1</v>
      </c>
      <c r="O26" s="48">
        <f t="shared" si="2"/>
        <v>49.912768707171232</v>
      </c>
      <c r="P26" s="48">
        <f t="shared" si="3"/>
        <v>54.127412584893719</v>
      </c>
      <c r="Q26" s="42" t="str">
        <f t="shared" si="4"/>
        <v>GROW — Attractive economics</v>
      </c>
      <c r="R26" s="49">
        <f>'Whitefield Monthly Projection'!G48</f>
        <v>0.03</v>
      </c>
      <c r="S26" s="42">
        <f t="shared" si="5"/>
        <v>16685242.194577634</v>
      </c>
      <c r="T26" s="14">
        <f t="shared" si="6"/>
        <v>2.5935497977325861E-2</v>
      </c>
      <c r="U26" s="41" t="s">
        <v>301</v>
      </c>
      <c r="V26" s="1">
        <f>'Service Economics'!D16</f>
        <v>1</v>
      </c>
      <c r="W26" s="50">
        <f>'Service Economics'!E16</f>
        <v>0</v>
      </c>
      <c r="X26">
        <f t="shared" si="7"/>
        <v>296.51785310734459</v>
      </c>
      <c r="Y26">
        <f t="shared" si="8"/>
        <v>0.09</v>
      </c>
      <c r="Z26">
        <f>R26*C26*'Service Economics'!F16</f>
        <v>0.09</v>
      </c>
      <c r="AA26">
        <f>MAX(C26,$C$53)*'Global Inputs'!$B$5*V26+W26</f>
        <v>897</v>
      </c>
      <c r="AB26">
        <f>MAX(C26,'Global Inputs'!$B$22)*'Global Inputs'!$B$5*V26*$C$54+W26</f>
        <v>807.30000000000007</v>
      </c>
      <c r="AC26">
        <f>D26+'Whitefield Monthly Projection'!$B$16*'Service Economics'!V16</f>
        <v>1355.6</v>
      </c>
      <c r="AD26">
        <f t="shared" si="9"/>
        <v>35.158161058062937</v>
      </c>
      <c r="AE26">
        <f t="shared" si="10"/>
        <v>23.071014538519627</v>
      </c>
      <c r="AF26">
        <f t="shared" si="11"/>
        <v>7.7806493931977583E-2</v>
      </c>
      <c r="AG26" s="7">
        <f>'Service Economics'!AL16</f>
        <v>523.30267174806943</v>
      </c>
      <c r="AH26" s="7">
        <f>'Service Economics'!AN16</f>
        <v>662.30267174806943</v>
      </c>
      <c r="AI26" s="7">
        <f>'Service Economics'!AP16</f>
        <v>174.43422391602314</v>
      </c>
      <c r="AJ26" s="174">
        <f>'Service Economics'!AQ16</f>
        <v>3</v>
      </c>
      <c r="AK26" s="6" t="str">
        <f>'Service Portfolio'!P16</f>
        <v>RETAIN</v>
      </c>
      <c r="AL26" s="7">
        <f>IF(ISNUMBER(SEARCH("Future",'Service Economics'!AH16)),-1000000000,AG26*(1-'Whitefield Monthly Projection'!$B$16)+AH26*'Whitefield Monthly Projection'!$B$16)</f>
        <v>578.90267174806945</v>
      </c>
      <c r="AM26" s="7">
        <f>IF(ISNUMBER(SEARCH("Future",'Service Economics'!AH16)),-1000000000,AI26)</f>
        <v>174.43422391602314</v>
      </c>
    </row>
    <row r="27" spans="1:39" ht="39" customHeight="1">
      <c r="A27" s="40" t="str">
        <f>'Service Economics'!A17</f>
        <v>Dialysis Visit Concierge</v>
      </c>
      <c r="B27" s="40" t="str">
        <f>'Service Economics'!B17</f>
        <v>Recurring Treatment</v>
      </c>
      <c r="C27" s="40">
        <f>'Service Economics'!C17</f>
        <v>5</v>
      </c>
      <c r="D27" s="12">
        <f>'Service Economics'!K17</f>
        <v>1544.5</v>
      </c>
      <c r="E27" s="13">
        <f t="shared" si="0"/>
        <v>308.89999999999998</v>
      </c>
      <c r="F27" s="12">
        <f>'Service Economics'!R17</f>
        <v>1198.3408050847456</v>
      </c>
      <c r="G27" s="12">
        <f>'Service Economics'!AB17</f>
        <v>1337.3408050847456</v>
      </c>
      <c r="H27" s="13">
        <f>'Whitefield Monthly Projection'!$B$15*F27+'Whitefield Monthly Projection'!$B$16*G27-'Whitefield Monthly Projection'!H49</f>
        <v>1253.9408050847455</v>
      </c>
      <c r="I27" s="14">
        <f>IF(('Service Economics'!L17+'Whitefield Monthly Projection'!$B$16*'Service Economics'!U17/(1+'Global Inputs'!$B$17))=0,0,H27/('Service Economics'!L17+'Whitefield Monthly Projection'!$B$16*'Service Economics'!U17/(1+'Global Inputs'!$B$17)))</f>
        <v>0.9162896296076114</v>
      </c>
      <c r="J27" s="13">
        <f t="shared" si="1"/>
        <v>250.78816101694912</v>
      </c>
      <c r="K27" s="41">
        <v>5</v>
      </c>
      <c r="L27" s="41">
        <v>3</v>
      </c>
      <c r="M27" s="41">
        <v>4</v>
      </c>
      <c r="N27" s="47">
        <v>1.3</v>
      </c>
      <c r="O27" s="48">
        <f t="shared" si="2"/>
        <v>42.215102207704966</v>
      </c>
      <c r="P27" s="48">
        <f t="shared" si="3"/>
        <v>60.663462660133902</v>
      </c>
      <c r="Q27" s="42" t="str">
        <f t="shared" si="4"/>
        <v>STRATEGIC — Important but lower margin</v>
      </c>
      <c r="R27" s="49">
        <f>'Whitefield Monthly Projection'!G49</f>
        <v>0.04</v>
      </c>
      <c r="S27" s="42">
        <f t="shared" si="5"/>
        <v>16404176.441768253</v>
      </c>
      <c r="T27" s="14">
        <f t="shared" si="6"/>
        <v>2.7599681111062577E-2</v>
      </c>
      <c r="U27" s="41" t="s">
        <v>301</v>
      </c>
      <c r="V27" s="1">
        <f>'Service Economics'!D17</f>
        <v>0.9</v>
      </c>
      <c r="W27" s="50">
        <f>'Service Economics'!E17</f>
        <v>0</v>
      </c>
      <c r="X27">
        <f t="shared" si="7"/>
        <v>250.78816101694912</v>
      </c>
      <c r="Y27">
        <f t="shared" si="8"/>
        <v>0.18000000000000002</v>
      </c>
      <c r="Z27">
        <f>R27*C27*'Service Economics'!F17</f>
        <v>0.2</v>
      </c>
      <c r="AA27">
        <f>MAX(C27,$C$53)*'Global Inputs'!$B$5*V27+W27</f>
        <v>1345.5</v>
      </c>
      <c r="AB27">
        <f>MAX(C27,'Global Inputs'!$B$22)*'Global Inputs'!$B$5*V27*$C$54+W27</f>
        <v>1210.95</v>
      </c>
      <c r="AC27">
        <f>D27+'Whitefield Monthly Projection'!$B$16*'Service Economics'!V17</f>
        <v>1804.1</v>
      </c>
      <c r="AD27">
        <f t="shared" si="9"/>
        <v>49.79258469246799</v>
      </c>
      <c r="AE27">
        <f t="shared" si="10"/>
        <v>34.608366352488055</v>
      </c>
      <c r="AF27">
        <f t="shared" si="11"/>
        <v>0.1379984055553129</v>
      </c>
      <c r="AG27" s="7">
        <f>'Service Economics'!AL17</f>
        <v>680.58932579480484</v>
      </c>
      <c r="AH27" s="7">
        <f>'Service Economics'!AN17</f>
        <v>819.58932579480484</v>
      </c>
      <c r="AI27" s="7">
        <f>'Service Economics'!AP17</f>
        <v>136.11786515896097</v>
      </c>
      <c r="AJ27" s="174">
        <f>'Service Economics'!AQ17</f>
        <v>5</v>
      </c>
      <c r="AK27" s="6" t="str">
        <f>'Service Portfolio'!P17</f>
        <v>OPTIMIZE</v>
      </c>
      <c r="AL27" s="7">
        <f>IF(ISNUMBER(SEARCH("Future",'Service Economics'!AH17)),-1000000000,AG27*(1-'Whitefield Monthly Projection'!$B$16)+AH27*'Whitefield Monthly Projection'!$B$16)</f>
        <v>736.18932579480486</v>
      </c>
      <c r="AM27" s="7">
        <f>IF(ISNUMBER(SEARCH("Future",'Service Economics'!AH17)),-1000000000,AI27)</f>
        <v>136.11786515896097</v>
      </c>
    </row>
    <row r="28" spans="1:39" ht="39" customHeight="1">
      <c r="A28" s="40" t="str">
        <f>'Service Economics'!A18</f>
        <v>Chemotherapy Visit Concierge</v>
      </c>
      <c r="B28" s="40" t="str">
        <f>'Service Economics'!B18</f>
        <v>Recurring Treatment</v>
      </c>
      <c r="C28" s="40">
        <f>'Service Economics'!C18</f>
        <v>6</v>
      </c>
      <c r="D28" s="12">
        <f>'Service Economics'!K18</f>
        <v>1993</v>
      </c>
      <c r="E28" s="13">
        <f t="shared" si="0"/>
        <v>332.16666666666669</v>
      </c>
      <c r="F28" s="12">
        <f>'Service Economics'!R18</f>
        <v>1562.7280508474578</v>
      </c>
      <c r="G28" s="12">
        <f>'Service Economics'!AB18</f>
        <v>1701.7280508474578</v>
      </c>
      <c r="H28" s="13">
        <f>'Whitefield Monthly Projection'!$B$15*F28+'Whitefield Monthly Projection'!$B$16*G28-'Whitefield Monthly Projection'!H50</f>
        <v>1618.3280508474577</v>
      </c>
      <c r="I28" s="14">
        <f>IF(('Service Economics'!L18+'Whitefield Monthly Projection'!$B$16*'Service Economics'!U18/(1+'Global Inputs'!$B$17))=0,0,H28/('Service Economics'!L18+'Whitefield Monthly Projection'!$B$16*'Service Economics'!U18/(1+'Global Inputs'!$B$17)))</f>
        <v>0.9255082565641527</v>
      </c>
      <c r="J28" s="13">
        <f t="shared" si="1"/>
        <v>269.7213418079096</v>
      </c>
      <c r="K28" s="41">
        <v>5</v>
      </c>
      <c r="L28" s="41">
        <v>4</v>
      </c>
      <c r="M28" s="41">
        <v>4</v>
      </c>
      <c r="N28" s="47">
        <v>1.3</v>
      </c>
      <c r="O28" s="48">
        <f t="shared" si="2"/>
        <v>45.402119325922662</v>
      </c>
      <c r="P28" s="48">
        <f t="shared" si="3"/>
        <v>59.09762036333187</v>
      </c>
      <c r="Q28" s="42" t="str">
        <f t="shared" si="4"/>
        <v>STRATEGIC — Important but lower margin</v>
      </c>
      <c r="R28" s="49">
        <f>'Whitefield Monthly Projection'!G50</f>
        <v>0.02</v>
      </c>
      <c r="S28" s="42">
        <f t="shared" si="5"/>
        <v>17856129.498995252</v>
      </c>
      <c r="T28" s="14">
        <f t="shared" si="6"/>
        <v>2.5334472065725953E-2</v>
      </c>
      <c r="U28" s="41" t="s">
        <v>301</v>
      </c>
      <c r="V28" s="1">
        <f>'Service Economics'!D18</f>
        <v>1</v>
      </c>
      <c r="W28" s="50">
        <f>'Service Economics'!E18</f>
        <v>0</v>
      </c>
      <c r="X28">
        <f t="shared" si="7"/>
        <v>269.7213418079096</v>
      </c>
      <c r="Y28">
        <f t="shared" si="8"/>
        <v>0.12</v>
      </c>
      <c r="Z28">
        <f>R28*C28*'Service Economics'!F18</f>
        <v>0.12</v>
      </c>
      <c r="AA28">
        <f>MAX(C28,$C$53)*'Global Inputs'!$B$5*V28+W28</f>
        <v>1794</v>
      </c>
      <c r="AB28">
        <f>MAX(C28,'Global Inputs'!$B$22)*'Global Inputs'!$B$5*V28*$C$54+W28</f>
        <v>1614.6000000000001</v>
      </c>
      <c r="AC28">
        <f>D28+'Whitefield Monthly Projection'!$B$16*'Service Economics'!V18</f>
        <v>2252.6</v>
      </c>
      <c r="AD28">
        <f t="shared" si="9"/>
        <v>57.068431775254275</v>
      </c>
      <c r="AE28">
        <f t="shared" si="10"/>
        <v>40.999486797375646</v>
      </c>
      <c r="AF28">
        <f t="shared" si="11"/>
        <v>0.15200683239435572</v>
      </c>
      <c r="AG28" s="7">
        <f>'Service Economics'!AL18</f>
        <v>941.42627569952879</v>
      </c>
      <c r="AH28" s="7">
        <f>'Service Economics'!AN18</f>
        <v>1080.4262756995288</v>
      </c>
      <c r="AI28" s="7">
        <f>'Service Economics'!AP18</f>
        <v>156.9043792832548</v>
      </c>
      <c r="AJ28" s="174">
        <f>'Service Economics'!AQ18</f>
        <v>5</v>
      </c>
      <c r="AK28" s="6" t="str">
        <f>'Service Portfolio'!P18</f>
        <v>OPTIMIZE</v>
      </c>
      <c r="AL28" s="7">
        <f>IF(ISNUMBER(SEARCH("Future",'Service Economics'!AH18)),-1000000000,AG28*(1-'Whitefield Monthly Projection'!$B$16)+AH28*'Whitefield Monthly Projection'!$B$16)</f>
        <v>997.02627569952881</v>
      </c>
      <c r="AM28" s="7">
        <f>IF(ISNUMBER(SEARCH("Future",'Service Economics'!AH18)),-1000000000,AI28)</f>
        <v>156.9043792832548</v>
      </c>
    </row>
    <row r="29" spans="1:39" ht="39" customHeight="1">
      <c r="A29" s="40" t="str">
        <f>'Service Economics'!A19</f>
        <v>Radiation Therapy Concierge</v>
      </c>
      <c r="B29" s="40" t="str">
        <f>'Service Economics'!B19</f>
        <v>Recurring Treatment</v>
      </c>
      <c r="C29" s="40">
        <f>'Service Economics'!C19</f>
        <v>3</v>
      </c>
      <c r="D29" s="12">
        <f>'Service Economics'!K19</f>
        <v>1051.1500000000001</v>
      </c>
      <c r="E29" s="13">
        <f t="shared" si="0"/>
        <v>350.38333333333338</v>
      </c>
      <c r="F29" s="12">
        <f>'Service Economics'!R19</f>
        <v>797.51483474576287</v>
      </c>
      <c r="G29" s="12">
        <f>'Service Economics'!AB19</f>
        <v>936.51483474576287</v>
      </c>
      <c r="H29" s="13">
        <f>'Whitefield Monthly Projection'!$B$15*F29+'Whitefield Monthly Projection'!$B$16*G29-'Whitefield Monthly Projection'!H51</f>
        <v>853.11483474576289</v>
      </c>
      <c r="I29" s="14">
        <f>IF(('Service Economics'!L19+'Whitefield Monthly Projection'!$B$16*'Service Economics'!U19/(1+'Global Inputs'!$B$17))=0,0,H29/('Service Economics'!L19+'Whitefield Monthly Projection'!$B$16*'Service Economics'!U19/(1+'Global Inputs'!$B$17)))</f>
        <v>0.8976328603860263</v>
      </c>
      <c r="J29" s="13">
        <f t="shared" si="1"/>
        <v>284.37161158192094</v>
      </c>
      <c r="K29" s="41">
        <v>5</v>
      </c>
      <c r="L29" s="41">
        <v>3</v>
      </c>
      <c r="M29" s="41">
        <v>4</v>
      </c>
      <c r="N29" s="47">
        <v>1.3</v>
      </c>
      <c r="O29" s="48">
        <f t="shared" si="2"/>
        <v>47.868195209937547</v>
      </c>
      <c r="P29" s="48">
        <f t="shared" si="3"/>
        <v>63.207354511138568</v>
      </c>
      <c r="Q29" s="42" t="str">
        <f t="shared" si="4"/>
        <v>STRATEGIC — Important but lower margin</v>
      </c>
      <c r="R29" s="49">
        <f>'Whitefield Monthly Projection'!G51</f>
        <v>0.01</v>
      </c>
      <c r="S29" s="42">
        <f t="shared" si="5"/>
        <v>23916193.41244119</v>
      </c>
      <c r="T29" s="14">
        <f t="shared" si="6"/>
        <v>3.057502575263784E-2</v>
      </c>
      <c r="U29" s="41" t="s">
        <v>301</v>
      </c>
      <c r="V29" s="1">
        <f>'Service Economics'!D19</f>
        <v>0.95</v>
      </c>
      <c r="W29" s="50">
        <f>'Service Economics'!E19</f>
        <v>0</v>
      </c>
      <c r="X29">
        <f t="shared" si="7"/>
        <v>284.37161158192094</v>
      </c>
      <c r="Y29">
        <f t="shared" si="8"/>
        <v>2.8499999999999998E-2</v>
      </c>
      <c r="Z29">
        <f>R29*C29*'Service Economics'!F19</f>
        <v>0.03</v>
      </c>
      <c r="AA29">
        <f>MAX(C29,$C$53)*'Global Inputs'!$B$5*V29+W29</f>
        <v>852.15</v>
      </c>
      <c r="AB29">
        <f>MAX(C29,'Global Inputs'!$B$22)*'Global Inputs'!$B$5*V29*$C$54+W29</f>
        <v>766.93499999999995</v>
      </c>
      <c r="AC29">
        <f>D29+'Whitefield Monthly Projection'!$B$16*'Service Economics'!V19</f>
        <v>1310.75</v>
      </c>
      <c r="AD29">
        <f t="shared" si="9"/>
        <v>40.076215005270051</v>
      </c>
      <c r="AE29">
        <f t="shared" si="10"/>
        <v>26.084008042309076</v>
      </c>
      <c r="AF29">
        <f t="shared" si="11"/>
        <v>9.1725077257913512E-2</v>
      </c>
      <c r="AG29" s="7">
        <f>'Service Economics'!AL19</f>
        <v>486.86394717179837</v>
      </c>
      <c r="AH29" s="7">
        <f>'Service Economics'!AN19</f>
        <v>625.86394717179837</v>
      </c>
      <c r="AI29" s="7">
        <f>'Service Economics'!AP19</f>
        <v>162.28798239059947</v>
      </c>
      <c r="AJ29" s="174">
        <f>'Service Economics'!AQ19</f>
        <v>5</v>
      </c>
      <c r="AK29" s="6" t="str">
        <f>'Service Portfolio'!P19</f>
        <v>SCALE</v>
      </c>
      <c r="AL29" s="7">
        <f>IF(ISNUMBER(SEARCH("Future",'Service Economics'!AH19)),-1000000000,AG29*(1-'Whitefield Monthly Projection'!$B$16)+AH29*'Whitefield Monthly Projection'!$B$16)</f>
        <v>542.4639471717984</v>
      </c>
      <c r="AM29" s="7">
        <f>IF(ISNUMBER(SEARCH("Future",'Service Economics'!AH19)),-1000000000,AI29)</f>
        <v>162.28798239059947</v>
      </c>
    </row>
    <row r="30" spans="1:39" ht="39" customHeight="1">
      <c r="A30" s="40" t="str">
        <f>'Service Economics'!A20</f>
        <v>Physiotherapy / Rehab Visit</v>
      </c>
      <c r="B30" s="40" t="str">
        <f>'Service Economics'!B20</f>
        <v>Recurring Treatment</v>
      </c>
      <c r="C30" s="40">
        <f>'Service Economics'!C20</f>
        <v>2</v>
      </c>
      <c r="D30" s="12">
        <f>'Service Economics'!K20</f>
        <v>707.3</v>
      </c>
      <c r="E30" s="13">
        <f t="shared" si="0"/>
        <v>353.65</v>
      </c>
      <c r="F30" s="12">
        <f>'Service Economics'!R20</f>
        <v>518.15127966101693</v>
      </c>
      <c r="G30" s="12">
        <f>'Service Economics'!AB20</f>
        <v>657.15127966101693</v>
      </c>
      <c r="H30" s="13">
        <f>'Whitefield Monthly Projection'!$B$15*F30+'Whitefield Monthly Projection'!$B$16*G30-'Whitefield Monthly Projection'!H52</f>
        <v>573.75127966101695</v>
      </c>
      <c r="I30" s="14">
        <f>IF(('Service Economics'!L20+'Whitefield Monthly Projection'!$B$16*'Service Economics'!U20/(1+'Global Inputs'!$B$17))=0,0,H30/('Service Economics'!L20+'Whitefield Monthly Projection'!$B$16*'Service Economics'!U20/(1+'Global Inputs'!$B$17)))</f>
        <v>0.87063031423765602</v>
      </c>
      <c r="J30" s="13">
        <f t="shared" si="1"/>
        <v>286.87563983050848</v>
      </c>
      <c r="K30" s="41">
        <v>5</v>
      </c>
      <c r="L30" s="41">
        <v>2</v>
      </c>
      <c r="M30" s="41">
        <v>4</v>
      </c>
      <c r="N30" s="47">
        <v>1.2</v>
      </c>
      <c r="O30" s="48">
        <f t="shared" si="2"/>
        <v>48.28969759671871</v>
      </c>
      <c r="P30" s="48">
        <f t="shared" si="3"/>
        <v>65.730363918523409</v>
      </c>
      <c r="Q30" s="42" t="str">
        <f t="shared" si="4"/>
        <v>STRATEGIC — Important but lower margin</v>
      </c>
      <c r="R30" s="49">
        <f>'Whitefield Monthly Projection'!G52</f>
        <v>0.03</v>
      </c>
      <c r="S30" s="42">
        <f t="shared" si="5"/>
        <v>25497920.929062385</v>
      </c>
      <c r="T30" s="14">
        <f t="shared" si="6"/>
        <v>3.6464871002743343E-2</v>
      </c>
      <c r="U30" s="41" t="s">
        <v>301</v>
      </c>
      <c r="V30" s="1">
        <f>'Service Economics'!D20</f>
        <v>0.85</v>
      </c>
      <c r="W30" s="50">
        <f>'Service Economics'!E20</f>
        <v>0</v>
      </c>
      <c r="X30">
        <f t="shared" si="7"/>
        <v>286.87563983050848</v>
      </c>
      <c r="Y30">
        <f t="shared" si="8"/>
        <v>5.0999999999999997E-2</v>
      </c>
      <c r="Z30">
        <f>R30*C30*'Service Economics'!F20</f>
        <v>0.06</v>
      </c>
      <c r="AA30">
        <f>MAX(C30,$C$53)*'Global Inputs'!$B$5*V30+W30</f>
        <v>762.44999999999993</v>
      </c>
      <c r="AB30">
        <f>MAX(C30,'Global Inputs'!$B$22)*'Global Inputs'!$B$5*V30*$C$54+W30</f>
        <v>457.47</v>
      </c>
      <c r="AC30">
        <f>D30+'Whitefield Monthly Projection'!$B$16*'Service Economics'!V20</f>
        <v>966.9</v>
      </c>
      <c r="AD30">
        <f t="shared" si="9"/>
        <v>35.257883772552539</v>
      </c>
      <c r="AE30">
        <f t="shared" si="10"/>
        <v>20.921766400497905</v>
      </c>
      <c r="AF30">
        <f t="shared" si="11"/>
        <v>7.2929742005486686E-2</v>
      </c>
      <c r="AG30" s="7">
        <f>'Service Economics'!AL20</f>
        <v>311.05068794504064</v>
      </c>
      <c r="AH30" s="7">
        <f>'Service Economics'!AN20</f>
        <v>450.05068794504064</v>
      </c>
      <c r="AI30" s="7">
        <f>'Service Economics'!AP20</f>
        <v>155.52534397252032</v>
      </c>
      <c r="AJ30" s="174">
        <f>'Service Economics'!AQ20</f>
        <v>5</v>
      </c>
      <c r="AK30" s="6" t="str">
        <f>'Service Portfolio'!P20</f>
        <v>OPTIMIZE</v>
      </c>
      <c r="AL30" s="7">
        <f>IF(ISNUMBER(SEARCH("Future",'Service Economics'!AH20)),-1000000000,AG30*(1-'Whitefield Monthly Projection'!$B$16)+AH30*'Whitefield Monthly Projection'!$B$16)</f>
        <v>366.65068794504066</v>
      </c>
      <c r="AM30" s="7">
        <f>IF(ISNUMBER(SEARCH("Future",'Service Economics'!AH20)),-1000000000,AI30)</f>
        <v>155.52534397252032</v>
      </c>
    </row>
    <row r="31" spans="1:39" ht="39" customHeight="1">
      <c r="A31" s="40" t="str">
        <f>'Service Economics'!A21</f>
        <v>Chronic Care Follow-up</v>
      </c>
      <c r="B31" s="40" t="str">
        <f>'Service Economics'!B21</f>
        <v>Continuing Care</v>
      </c>
      <c r="C31" s="40">
        <f>'Service Economics'!C21</f>
        <v>3</v>
      </c>
      <c r="D31" s="12">
        <f>'Service Economics'!K21</f>
        <v>1006.3000000000001</v>
      </c>
      <c r="E31" s="13">
        <f t="shared" si="0"/>
        <v>335.43333333333334</v>
      </c>
      <c r="F31" s="12">
        <f>'Service Economics'!R21</f>
        <v>761.07611016949159</v>
      </c>
      <c r="G31" s="12">
        <f>'Service Economics'!AB21</f>
        <v>900.07611016949159</v>
      </c>
      <c r="H31" s="13">
        <f>'Whitefield Monthly Projection'!$B$15*F31+'Whitefield Monthly Projection'!$B$16*G31-'Whitefield Monthly Projection'!H53</f>
        <v>816.67611016949161</v>
      </c>
      <c r="I31" s="14">
        <f>IF(('Service Economics'!L21+'Whitefield Monthly Projection'!$B$16*'Service Economics'!U21/(1+'Global Inputs'!$B$17))=0,0,H31/('Service Economics'!L21+'Whitefield Monthly Projection'!$B$16*'Service Economics'!U21/(1+'Global Inputs'!$B$17)))</f>
        <v>0.89508893508249832</v>
      </c>
      <c r="J31" s="13">
        <f t="shared" si="1"/>
        <v>272.22537005649718</v>
      </c>
      <c r="K31" s="41">
        <v>5</v>
      </c>
      <c r="L31" s="41">
        <v>2</v>
      </c>
      <c r="M31" s="41">
        <v>4</v>
      </c>
      <c r="N31" s="47">
        <v>1.3</v>
      </c>
      <c r="O31" s="48">
        <f t="shared" si="2"/>
        <v>45.82362171270384</v>
      </c>
      <c r="P31" s="48">
        <f t="shared" si="3"/>
        <v>65.287296437383404</v>
      </c>
      <c r="Q31" s="42" t="str">
        <f t="shared" si="4"/>
        <v>STRATEGIC — Important but lower margin</v>
      </c>
      <c r="R31" s="49">
        <f>'Whitefield Monthly Projection'!G53</f>
        <v>0.02</v>
      </c>
      <c r="S31" s="42">
        <f t="shared" si="5"/>
        <v>23603241.626900997</v>
      </c>
      <c r="T31" s="14">
        <f t="shared" si="6"/>
        <v>3.2201111510645926E-2</v>
      </c>
      <c r="U31" s="41" t="s">
        <v>301</v>
      </c>
      <c r="V31" s="1">
        <f>'Service Economics'!D21</f>
        <v>0.9</v>
      </c>
      <c r="W31" s="50">
        <f>'Service Economics'!E21</f>
        <v>0</v>
      </c>
      <c r="X31">
        <f t="shared" si="7"/>
        <v>272.22537005649718</v>
      </c>
      <c r="Y31">
        <f t="shared" si="8"/>
        <v>5.3999999999999999E-2</v>
      </c>
      <c r="Z31">
        <f>R31*C31*'Service Economics'!F21</f>
        <v>0.06</v>
      </c>
      <c r="AA31">
        <f>MAX(C31,$C$53)*'Global Inputs'!$B$5*V31+W31</f>
        <v>807.30000000000007</v>
      </c>
      <c r="AB31">
        <f>MAX(C31,'Global Inputs'!$B$22)*'Global Inputs'!$B$5*V31*$C$54+W31</f>
        <v>726.57</v>
      </c>
      <c r="AC31">
        <f>D31+'Whitefield Monthly Projection'!$B$16*'Service Economics'!V21</f>
        <v>1265.9000000000001</v>
      </c>
      <c r="AD31">
        <f t="shared" si="9"/>
        <v>40.763387061326682</v>
      </c>
      <c r="AE31">
        <f t="shared" si="10"/>
        <v>26.297878491648355</v>
      </c>
      <c r="AF31">
        <f t="shared" si="11"/>
        <v>9.6603334531937785E-2</v>
      </c>
      <c r="AG31" s="7">
        <f>'Service Economics'!AL21</f>
        <v>450.42522259552709</v>
      </c>
      <c r="AH31" s="7">
        <f>'Service Economics'!AN21</f>
        <v>589.42522259552709</v>
      </c>
      <c r="AI31" s="7">
        <f>'Service Economics'!AP21</f>
        <v>150.14174086517571</v>
      </c>
      <c r="AJ31" s="174">
        <f>'Service Economics'!AQ21</f>
        <v>5</v>
      </c>
      <c r="AK31" s="6" t="str">
        <f>'Service Portfolio'!P21</f>
        <v>OPTIMIZE</v>
      </c>
      <c r="AL31" s="7">
        <f>IF(ISNUMBER(SEARCH("Future",'Service Economics'!AH21)),-1000000000,AG31*(1-'Whitefield Monthly Projection'!$B$16)+AH31*'Whitefield Monthly Projection'!$B$16)</f>
        <v>506.02522259552711</v>
      </c>
      <c r="AM31" s="7">
        <f>IF(ISNUMBER(SEARCH("Future",'Service Economics'!AH21)),-1000000000,AI31)</f>
        <v>150.14174086517571</v>
      </c>
    </row>
    <row r="32" spans="1:39" ht="39" customHeight="1">
      <c r="A32" s="40" t="str">
        <f>'Service Economics'!A22</f>
        <v>NRI Parent Medical Concierge</v>
      </c>
      <c r="B32" s="40" t="str">
        <f>'Service Economics'!B22</f>
        <v>Continuing Care</v>
      </c>
      <c r="C32" s="40">
        <f>'Service Economics'!C22</f>
        <v>4</v>
      </c>
      <c r="D32" s="12">
        <f>'Service Economics'!K22</f>
        <v>1634.2</v>
      </c>
      <c r="E32" s="13">
        <f t="shared" si="0"/>
        <v>408.55</v>
      </c>
      <c r="F32" s="12">
        <f>'Service Economics'!R22</f>
        <v>1271.2182542372884</v>
      </c>
      <c r="G32" s="12">
        <f>'Service Economics'!AB22</f>
        <v>1410.2182542372884</v>
      </c>
      <c r="H32" s="13">
        <f>'Whitefield Monthly Projection'!$B$15*F32+'Whitefield Monthly Projection'!$B$16*G32-'Whitefield Monthly Projection'!H54</f>
        <v>1326.8182542372883</v>
      </c>
      <c r="I32" s="14">
        <f>IF(('Service Economics'!L22+'Whitefield Monthly Projection'!$B$16*'Service Economics'!U22/(1+'Global Inputs'!$B$17))=0,0,H32/('Service Economics'!L22+'Whitefield Monthly Projection'!$B$16*'Service Economics'!U22/(1+'Global Inputs'!$B$17)))</f>
        <v>0.91852145579304079</v>
      </c>
      <c r="J32" s="13">
        <f t="shared" si="1"/>
        <v>331.70456355932208</v>
      </c>
      <c r="K32" s="41">
        <v>5</v>
      </c>
      <c r="L32" s="41">
        <v>3</v>
      </c>
      <c r="M32" s="41">
        <v>4</v>
      </c>
      <c r="N32" s="47">
        <v>1.5</v>
      </c>
      <c r="O32" s="48">
        <f t="shared" si="2"/>
        <v>55.835738005481787</v>
      </c>
      <c r="P32" s="48">
        <f t="shared" si="3"/>
        <v>68.126082102466796</v>
      </c>
      <c r="Q32" s="42" t="str">
        <f t="shared" si="4"/>
        <v>GROW — Attractive economics</v>
      </c>
      <c r="R32" s="49">
        <f>'Whitefield Monthly Projection'!G54</f>
        <v>2.5000000000000001E-2</v>
      </c>
      <c r="S32" s="42">
        <f t="shared" si="5"/>
        <v>43796114.818873666</v>
      </c>
      <c r="T32" s="14">
        <f t="shared" si="6"/>
        <v>5.732752082376881E-2</v>
      </c>
      <c r="U32" s="41" t="s">
        <v>301</v>
      </c>
      <c r="V32" s="1">
        <f>'Service Economics'!D22</f>
        <v>1.2</v>
      </c>
      <c r="W32" s="50">
        <f>'Service Economics'!E22</f>
        <v>0</v>
      </c>
      <c r="X32">
        <f t="shared" si="7"/>
        <v>331.70456355932208</v>
      </c>
      <c r="Y32">
        <f t="shared" si="8"/>
        <v>0.12</v>
      </c>
      <c r="Z32">
        <f>R32*C32*'Service Economics'!F22</f>
        <v>0.1</v>
      </c>
      <c r="AA32">
        <f>MAX(C32,$C$53)*'Global Inputs'!$B$5*V32+W32</f>
        <v>1435.2</v>
      </c>
      <c r="AB32">
        <f>MAX(C32,'Global Inputs'!$B$22)*'Global Inputs'!$B$5*V32*$C$54+W32</f>
        <v>1291.68</v>
      </c>
      <c r="AC32">
        <f>D32+'Whitefield Monthly Projection'!$B$16*'Service Economics'!V22</f>
        <v>1893.8000000000002</v>
      </c>
      <c r="AD32">
        <f t="shared" si="9"/>
        <v>108.56685893605338</v>
      </c>
      <c r="AE32">
        <f t="shared" si="10"/>
        <v>76.06320109914472</v>
      </c>
      <c r="AF32">
        <f t="shared" si="11"/>
        <v>0.22931008329507524</v>
      </c>
      <c r="AG32" s="7">
        <f>'Service Economics'!AL22</f>
        <v>857.01707080533583</v>
      </c>
      <c r="AH32" s="7">
        <f>'Service Economics'!AN22</f>
        <v>996.01707080533583</v>
      </c>
      <c r="AI32" s="7">
        <f>'Service Economics'!AP22</f>
        <v>214.25426770133396</v>
      </c>
      <c r="AJ32" s="174">
        <f>'Service Economics'!AQ22</f>
        <v>5</v>
      </c>
      <c r="AK32" s="6" t="str">
        <f>'Service Portfolio'!P22</f>
        <v>SCALE</v>
      </c>
      <c r="AL32" s="7">
        <f>IF(ISNUMBER(SEARCH("Future",'Service Economics'!AH22)),-1000000000,AG32*(1-'Whitefield Monthly Projection'!$B$16)+AH32*'Whitefield Monthly Projection'!$B$16)</f>
        <v>912.61707080533574</v>
      </c>
      <c r="AM32" s="7">
        <f>IF(ISNUMBER(SEARCH("Future",'Service Economics'!AH22)),-1000000000,AI32)</f>
        <v>214.25426770133396</v>
      </c>
    </row>
    <row r="33" spans="1:39" ht="39" customHeight="1">
      <c r="A33" s="40" t="str">
        <f>'Service Economics'!A23</f>
        <v>Second Opinion Concierge</v>
      </c>
      <c r="B33" s="40" t="str">
        <f>'Service Economics'!B23</f>
        <v>Medical Coordination</v>
      </c>
      <c r="C33" s="40">
        <f>'Service Economics'!C23</f>
        <v>2.5</v>
      </c>
      <c r="D33" s="12">
        <f>'Service Economics'!K23</f>
        <v>834.375</v>
      </c>
      <c r="E33" s="13">
        <f t="shared" si="0"/>
        <v>333.75</v>
      </c>
      <c r="F33" s="12">
        <f>'Service Economics'!R23</f>
        <v>621.39433262711873</v>
      </c>
      <c r="G33" s="12">
        <f>'Service Economics'!AB23</f>
        <v>760.39433262711873</v>
      </c>
      <c r="H33" s="13">
        <f>'Whitefield Monthly Projection'!$B$15*F33+'Whitefield Monthly Projection'!$B$16*G33-'Whitefield Monthly Projection'!H55</f>
        <v>676.99433262711875</v>
      </c>
      <c r="I33" s="14">
        <f>IF(('Service Economics'!L23+'Whitefield Monthly Projection'!$B$16*'Service Economics'!U23/(1+'Global Inputs'!$B$17))=0,0,H33/('Service Economics'!L23+'Whitefield Monthly Projection'!$B$16*'Service Economics'!U23/(1+'Global Inputs'!$B$17)))</f>
        <v>0.88300062285634073</v>
      </c>
      <c r="J33" s="13">
        <f t="shared" si="1"/>
        <v>270.79773305084751</v>
      </c>
      <c r="K33" s="41">
        <v>2</v>
      </c>
      <c r="L33" s="41">
        <v>2</v>
      </c>
      <c r="M33" s="41">
        <v>2</v>
      </c>
      <c r="N33" s="47">
        <v>1.1000000000000001</v>
      </c>
      <c r="O33" s="48">
        <f t="shared" si="2"/>
        <v>45.583307967969574</v>
      </c>
      <c r="P33" s="48">
        <f t="shared" si="3"/>
        <v>55.845821918919647</v>
      </c>
      <c r="Q33" s="42" t="str">
        <f t="shared" si="4"/>
        <v>REVIEW — Economics need improvement</v>
      </c>
      <c r="R33" s="49">
        <f>'Whitefield Monthly Projection'!G55</f>
        <v>0</v>
      </c>
      <c r="S33" s="42">
        <f t="shared" si="5"/>
        <v>13761580.273109129</v>
      </c>
      <c r="T33" s="14">
        <f t="shared" si="6"/>
        <v>1.6442311864584783E-2</v>
      </c>
      <c r="U33" s="41" t="s">
        <v>300</v>
      </c>
      <c r="V33" s="1">
        <f>'Service Economics'!D23</f>
        <v>0.85</v>
      </c>
      <c r="W33" s="50">
        <f>'Service Economics'!E23</f>
        <v>0</v>
      </c>
      <c r="X33">
        <f t="shared" si="7"/>
        <v>0</v>
      </c>
      <c r="Y33">
        <f t="shared" si="8"/>
        <v>0</v>
      </c>
      <c r="Z33">
        <f>R33*C33*'Service Economics'!F23</f>
        <v>0</v>
      </c>
      <c r="AA33">
        <f>MAX(C33,$C$53)*'Global Inputs'!$B$5*V33+W33</f>
        <v>762.44999999999993</v>
      </c>
      <c r="AB33">
        <f>MAX(C33,'Global Inputs'!$B$22)*'Global Inputs'!$B$5*V33*$C$54+W33</f>
        <v>571.83749999999998</v>
      </c>
      <c r="AC33">
        <f>D33+'Whitefield Monthly Projection'!$B$16*'Service Economics'!V23</f>
        <v>1093.9749999999999</v>
      </c>
      <c r="AD33">
        <f t="shared" si="9"/>
        <v>17.987478122059137</v>
      </c>
      <c r="AE33">
        <f t="shared" si="10"/>
        <v>11.131351947611533</v>
      </c>
      <c r="AF33">
        <f t="shared" si="11"/>
        <v>4.1105779661461957E-2</v>
      </c>
      <c r="AG33" s="7">
        <f>'Service Economics'!AL23</f>
        <v>362.51859298214833</v>
      </c>
      <c r="AH33" s="7">
        <f>'Service Economics'!AN23</f>
        <v>501.51859298214833</v>
      </c>
      <c r="AI33" s="7">
        <f>'Service Economics'!AP23</f>
        <v>145.00743719285933</v>
      </c>
      <c r="AJ33" s="174">
        <f>'Service Economics'!AQ23</f>
        <v>3</v>
      </c>
      <c r="AK33" s="6" t="str">
        <f>'Service Portfolio'!P23</f>
        <v>REVIEW</v>
      </c>
      <c r="AL33" s="7">
        <f>IF(ISNUMBER(SEARCH("Future",'Service Economics'!AH23)),-1000000000,AG33*(1-'Whitefield Monthly Projection'!$B$16)+AH33*'Whitefield Monthly Projection'!$B$16)</f>
        <v>418.11859298214836</v>
      </c>
      <c r="AM33" s="7">
        <f>IF(ISNUMBER(SEARCH("Future",'Service Economics'!AH23)),-1000000000,AI33)</f>
        <v>145.00743719285933</v>
      </c>
    </row>
    <row r="34" spans="1:39" ht="39" customHeight="1">
      <c r="A34" s="40" t="str">
        <f>'Service Economics'!A24</f>
        <v>Teleconsultation Concierge</v>
      </c>
      <c r="B34" s="40" t="str">
        <f>'Service Economics'!B24</f>
        <v>Medical Coordination</v>
      </c>
      <c r="C34" s="40">
        <f>'Service Economics'!C24</f>
        <v>1.5</v>
      </c>
      <c r="D34" s="12">
        <f>'Service Economics'!K24</f>
        <v>587.70000000000005</v>
      </c>
      <c r="E34" s="13">
        <f t="shared" si="0"/>
        <v>391.8</v>
      </c>
      <c r="F34" s="12">
        <f>'Service Economics'!R24</f>
        <v>420.98134745762718</v>
      </c>
      <c r="G34" s="12">
        <f>'Service Economics'!AB24</f>
        <v>559.98134745762718</v>
      </c>
      <c r="H34" s="13">
        <f>'Whitefield Monthly Projection'!$B$15*F34+'Whitefield Monthly Projection'!$B$16*G34-'Whitefield Monthly Projection'!H56</f>
        <v>476.5813474576272</v>
      </c>
      <c r="I34" s="14">
        <f>IF(('Service Economics'!L24+'Whitefield Monthly Projection'!$B$16*'Service Economics'!U24/(1+'Global Inputs'!$B$17))=0,0,H34/('Service Economics'!L24+'Whitefield Monthly Projection'!$B$16*'Service Economics'!U24/(1+'Global Inputs'!$B$17)))</f>
        <v>0.85462319232616246</v>
      </c>
      <c r="J34" s="13">
        <f t="shared" si="1"/>
        <v>317.7208983050848</v>
      </c>
      <c r="K34" s="41">
        <v>4</v>
      </c>
      <c r="L34" s="41">
        <v>1</v>
      </c>
      <c r="M34" s="41">
        <v>1</v>
      </c>
      <c r="N34" s="47">
        <v>1.1000000000000001</v>
      </c>
      <c r="O34" s="48">
        <f t="shared" si="2"/>
        <v>53.481871477045196</v>
      </c>
      <c r="P34" s="48">
        <f t="shared" si="3"/>
        <v>72.400175498003676</v>
      </c>
      <c r="Q34" s="42" t="str">
        <f t="shared" si="4"/>
        <v>GROW — Attractive economics</v>
      </c>
      <c r="R34" s="49">
        <f>'Whitefield Monthly Projection'!G56</f>
        <v>0</v>
      </c>
      <c r="S34" s="42">
        <f t="shared" si="5"/>
        <v>31752106.306794837</v>
      </c>
      <c r="T34" s="14">
        <f t="shared" si="6"/>
        <v>3.7937360673173472E-2</v>
      </c>
      <c r="U34" s="41" t="s">
        <v>301</v>
      </c>
      <c r="V34" s="1">
        <f>'Service Economics'!D24</f>
        <v>0.65</v>
      </c>
      <c r="W34" s="50">
        <f>'Service Economics'!E24</f>
        <v>0</v>
      </c>
      <c r="X34">
        <f t="shared" si="7"/>
        <v>317.7208983050848</v>
      </c>
      <c r="Y34">
        <f t="shared" si="8"/>
        <v>0</v>
      </c>
      <c r="Z34">
        <f>R34*C34*'Service Economics'!F24</f>
        <v>0</v>
      </c>
      <c r="AA34">
        <f>MAX(C34,$C$53)*'Global Inputs'!$B$5*V34+W34</f>
        <v>583.05000000000007</v>
      </c>
      <c r="AB34">
        <f>MAX(C34,'Global Inputs'!$B$22)*'Global Inputs'!$B$5*V34*$C$54+W34</f>
        <v>349.83</v>
      </c>
      <c r="AC34">
        <f>D34+'Whitefield Monthly Projection'!$B$16*'Service Economics'!V24</f>
        <v>847.30000000000007</v>
      </c>
      <c r="AD34">
        <f t="shared" si="9"/>
        <v>32.144325698379888</v>
      </c>
      <c r="AE34">
        <f t="shared" si="10"/>
        <v>18.080238468607007</v>
      </c>
      <c r="AF34">
        <f t="shared" si="11"/>
        <v>5.6906041009760211E-2</v>
      </c>
      <c r="AG34" s="7">
        <f>'Service Economics'!AL24</f>
        <v>265.65590367064493</v>
      </c>
      <c r="AH34" s="7">
        <f>'Service Economics'!AN24</f>
        <v>404.65590367064493</v>
      </c>
      <c r="AI34" s="7">
        <f>'Service Economics'!AP24</f>
        <v>177.10393578042996</v>
      </c>
      <c r="AJ34" s="174">
        <f>'Service Economics'!AQ24</f>
        <v>4</v>
      </c>
      <c r="AK34" s="6" t="str">
        <f>'Service Portfolio'!P24</f>
        <v>SCALE</v>
      </c>
      <c r="AL34" s="7">
        <f>IF(ISNUMBER(SEARCH("Future",'Service Economics'!AH24)),-1000000000,AG34*(1-'Whitefield Monthly Projection'!$B$16)+AH34*'Whitefield Monthly Projection'!$B$16)</f>
        <v>321.2559036706449</v>
      </c>
      <c r="AM34" s="7">
        <f>IF(ISNUMBER(SEARCH("Future",'Service Economics'!AH24)),-1000000000,AI34)</f>
        <v>177.10393578042996</v>
      </c>
    </row>
    <row r="35" spans="1:39" ht="39" customHeight="1">
      <c r="A35" s="40" t="str">
        <f>'Service Economics'!A25</f>
        <v>Medical Records Concierge</v>
      </c>
      <c r="B35" s="40" t="str">
        <f>'Service Economics'!B25</f>
        <v>Medical Coordination</v>
      </c>
      <c r="C35" s="40">
        <f>'Service Economics'!C25</f>
        <v>2</v>
      </c>
      <c r="D35" s="12">
        <f>'Service Economics'!K25</f>
        <v>557.79999999999995</v>
      </c>
      <c r="E35" s="13">
        <f t="shared" si="0"/>
        <v>278.89999999999998</v>
      </c>
      <c r="F35" s="12">
        <f>'Service Economics'!R25</f>
        <v>396.68886440677966</v>
      </c>
      <c r="G35" s="12">
        <f>'Service Economics'!AB25</f>
        <v>535.68886440677966</v>
      </c>
      <c r="H35" s="13">
        <f>'Whitefield Monthly Projection'!$B$15*F35+'Whitefield Monthly Projection'!$B$16*G35-'Whitefield Monthly Projection'!H57</f>
        <v>452.28886440677968</v>
      </c>
      <c r="I35" s="14">
        <f>IF(('Service Economics'!L25+'Whitefield Monthly Projection'!$B$16*'Service Economics'!U25/(1+'Global Inputs'!$B$17))=0,0,H35/('Service Economics'!L25+'Whitefield Monthly Projection'!$B$16*'Service Economics'!U25/(1+'Global Inputs'!$B$17)))</f>
        <v>0.84966895282490207</v>
      </c>
      <c r="J35" s="13">
        <f t="shared" si="1"/>
        <v>226.14443220338984</v>
      </c>
      <c r="K35" s="41">
        <v>3</v>
      </c>
      <c r="L35" s="41">
        <v>1</v>
      </c>
      <c r="M35" s="41">
        <v>1</v>
      </c>
      <c r="N35" s="47">
        <v>0.9</v>
      </c>
      <c r="O35" s="48">
        <f t="shared" si="2"/>
        <v>38.066830110550193</v>
      </c>
      <c r="P35" s="48">
        <f t="shared" si="3"/>
        <v>60.130073549747578</v>
      </c>
      <c r="Q35" s="42" t="str">
        <f t="shared" si="4"/>
        <v>REVIEW — Economics need improvement</v>
      </c>
      <c r="R35" s="49">
        <f>'Whitefield Monthly Projection'!G57</f>
        <v>0</v>
      </c>
      <c r="S35" s="42">
        <f t="shared" si="5"/>
        <v>8327031.2670257157</v>
      </c>
      <c r="T35" s="14">
        <f t="shared" si="6"/>
        <v>9.9491222869313896E-3</v>
      </c>
      <c r="U35" s="41" t="s">
        <v>301</v>
      </c>
      <c r="V35" s="1">
        <f>'Service Economics'!D25</f>
        <v>0.6</v>
      </c>
      <c r="W35" s="50">
        <f>'Service Economics'!E25</f>
        <v>0</v>
      </c>
      <c r="X35">
        <f t="shared" si="7"/>
        <v>226.14443220338984</v>
      </c>
      <c r="Y35">
        <f t="shared" si="8"/>
        <v>0</v>
      </c>
      <c r="Z35">
        <f>R35*C35*'Service Economics'!F25</f>
        <v>0</v>
      </c>
      <c r="AA35">
        <f>MAX(C35,$C$53)*'Global Inputs'!$B$5*V35+W35</f>
        <v>538.19999999999993</v>
      </c>
      <c r="AB35">
        <f>MAX(C35,'Global Inputs'!$B$22)*'Global Inputs'!$B$5*V35*$C$54+W35</f>
        <v>322.92</v>
      </c>
      <c r="AC35">
        <f>D35+'Whitefield Monthly Projection'!$B$16*'Service Economics'!V25</f>
        <v>817.4</v>
      </c>
      <c r="AD35">
        <f t="shared" si="9"/>
        <v>8.1324125573377177</v>
      </c>
      <c r="AE35">
        <f t="shared" si="10"/>
        <v>4.4998772210003812</v>
      </c>
      <c r="AF35">
        <f t="shared" si="11"/>
        <v>1.9898244573862779E-2</v>
      </c>
      <c r="AG35" s="7">
        <f>'Service Economics'!AL25</f>
        <v>189.58827269080334</v>
      </c>
      <c r="AH35" s="7">
        <f>'Service Economics'!AN25</f>
        <v>328.58827269080336</v>
      </c>
      <c r="AI35" s="7">
        <f>'Service Economics'!AP25</f>
        <v>94.794136345401668</v>
      </c>
      <c r="AJ35" s="174">
        <f>'Service Economics'!AQ25</f>
        <v>3</v>
      </c>
      <c r="AK35" s="6" t="str">
        <f>'Service Portfolio'!P25</f>
        <v>REVIEW</v>
      </c>
      <c r="AL35" s="7">
        <f>IF(ISNUMBER(SEARCH("Future",'Service Economics'!AH25)),-1000000000,AG35*(1-'Whitefield Monthly Projection'!$B$16)+AH35*'Whitefield Monthly Projection'!$B$16)</f>
        <v>245.18827269080333</v>
      </c>
      <c r="AM35" s="7">
        <f>IF(ISNUMBER(SEARCH("Future",'Service Economics'!AH25)),-1000000000,AI35)</f>
        <v>94.794136345401668</v>
      </c>
    </row>
    <row r="36" spans="1:39" ht="39" customHeight="1">
      <c r="A36" s="40" t="str">
        <f>'Service Economics'!A26</f>
        <v>Insurance / TPA Desk Concierge</v>
      </c>
      <c r="B36" s="40" t="str">
        <f>'Service Economics'!B26</f>
        <v>Medical Coordination</v>
      </c>
      <c r="C36" s="40">
        <f>'Service Economics'!C26</f>
        <v>3</v>
      </c>
      <c r="D36" s="12">
        <f>'Service Economics'!K26</f>
        <v>871.75</v>
      </c>
      <c r="E36" s="13">
        <f t="shared" si="0"/>
        <v>290.58333333333331</v>
      </c>
      <c r="F36" s="12">
        <f>'Service Economics'!R26</f>
        <v>651.75993644067796</v>
      </c>
      <c r="G36" s="12">
        <f>'Service Economics'!AB26</f>
        <v>790.75993644067796</v>
      </c>
      <c r="H36" s="13">
        <f>'Whitefield Monthly Projection'!$B$15*F36+'Whitefield Monthly Projection'!$B$16*G36-'Whitefield Monthly Projection'!H58</f>
        <v>707.35993644067798</v>
      </c>
      <c r="I36" s="14">
        <f>IF(('Service Economics'!L26+'Whitefield Monthly Projection'!$B$16*'Service Economics'!U26/(1+'Global Inputs'!$B$17))=0,0,H36/('Service Economics'!L26+'Whitefield Monthly Projection'!$B$16*'Service Economics'!U26/(1+'Global Inputs'!$B$17)))</f>
        <v>0.88600383938484917</v>
      </c>
      <c r="J36" s="13">
        <f t="shared" si="1"/>
        <v>235.78664548022599</v>
      </c>
      <c r="K36" s="41">
        <v>2</v>
      </c>
      <c r="L36" s="41">
        <v>3</v>
      </c>
      <c r="M36" s="41">
        <v>1</v>
      </c>
      <c r="N36" s="47">
        <v>1</v>
      </c>
      <c r="O36" s="48">
        <f t="shared" si="2"/>
        <v>39.689901221002721</v>
      </c>
      <c r="P36" s="48">
        <f t="shared" si="3"/>
        <v>51.527122216117895</v>
      </c>
      <c r="Q36" s="42" t="str">
        <f t="shared" si="4"/>
        <v>REVIEW — Economics need improvement</v>
      </c>
      <c r="R36" s="49">
        <f>'Whitefield Monthly Projection'!G58</f>
        <v>0.01</v>
      </c>
      <c r="S36" s="42">
        <f t="shared" si="5"/>
        <v>7340837.9735908303</v>
      </c>
      <c r="T36" s="14">
        <f t="shared" si="6"/>
        <v>1.0770820277451859E-2</v>
      </c>
      <c r="U36" s="41" t="s">
        <v>300</v>
      </c>
      <c r="V36" s="1">
        <f>'Service Economics'!D26</f>
        <v>0.75</v>
      </c>
      <c r="W36" s="50">
        <f>'Service Economics'!E26</f>
        <v>0</v>
      </c>
      <c r="X36">
        <f t="shared" si="7"/>
        <v>0</v>
      </c>
      <c r="Y36">
        <f t="shared" si="8"/>
        <v>2.2499999999999999E-2</v>
      </c>
      <c r="Z36">
        <f>R36*C36*'Service Economics'!F26</f>
        <v>0.03</v>
      </c>
      <c r="AA36">
        <f>MAX(C36,$C$53)*'Global Inputs'!$B$5*V36+W36</f>
        <v>672.75</v>
      </c>
      <c r="AB36">
        <f>MAX(C36,'Global Inputs'!$B$22)*'Global Inputs'!$B$5*V36*$C$54+W36</f>
        <v>605.47500000000002</v>
      </c>
      <c r="AC36">
        <f>D36+'Whitefield Monthly Projection'!$B$16*'Service Economics'!V26</f>
        <v>1131.3499999999999</v>
      </c>
      <c r="AD36">
        <f t="shared" si="9"/>
        <v>12.185567520895159</v>
      </c>
      <c r="AE36">
        <f t="shared" si="10"/>
        <v>7.618846746872312</v>
      </c>
      <c r="AF36">
        <f t="shared" si="11"/>
        <v>3.2312460832355575E-2</v>
      </c>
      <c r="AG36" s="7">
        <f>'Service Economics'!AL26</f>
        <v>341.10904886671347</v>
      </c>
      <c r="AH36" s="7">
        <f>'Service Economics'!AN26</f>
        <v>480.10904886671347</v>
      </c>
      <c r="AI36" s="7">
        <f>'Service Economics'!AP26</f>
        <v>113.70301628890449</v>
      </c>
      <c r="AJ36" s="174">
        <f>'Service Economics'!AQ26</f>
        <v>3</v>
      </c>
      <c r="AK36" s="6" t="str">
        <f>'Service Portfolio'!P26</f>
        <v>REVIEW</v>
      </c>
      <c r="AL36" s="7">
        <f>IF(ISNUMBER(SEARCH("Future",'Service Economics'!AH26)),-1000000000,AG36*(1-'Whitefield Monthly Projection'!$B$16)+AH36*'Whitefield Monthly Projection'!$B$16)</f>
        <v>396.70904886671349</v>
      </c>
      <c r="AM36" s="7">
        <f>IF(ISNUMBER(SEARCH("Future",'Service Economics'!AH26)),-1000000000,AI36)</f>
        <v>113.70301628890449</v>
      </c>
    </row>
    <row r="37" spans="1:39" ht="39" customHeight="1">
      <c r="A37" s="40" t="str">
        <f>'Service Economics'!A27</f>
        <v>Hospital Transfer Concierge</v>
      </c>
      <c r="B37" s="40" t="str">
        <f>'Service Economics'!B27</f>
        <v>Medical Coordination</v>
      </c>
      <c r="C37" s="40">
        <f>'Service Economics'!C27</f>
        <v>4</v>
      </c>
      <c r="D37" s="12">
        <f>'Service Economics'!K27</f>
        <v>1514.6000000000001</v>
      </c>
      <c r="E37" s="13">
        <f t="shared" si="0"/>
        <v>378.65000000000003</v>
      </c>
      <c r="F37" s="12">
        <f>'Service Economics'!R27</f>
        <v>1174.0483220338986</v>
      </c>
      <c r="G37" s="12">
        <f>'Service Economics'!AB27</f>
        <v>1313.0483220338986</v>
      </c>
      <c r="H37" s="13">
        <f>'Whitefield Monthly Projection'!$B$15*F37+'Whitefield Monthly Projection'!$B$16*G37-'Whitefield Monthly Projection'!H59</f>
        <v>1229.6483220338985</v>
      </c>
      <c r="I37" s="14">
        <f>IF(('Service Economics'!L27+'Whitefield Monthly Projection'!$B$16*'Service Economics'!U27/(1+'Global Inputs'!$B$17))=0,0,H37/('Service Economics'!L27+'Whitefield Monthly Projection'!$B$16*'Service Economics'!U27/(1+'Global Inputs'!$B$17)))</f>
        <v>0.91548954905207058</v>
      </c>
      <c r="J37" s="13">
        <f t="shared" si="1"/>
        <v>307.41208050847462</v>
      </c>
      <c r="K37" s="41">
        <v>2</v>
      </c>
      <c r="L37" s="41">
        <v>4</v>
      </c>
      <c r="M37" s="41">
        <v>5</v>
      </c>
      <c r="N37" s="47">
        <v>1</v>
      </c>
      <c r="O37" s="48">
        <f t="shared" si="2"/>
        <v>51.746591011014367</v>
      </c>
      <c r="P37" s="48">
        <f t="shared" si="3"/>
        <v>45.952632621623131</v>
      </c>
      <c r="Q37" s="42" t="str">
        <f t="shared" si="4"/>
        <v>GROW — Attractive economics</v>
      </c>
      <c r="R37" s="49">
        <f>'Whitefield Monthly Projection'!G59</f>
        <v>0.01</v>
      </c>
      <c r="S37" s="42">
        <f t="shared" si="5"/>
        <v>14235045.856488355</v>
      </c>
      <c r="T37" s="14">
        <f t="shared" si="6"/>
        <v>1.9008007709434879E-2</v>
      </c>
      <c r="U37" s="41" t="s">
        <v>300</v>
      </c>
      <c r="V37" s="1">
        <f>'Service Economics'!D27</f>
        <v>1.1000000000000001</v>
      </c>
      <c r="W37" s="50">
        <f>'Service Economics'!E27</f>
        <v>0</v>
      </c>
      <c r="X37">
        <f t="shared" si="7"/>
        <v>0</v>
      </c>
      <c r="Y37">
        <f t="shared" si="8"/>
        <v>4.4000000000000004E-2</v>
      </c>
      <c r="Z37">
        <f>R37*C37*'Service Economics'!F27</f>
        <v>0.04</v>
      </c>
      <c r="AA37">
        <f>MAX(C37,$C$53)*'Global Inputs'!$B$5*V37+W37</f>
        <v>1315.6000000000001</v>
      </c>
      <c r="AB37">
        <f>MAX(C37,'Global Inputs'!$B$22)*'Global Inputs'!$B$5*V37*$C$54+W37</f>
        <v>1184.0400000000002</v>
      </c>
      <c r="AC37">
        <f>D37+'Whitefield Monthly Projection'!$B$16*'Service Economics'!V27</f>
        <v>1774.2000000000003</v>
      </c>
      <c r="AD37">
        <f t="shared" si="9"/>
        <v>33.72400727807937</v>
      </c>
      <c r="AE37">
        <f t="shared" si="10"/>
        <v>23.373164785114007</v>
      </c>
      <c r="AF37">
        <f t="shared" si="11"/>
        <v>7.6032030837739517E-2</v>
      </c>
      <c r="AG37" s="7">
        <f>'Service Economics'!AL27</f>
        <v>759.84713860194597</v>
      </c>
      <c r="AH37" s="7">
        <f>'Service Economics'!AN27</f>
        <v>898.84713860194597</v>
      </c>
      <c r="AI37" s="7">
        <f>'Service Economics'!AP27</f>
        <v>189.96178465048649</v>
      </c>
      <c r="AJ37" s="174">
        <f>'Service Economics'!AQ27</f>
        <v>2</v>
      </c>
      <c r="AK37" s="6" t="str">
        <f>'Service Portfolio'!P27</f>
        <v>RETAIN</v>
      </c>
      <c r="AL37" s="7">
        <f>IF(ISNUMBER(SEARCH("Future",'Service Economics'!AH27)),-1000000000,AG37*(1-'Whitefield Monthly Projection'!$B$16)+AH37*'Whitefield Monthly Projection'!$B$16)</f>
        <v>815.44713860194599</v>
      </c>
      <c r="AM37" s="7">
        <f>IF(ISNUMBER(SEARCH("Future",'Service Economics'!AH27)),-1000000000,AI37)</f>
        <v>189.96178465048649</v>
      </c>
    </row>
    <row r="38" spans="1:39" ht="39" customHeight="1">
      <c r="A38" s="40" t="str">
        <f>'Service Economics'!A28</f>
        <v>Rehab / Nursing Facility Transfer</v>
      </c>
      <c r="B38" s="40" t="str">
        <f>'Service Economics'!B28</f>
        <v>Medical Coordination</v>
      </c>
      <c r="C38" s="40">
        <f>'Service Economics'!C28</f>
        <v>4</v>
      </c>
      <c r="D38" s="12">
        <f>'Service Economics'!K28</f>
        <v>1454.8</v>
      </c>
      <c r="E38" s="13">
        <f t="shared" si="0"/>
        <v>363.7</v>
      </c>
      <c r="F38" s="12">
        <f>'Service Economics'!R28</f>
        <v>1125.4633559322033</v>
      </c>
      <c r="G38" s="12">
        <f>'Service Economics'!AB28</f>
        <v>1264.4633559322033</v>
      </c>
      <c r="H38" s="13">
        <f>'Whitefield Monthly Projection'!$B$15*F38+'Whitefield Monthly Projection'!$B$16*G38-'Whitefield Monthly Projection'!H60</f>
        <v>1181.0633559322032</v>
      </c>
      <c r="I38" s="14">
        <f>IF(('Service Economics'!L28+'Whitefield Monthly Projection'!$B$16*'Service Economics'!U28/(1+'Global Inputs'!$B$17))=0,0,H38/('Service Economics'!L28+'Whitefield Monthly Projection'!$B$16*'Service Economics'!U28/(1+'Global Inputs'!$B$17)))</f>
        <v>0.91379527488840273</v>
      </c>
      <c r="J38" s="13">
        <f t="shared" si="1"/>
        <v>295.2658389830508</v>
      </c>
      <c r="K38" s="41">
        <v>2</v>
      </c>
      <c r="L38" s="41">
        <v>4</v>
      </c>
      <c r="M38" s="41">
        <v>5</v>
      </c>
      <c r="N38" s="47">
        <v>0.9</v>
      </c>
      <c r="O38" s="48">
        <f t="shared" si="2"/>
        <v>49.702017513780646</v>
      </c>
      <c r="P38" s="48">
        <f t="shared" si="3"/>
        <v>44.365907881201295</v>
      </c>
      <c r="Q38" s="42" t="str">
        <f t="shared" si="4"/>
        <v>REVIEW — Economics need improvement</v>
      </c>
      <c r="R38" s="49">
        <f>'Whitefield Monthly Projection'!G60</f>
        <v>0</v>
      </c>
      <c r="S38" s="42">
        <f t="shared" si="5"/>
        <v>11352152.090280902</v>
      </c>
      <c r="T38" s="14">
        <f t="shared" si="6"/>
        <v>1.3563531316772667E-2</v>
      </c>
      <c r="U38" s="41" t="s">
        <v>300</v>
      </c>
      <c r="V38" s="1">
        <f>'Service Economics'!D28</f>
        <v>1.05</v>
      </c>
      <c r="W38" s="50">
        <f>'Service Economics'!E28</f>
        <v>0</v>
      </c>
      <c r="X38">
        <f t="shared" si="7"/>
        <v>0</v>
      </c>
      <c r="Y38">
        <f t="shared" si="8"/>
        <v>0</v>
      </c>
      <c r="Z38">
        <f>R38*C38*'Service Economics'!F28</f>
        <v>0</v>
      </c>
      <c r="AA38">
        <f>MAX(C38,$C$53)*'Global Inputs'!$B$5*V38+W38</f>
        <v>1255.8</v>
      </c>
      <c r="AB38">
        <f>MAX(C38,'Global Inputs'!$B$22)*'Global Inputs'!$B$5*V38*$C$54+W38</f>
        <v>1130.22</v>
      </c>
      <c r="AC38">
        <f>D38+'Whitefield Monthly Projection'!$B$16*'Service Economics'!V28</f>
        <v>1714.4</v>
      </c>
      <c r="AD38">
        <f t="shared" si="9"/>
        <v>23.253318089475062</v>
      </c>
      <c r="AE38">
        <f t="shared" si="10"/>
        <v>16.019389815279062</v>
      </c>
      <c r="AF38">
        <f t="shared" si="11"/>
        <v>5.4254125267090669E-2</v>
      </c>
      <c r="AG38" s="7">
        <f>'Service Economics'!AL28</f>
        <v>711.2621725002507</v>
      </c>
      <c r="AH38" s="7">
        <f>'Service Economics'!AN28</f>
        <v>850.2621725002507</v>
      </c>
      <c r="AI38" s="7">
        <f>'Service Economics'!AP28</f>
        <v>177.81554312506267</v>
      </c>
      <c r="AJ38" s="174">
        <f>'Service Economics'!AQ28</f>
        <v>2</v>
      </c>
      <c r="AK38" s="6" t="str">
        <f>'Service Portfolio'!P28</f>
        <v>RETAIN</v>
      </c>
      <c r="AL38" s="7">
        <f>IF(ISNUMBER(SEARCH("Future",'Service Economics'!AH28)),-1000000000,AG38*(1-'Whitefield Monthly Projection'!$B$16)+AH38*'Whitefield Monthly Projection'!$B$16)</f>
        <v>766.86217250025061</v>
      </c>
      <c r="AM38" s="7">
        <f>IF(ISNUMBER(SEARCH("Future",'Service Economics'!AH28)),-1000000000,AI38)</f>
        <v>177.81554312506267</v>
      </c>
    </row>
    <row r="39" spans="1:39" ht="39" customHeight="1">
      <c r="A39" s="40" t="str">
        <f>'Service Economics'!A29</f>
        <v>24×7 Urgent Care Coordination</v>
      </c>
      <c r="B39" s="40" t="str">
        <f>'Service Economics'!B29</f>
        <v>Urgent Coordination</v>
      </c>
      <c r="C39" s="40">
        <f>'Service Economics'!C29</f>
        <v>4</v>
      </c>
      <c r="D39" s="12">
        <f>'Service Economics'!K29</f>
        <v>2252.8000000000002</v>
      </c>
      <c r="E39" s="13">
        <f t="shared" si="0"/>
        <v>563.20000000000005</v>
      </c>
      <c r="F39" s="12">
        <f>'Service Economics'!R29</f>
        <v>1773.8045423728815</v>
      </c>
      <c r="G39" s="12">
        <f>'Service Economics'!AB29</f>
        <v>1912.8045423728815</v>
      </c>
      <c r="H39" s="13">
        <f>'Whitefield Monthly Projection'!$B$15*F39+'Whitefield Monthly Projection'!$B$16*G39-'Whitefield Monthly Projection'!H61</f>
        <v>1829.4045423728815</v>
      </c>
      <c r="I39" s="14">
        <f>IF(('Service Economics'!L29+'Whitefield Monthly Projection'!$B$16*'Service Economics'!U29/(1+'Global Inputs'!$B$17))=0,0,H39/('Service Economics'!L29+'Whitefield Monthly Projection'!$B$16*'Service Economics'!U29/(1+'Global Inputs'!$B$17)))</f>
        <v>0.92922015489460763</v>
      </c>
      <c r="J39" s="13">
        <f t="shared" si="1"/>
        <v>457.35113559322036</v>
      </c>
      <c r="K39" s="41">
        <v>2</v>
      </c>
      <c r="L39" s="41">
        <v>5</v>
      </c>
      <c r="M39" s="41">
        <v>5</v>
      </c>
      <c r="N39" s="47">
        <v>1.4</v>
      </c>
      <c r="O39" s="48">
        <f t="shared" si="2"/>
        <v>76.985790938404335</v>
      </c>
      <c r="P39" s="48">
        <f t="shared" si="3"/>
        <v>56.976939255615292</v>
      </c>
      <c r="Q39" s="42" t="str">
        <f t="shared" si="4"/>
        <v>GROW — Attractive economics</v>
      </c>
      <c r="R39" s="49">
        <f>'Whitefield Monthly Projection'!G61</f>
        <v>5.0000000000000001E-3</v>
      </c>
      <c r="S39" s="42">
        <f t="shared" si="5"/>
        <v>56250529.040530562</v>
      </c>
      <c r="T39" s="14">
        <f t="shared" si="6"/>
        <v>6.8208032993098133E-2</v>
      </c>
      <c r="U39" s="41" t="s">
        <v>300</v>
      </c>
      <c r="V39" s="1">
        <f>'Service Economics'!D29</f>
        <v>1.3</v>
      </c>
      <c r="W39" s="50">
        <f>'Service Economics'!E29</f>
        <v>499</v>
      </c>
      <c r="X39">
        <f t="shared" si="7"/>
        <v>0</v>
      </c>
      <c r="Y39">
        <f t="shared" si="8"/>
        <v>2.6000000000000002E-2</v>
      </c>
      <c r="Z39">
        <f>R39*C39*'Service Economics'!F29</f>
        <v>0.02</v>
      </c>
      <c r="AA39">
        <f>MAX(C39,$C$53)*'Global Inputs'!$B$5*V39+W39</f>
        <v>2053.8000000000002</v>
      </c>
      <c r="AB39">
        <f>MAX(C39,'Global Inputs'!$B$22)*'Global Inputs'!$B$5*V39*$C$54+W39</f>
        <v>1898.32</v>
      </c>
      <c r="AC39">
        <f>D39+'Whitefield Monthly Projection'!$B$16*'Service Economics'!V29</f>
        <v>2512.4</v>
      </c>
      <c r="AD39">
        <f t="shared" si="9"/>
        <v>171.36586209185975</v>
      </c>
      <c r="AE39">
        <f t="shared" si="10"/>
        <v>124.78008538389309</v>
      </c>
      <c r="AF39">
        <f t="shared" si="11"/>
        <v>0.27283213197239253</v>
      </c>
      <c r="AG39" s="7">
        <f>'Service Economics'!AL29</f>
        <v>1359.603358940929</v>
      </c>
      <c r="AH39" s="7">
        <f>'Service Economics'!AN29</f>
        <v>1498.603358940929</v>
      </c>
      <c r="AI39" s="7">
        <f>'Service Economics'!AP29</f>
        <v>339.90083973523224</v>
      </c>
      <c r="AJ39" s="174">
        <f>'Service Economics'!AQ29</f>
        <v>2</v>
      </c>
      <c r="AK39" s="6" t="str">
        <f>'Service Portfolio'!P29</f>
        <v>RETAIN</v>
      </c>
      <c r="AL39" s="7">
        <f>IF(ISNUMBER(SEARCH("Future",'Service Economics'!AH29)),-1000000000,AG39*(1-'Whitefield Monthly Projection'!$B$16)+AH39*'Whitefield Monthly Projection'!$B$16)</f>
        <v>1415.2033589409289</v>
      </c>
      <c r="AM39" s="7">
        <f>IF(ISNUMBER(SEARCH("Future",'Service Economics'!AH29)),-1000000000,AI39)</f>
        <v>339.90083973523224</v>
      </c>
    </row>
    <row r="40" spans="1:39" ht="39" customHeight="1">
      <c r="A40" s="40" t="str">
        <f>'Service Economics'!A30</f>
        <v>Doctor-at-Home Coordination</v>
      </c>
      <c r="B40" s="40" t="str">
        <f>'Service Economics'!B30</f>
        <v>Medical Coordination</v>
      </c>
      <c r="C40" s="40">
        <f>'Service Economics'!C30</f>
        <v>2</v>
      </c>
      <c r="D40" s="12">
        <f>'Service Economics'!K30</f>
        <v>707.3</v>
      </c>
      <c r="E40" s="13">
        <f t="shared" si="0"/>
        <v>353.65</v>
      </c>
      <c r="F40" s="12">
        <f>'Service Economics'!R30</f>
        <v>518.15127966101693</v>
      </c>
      <c r="G40" s="12">
        <f>'Service Economics'!AB30</f>
        <v>657.15127966101693</v>
      </c>
      <c r="H40" s="13">
        <f>'Whitefield Monthly Projection'!$B$15*F40+'Whitefield Monthly Projection'!$B$16*G40-'Whitefield Monthly Projection'!H62</f>
        <v>573.75127966101695</v>
      </c>
      <c r="I40" s="14">
        <f>IF(('Service Economics'!L30+'Whitefield Monthly Projection'!$B$16*'Service Economics'!U30/(1+'Global Inputs'!$B$17))=0,0,H40/('Service Economics'!L30+'Whitefield Monthly Projection'!$B$16*'Service Economics'!U30/(1+'Global Inputs'!$B$17)))</f>
        <v>0.87063031423765602</v>
      </c>
      <c r="J40" s="13">
        <f t="shared" si="1"/>
        <v>286.87563983050848</v>
      </c>
      <c r="K40" s="41">
        <v>3</v>
      </c>
      <c r="L40" s="41">
        <v>2</v>
      </c>
      <c r="M40" s="41">
        <v>2</v>
      </c>
      <c r="N40" s="47">
        <v>1</v>
      </c>
      <c r="O40" s="48">
        <f t="shared" si="2"/>
        <v>48.28969759671871</v>
      </c>
      <c r="P40" s="48">
        <f t="shared" si="3"/>
        <v>60.39703058519008</v>
      </c>
      <c r="Q40" s="42" t="str">
        <f t="shared" si="4"/>
        <v>REVIEW — Economics need improvement</v>
      </c>
      <c r="R40" s="49">
        <f>'Whitefield Monthly Projection'!G62</f>
        <v>0</v>
      </c>
      <c r="S40" s="42">
        <f t="shared" si="5"/>
        <v>16998613.952708259</v>
      </c>
      <c r="T40" s="14">
        <f t="shared" si="6"/>
        <v>2.03099140018289E-2</v>
      </c>
      <c r="U40" s="41" t="s">
        <v>301</v>
      </c>
      <c r="V40" s="1">
        <f>'Service Economics'!D30</f>
        <v>0.85</v>
      </c>
      <c r="W40" s="50">
        <f>'Service Economics'!E30</f>
        <v>0</v>
      </c>
      <c r="X40">
        <f t="shared" si="7"/>
        <v>286.87563983050848</v>
      </c>
      <c r="Y40">
        <f t="shared" si="8"/>
        <v>0</v>
      </c>
      <c r="Z40">
        <f>R40*C40*'Service Economics'!F30</f>
        <v>0</v>
      </c>
      <c r="AA40">
        <f>MAX(C40,$C$53)*'Global Inputs'!$B$5*V40+W40</f>
        <v>762.44999999999993</v>
      </c>
      <c r="AB40">
        <f>MAX(C40,'Global Inputs'!$B$22)*'Global Inputs'!$B$5*V40*$C$54+W40</f>
        <v>457.47</v>
      </c>
      <c r="AC40">
        <f>D40+'Whitefield Monthly Projection'!$B$16*'Service Economics'!V30</f>
        <v>966.9</v>
      </c>
      <c r="AD40">
        <f t="shared" si="9"/>
        <v>19.637655848368365</v>
      </c>
      <c r="AE40">
        <f t="shared" si="10"/>
        <v>11.652839148354538</v>
      </c>
      <c r="AF40">
        <f t="shared" si="11"/>
        <v>4.06198280036578E-2</v>
      </c>
      <c r="AG40" s="7">
        <f>'Service Economics'!AL30</f>
        <v>311.05068794504064</v>
      </c>
      <c r="AH40" s="7">
        <f>'Service Economics'!AN30</f>
        <v>450.05068794504064</v>
      </c>
      <c r="AI40" s="7">
        <f>'Service Economics'!AP30</f>
        <v>155.52534397252032</v>
      </c>
      <c r="AJ40" s="174">
        <f>'Service Economics'!AQ30</f>
        <v>3</v>
      </c>
      <c r="AK40" s="6" t="str">
        <f>'Service Portfolio'!P30</f>
        <v>REVIEW</v>
      </c>
      <c r="AL40" s="7">
        <f>IF(ISNUMBER(SEARCH("Future",'Service Economics'!AH30)),-1000000000,AG40*(1-'Whitefield Monthly Projection'!$B$16)+AH40*'Whitefield Monthly Projection'!$B$16)</f>
        <v>366.65068794504066</v>
      </c>
      <c r="AM40" s="7">
        <f>IF(ISNUMBER(SEARCH("Future",'Service Economics'!AH30)),-1000000000,AI40)</f>
        <v>155.52534397252032</v>
      </c>
    </row>
    <row r="41" spans="1:39" ht="39" customHeight="1">
      <c r="A41" s="40" t="str">
        <f>'Service Economics'!A31</f>
        <v>Nurse-at-Home Coordination</v>
      </c>
      <c r="B41" s="40" t="str">
        <f>'Service Economics'!B31</f>
        <v>Medical Coordination</v>
      </c>
      <c r="C41" s="40">
        <f>'Service Economics'!C31</f>
        <v>2</v>
      </c>
      <c r="D41" s="12">
        <f>'Service Economics'!K31</f>
        <v>707.3</v>
      </c>
      <c r="E41" s="13">
        <f t="shared" si="0"/>
        <v>353.65</v>
      </c>
      <c r="F41" s="12">
        <f>'Service Economics'!R31</f>
        <v>518.15127966101693</v>
      </c>
      <c r="G41" s="12">
        <f>'Service Economics'!AB31</f>
        <v>657.15127966101693</v>
      </c>
      <c r="H41" s="13">
        <f>'Whitefield Monthly Projection'!$B$15*F41+'Whitefield Monthly Projection'!$B$16*G41-'Whitefield Monthly Projection'!H63</f>
        <v>573.75127966101695</v>
      </c>
      <c r="I41" s="14">
        <f>IF(('Service Economics'!L31+'Whitefield Monthly Projection'!$B$16*'Service Economics'!U31/(1+'Global Inputs'!$B$17))=0,0,H41/('Service Economics'!L31+'Whitefield Monthly Projection'!$B$16*'Service Economics'!U31/(1+'Global Inputs'!$B$17)))</f>
        <v>0.87063031423765602</v>
      </c>
      <c r="J41" s="13">
        <f t="shared" si="1"/>
        <v>286.87563983050848</v>
      </c>
      <c r="K41" s="41">
        <v>4</v>
      </c>
      <c r="L41" s="41">
        <v>2</v>
      </c>
      <c r="M41" s="41">
        <v>2</v>
      </c>
      <c r="N41" s="47">
        <v>1</v>
      </c>
      <c r="O41" s="48">
        <f t="shared" si="2"/>
        <v>48.28969759671871</v>
      </c>
      <c r="P41" s="48">
        <f t="shared" si="3"/>
        <v>64.39703058519008</v>
      </c>
      <c r="Q41" s="42" t="str">
        <f t="shared" si="4"/>
        <v>STRATEGIC — Important but lower margin</v>
      </c>
      <c r="R41" s="49">
        <f>'Whitefield Monthly Projection'!G63</f>
        <v>0</v>
      </c>
      <c r="S41" s="42">
        <f t="shared" si="5"/>
        <v>19123440.69679679</v>
      </c>
      <c r="T41" s="14">
        <f t="shared" si="6"/>
        <v>2.284865325205751E-2</v>
      </c>
      <c r="U41" s="41" t="s">
        <v>301</v>
      </c>
      <c r="V41" s="1">
        <f>'Service Economics'!D31</f>
        <v>0.85</v>
      </c>
      <c r="W41" s="50">
        <f>'Service Economics'!E31</f>
        <v>0</v>
      </c>
      <c r="X41">
        <f t="shared" si="7"/>
        <v>286.87563983050848</v>
      </c>
      <c r="Y41">
        <f t="shared" si="8"/>
        <v>0</v>
      </c>
      <c r="Z41">
        <f>R41*C41*'Service Economics'!F31</f>
        <v>0</v>
      </c>
      <c r="AA41">
        <f>MAX(C41,$C$53)*'Global Inputs'!$B$5*V41+W41</f>
        <v>762.44999999999993</v>
      </c>
      <c r="AB41">
        <f>MAX(C41,'Global Inputs'!$B$22)*'Global Inputs'!$B$5*V41*$C$54+W41</f>
        <v>457.47</v>
      </c>
      <c r="AC41">
        <f>D41+'Whitefield Monthly Projection'!$B$16*'Service Economics'!V31</f>
        <v>966.9</v>
      </c>
      <c r="AD41">
        <f t="shared" si="9"/>
        <v>22.092362829414405</v>
      </c>
      <c r="AE41">
        <f t="shared" si="10"/>
        <v>13.109444041898852</v>
      </c>
      <c r="AF41">
        <f t="shared" si="11"/>
        <v>4.5697306504115021E-2</v>
      </c>
      <c r="AG41" s="7">
        <f>'Service Economics'!AL31</f>
        <v>311.05068794504064</v>
      </c>
      <c r="AH41" s="7">
        <f>'Service Economics'!AN31</f>
        <v>450.05068794504064</v>
      </c>
      <c r="AI41" s="7">
        <f>'Service Economics'!AP31</f>
        <v>155.52534397252032</v>
      </c>
      <c r="AJ41" s="174">
        <f>'Service Economics'!AQ31</f>
        <v>4</v>
      </c>
      <c r="AK41" s="6" t="str">
        <f>'Service Portfolio'!P31</f>
        <v>OPTIMIZE</v>
      </c>
      <c r="AL41" s="7">
        <f>IF(ISNUMBER(SEARCH("Future",'Service Economics'!AH31)),-1000000000,AG41*(1-'Whitefield Monthly Projection'!$B$16)+AH41*'Whitefield Monthly Projection'!$B$16)</f>
        <v>366.65068794504066</v>
      </c>
      <c r="AM41" s="7">
        <f>IF(ISNUMBER(SEARCH("Future",'Service Economics'!AH31)),-1000000000,AI41)</f>
        <v>155.52534397252032</v>
      </c>
    </row>
    <row r="42" spans="1:39" ht="39" customHeight="1">
      <c r="A42" s="40" t="str">
        <f>'Service Economics'!A32</f>
        <v>Medical Tourism — Concierge Package (24 HR Basis)</v>
      </c>
      <c r="B42" s="40" t="str">
        <f>'Service Economics'!B32</f>
        <v>Medical Coordination</v>
      </c>
      <c r="C42" s="40">
        <f>'Service Economics'!C32</f>
        <v>24</v>
      </c>
      <c r="D42" s="12">
        <f>'Service Economics'!K32</f>
        <v>17550</v>
      </c>
      <c r="E42" s="13">
        <f t="shared" si="0"/>
        <v>731.25</v>
      </c>
      <c r="F42" s="12">
        <f>'Service Economics'!R32</f>
        <v>14202.131355932204</v>
      </c>
      <c r="G42" s="12">
        <f>'Service Economics'!AB32</f>
        <v>14341.131355932204</v>
      </c>
      <c r="H42" s="13">
        <f>'Whitefield Monthly Projection'!$B$15*F42+'Whitefield Monthly Projection'!$B$16*G42-'Whitefield Monthly Projection'!H64</f>
        <v>14257.731355932203</v>
      </c>
      <c r="I42" s="14">
        <f>IF(('Service Economics'!L32+'Whitefield Monthly Projection'!$B$16*'Service Economics'!U32/(1+'Global Inputs'!$B$17))=0,0,H42/('Service Economics'!L32+'Whitefield Monthly Projection'!$B$16*'Service Economics'!U32/(1+'Global Inputs'!$B$17)))</f>
        <v>0.95481327021835227</v>
      </c>
      <c r="J42" s="13">
        <f t="shared" si="1"/>
        <v>594.07213983050849</v>
      </c>
      <c r="K42" s="41">
        <v>3</v>
      </c>
      <c r="L42" s="41">
        <v>2</v>
      </c>
      <c r="M42" s="41">
        <v>2</v>
      </c>
      <c r="N42" s="47">
        <v>0.9</v>
      </c>
      <c r="O42" s="48">
        <f t="shared" si="2"/>
        <v>100</v>
      </c>
      <c r="P42" s="48">
        <f t="shared" si="3"/>
        <v>83</v>
      </c>
      <c r="Q42" s="42" t="str">
        <f t="shared" si="4"/>
        <v>GROW — Attractive economics</v>
      </c>
      <c r="R42" s="49">
        <f>'Whitefield Monthly Projection'!G64</f>
        <v>0.03</v>
      </c>
      <c r="S42" s="42">
        <f t="shared" si="5"/>
        <v>135860298.10250586</v>
      </c>
      <c r="T42" s="14">
        <f t="shared" si="6"/>
        <v>0.16832564480853526</v>
      </c>
      <c r="U42" s="41" t="s">
        <v>301</v>
      </c>
      <c r="V42" s="1">
        <f>'Service Economics'!D32</f>
        <v>2</v>
      </c>
      <c r="W42" s="50">
        <f>'Service Economics'!E32</f>
        <v>2999</v>
      </c>
      <c r="X42">
        <f t="shared" si="7"/>
        <v>594.07213983050849</v>
      </c>
      <c r="Y42">
        <f t="shared" si="8"/>
        <v>1.44</v>
      </c>
      <c r="Z42">
        <f>R42*C42*'Service Economics'!F32</f>
        <v>0.72</v>
      </c>
      <c r="AA42">
        <f>MAX(C42,$C$53)*'Global Inputs'!$B$5*V42+W42</f>
        <v>17351</v>
      </c>
      <c r="AB42">
        <f>MAX(C42,'Global Inputs'!$B$22)*'Global Inputs'!$B$5*V42*$C$54+W42</f>
        <v>15915.800000000001</v>
      </c>
      <c r="AC42">
        <f>D42+'Whitefield Monthly Projection'!$B$16*'Service Economics'!V32</f>
        <v>17809.599999999999</v>
      </c>
      <c r="AD42">
        <f t="shared" si="9"/>
        <v>2997.8124037820894</v>
      </c>
      <c r="AE42">
        <f t="shared" si="10"/>
        <v>2399.9418239941597</v>
      </c>
      <c r="AF42">
        <f t="shared" si="11"/>
        <v>4.0398154754048461</v>
      </c>
      <c r="AG42" s="7">
        <f>'Service Economics'!AL32</f>
        <v>11716.924255340487</v>
      </c>
      <c r="AH42" s="7">
        <f>'Service Economics'!AN32</f>
        <v>11855.924255340487</v>
      </c>
      <c r="AI42" s="7">
        <f>'Service Economics'!AP32</f>
        <v>488.20517730585362</v>
      </c>
      <c r="AJ42" s="174">
        <f>'Service Economics'!AQ32</f>
        <v>2</v>
      </c>
      <c r="AK42" s="6" t="str">
        <f>'Service Portfolio'!P32</f>
        <v>RETAIN</v>
      </c>
      <c r="AL42" s="7">
        <f>IF(ISNUMBER(SEARCH("Future",'Service Economics'!AH32)),-1000000000,AG42*(1-'Whitefield Monthly Projection'!$B$16)+AH42*'Whitefield Monthly Projection'!$B$16)</f>
        <v>11772.524255340486</v>
      </c>
      <c r="AM42" s="7">
        <f>IF(ISNUMBER(SEARCH("Future",'Service Economics'!AH32)),-1000000000,AI42)</f>
        <v>488.20517730585362</v>
      </c>
    </row>
    <row r="43" spans="1:39" ht="39" customHeight="1">
      <c r="A43" s="40" t="str">
        <f>'Service Economics'!A33</f>
        <v>Pharmacy / Prescription Coordination</v>
      </c>
      <c r="B43" s="40" t="str">
        <f>'Service Economics'!B33</f>
        <v>Medical Coordination</v>
      </c>
      <c r="C43" s="40">
        <f>'Service Economics'!C33</f>
        <v>1.5</v>
      </c>
      <c r="D43" s="12">
        <f>'Service Economics'!K33</f>
        <v>587.70000000000005</v>
      </c>
      <c r="E43" s="13">
        <f t="shared" si="0"/>
        <v>391.8</v>
      </c>
      <c r="F43" s="12">
        <f>'Service Economics'!R33</f>
        <v>420.98134745762718</v>
      </c>
      <c r="G43" s="12">
        <f>'Service Economics'!AB33</f>
        <v>559.98134745762718</v>
      </c>
      <c r="H43" s="13">
        <f>'Whitefield Monthly Projection'!$B$15*F43+'Whitefield Monthly Projection'!$B$16*G43-'Whitefield Monthly Projection'!H65</f>
        <v>476.5813474576272</v>
      </c>
      <c r="I43" s="14">
        <f>IF(('Service Economics'!L33+'Whitefield Monthly Projection'!$B$16*'Service Economics'!U33/(1+'Global Inputs'!$B$17))=0,0,H43/('Service Economics'!L33+'Whitefield Monthly Projection'!$B$16*'Service Economics'!U33/(1+'Global Inputs'!$B$17)))</f>
        <v>0.85462319232616246</v>
      </c>
      <c r="J43" s="13">
        <f t="shared" si="1"/>
        <v>317.7208983050848</v>
      </c>
      <c r="K43" s="41">
        <v>4</v>
      </c>
      <c r="L43" s="41">
        <v>1</v>
      </c>
      <c r="M43" s="41">
        <v>2</v>
      </c>
      <c r="N43" s="47">
        <v>1</v>
      </c>
      <c r="O43" s="48">
        <f t="shared" si="2"/>
        <v>53.481871477045196</v>
      </c>
      <c r="P43" s="48">
        <f t="shared" si="3"/>
        <v>69.733508831337005</v>
      </c>
      <c r="Q43" s="42" t="str">
        <f t="shared" si="4"/>
        <v>GROW — Attractive economics</v>
      </c>
      <c r="R43" s="49">
        <f>'Whitefield Monthly Projection'!G65</f>
        <v>0</v>
      </c>
      <c r="S43" s="42">
        <f t="shared" si="5"/>
        <v>28865551.187995303</v>
      </c>
      <c r="T43" s="14">
        <f t="shared" si="6"/>
        <v>3.4488509702884973E-2</v>
      </c>
      <c r="U43" s="41" t="s">
        <v>301</v>
      </c>
      <c r="V43" s="1">
        <f>'Service Economics'!D33</f>
        <v>0.65</v>
      </c>
      <c r="W43" s="50">
        <f>'Service Economics'!E33</f>
        <v>0</v>
      </c>
      <c r="X43">
        <f t="shared" si="7"/>
        <v>317.7208983050848</v>
      </c>
      <c r="Y43">
        <f t="shared" si="8"/>
        <v>0</v>
      </c>
      <c r="Z43">
        <f>R43*C43*'Service Economics'!F33</f>
        <v>0</v>
      </c>
      <c r="AA43">
        <f>MAX(C43,$C$53)*'Global Inputs'!$B$5*V43+W43</f>
        <v>583.05000000000007</v>
      </c>
      <c r="AB43">
        <f>MAX(C43,'Global Inputs'!$B$22)*'Global Inputs'!$B$5*V43*$C$54+W43</f>
        <v>349.83</v>
      </c>
      <c r="AC43">
        <f>D43+'Whitefield Monthly Projection'!$B$16*'Service Economics'!V33</f>
        <v>847.30000000000007</v>
      </c>
      <c r="AD43">
        <f t="shared" si="9"/>
        <v>29.222114271254441</v>
      </c>
      <c r="AE43">
        <f t="shared" si="10"/>
        <v>16.436580426006369</v>
      </c>
      <c r="AF43">
        <f t="shared" si="11"/>
        <v>5.1732764554327459E-2</v>
      </c>
      <c r="AG43" s="7">
        <f>'Service Economics'!AL33</f>
        <v>265.65590367064493</v>
      </c>
      <c r="AH43" s="7">
        <f>'Service Economics'!AN33</f>
        <v>404.65590367064493</v>
      </c>
      <c r="AI43" s="7">
        <f>'Service Economics'!AP33</f>
        <v>177.10393578042996</v>
      </c>
      <c r="AJ43" s="174">
        <f>'Service Economics'!AQ33</f>
        <v>4</v>
      </c>
      <c r="AK43" s="6" t="str">
        <f>'Service Portfolio'!P33</f>
        <v>SCALE</v>
      </c>
      <c r="AL43" s="7">
        <f>IF(ISNUMBER(SEARCH("Future",'Service Economics'!AH33)),-1000000000,AG43*(1-'Whitefield Monthly Projection'!$B$16)+AH43*'Whitefield Monthly Projection'!$B$16)</f>
        <v>321.2559036706449</v>
      </c>
      <c r="AM43" s="7">
        <f>IF(ISNUMBER(SEARCH("Future",'Service Economics'!AH33)),-1000000000,AI43)</f>
        <v>177.10393578042996</v>
      </c>
    </row>
    <row r="44" spans="1:39" ht="39" customHeight="1">
      <c r="A44" s="40" t="str">
        <f>'Service Economics'!A34</f>
        <v>Family Medical Update Concierge</v>
      </c>
      <c r="B44" s="40" t="str">
        <f>'Service Economics'!B34</f>
        <v>Continuing Care</v>
      </c>
      <c r="C44" s="40">
        <f>'Service Economics'!C34</f>
        <v>3</v>
      </c>
      <c r="D44" s="12">
        <f>'Service Economics'!K34</f>
        <v>782.05000000000007</v>
      </c>
      <c r="E44" s="13">
        <f t="shared" si="0"/>
        <v>260.68333333333334</v>
      </c>
      <c r="F44" s="12">
        <f>'Service Economics'!R34</f>
        <v>578.88248728813562</v>
      </c>
      <c r="G44" s="12">
        <f>'Service Economics'!AB34</f>
        <v>717.88248728813562</v>
      </c>
      <c r="H44" s="13">
        <f>'Whitefield Monthly Projection'!$B$15*F44+'Whitefield Monthly Projection'!$B$16*G44-'Whitefield Monthly Projection'!H66</f>
        <v>634.48248728813564</v>
      </c>
      <c r="I44" s="14">
        <f>IF(('Service Economics'!L34+'Whitefield Monthly Projection'!$B$16*'Service Economics'!U34/(1+'Global Inputs'!$B$17))=0,0,H44/('Service Economics'!L34+'Whitefield Monthly Projection'!$B$16*'Service Economics'!U34/(1+'Global Inputs'!$B$17)))</f>
        <v>0.87835365882272887</v>
      </c>
      <c r="J44" s="13">
        <f t="shared" si="1"/>
        <v>211.49416242937855</v>
      </c>
      <c r="K44" s="41">
        <v>5</v>
      </c>
      <c r="L44" s="41">
        <v>1</v>
      </c>
      <c r="M44" s="41">
        <v>1</v>
      </c>
      <c r="N44" s="47">
        <v>1.2</v>
      </c>
      <c r="O44" s="48">
        <f t="shared" si="2"/>
        <v>35.600754226535322</v>
      </c>
      <c r="P44" s="48">
        <f t="shared" si="3"/>
        <v>69.020339401940888</v>
      </c>
      <c r="Q44" s="42" t="str">
        <f t="shared" si="4"/>
        <v>STRATEGIC — Important but lower margin</v>
      </c>
      <c r="R44" s="49">
        <f>'Whitefield Monthly Projection'!G66</f>
        <v>0</v>
      </c>
      <c r="S44" s="42">
        <f t="shared" si="5"/>
        <v>11352105.016339811</v>
      </c>
      <c r="T44" s="14">
        <f t="shared" si="6"/>
        <v>1.3563475072910789E-2</v>
      </c>
      <c r="U44" s="41" t="s">
        <v>301</v>
      </c>
      <c r="V44" s="1">
        <f>'Service Economics'!D34</f>
        <v>0.65</v>
      </c>
      <c r="W44" s="50">
        <f>'Service Economics'!E34</f>
        <v>0</v>
      </c>
      <c r="X44">
        <f t="shared" si="7"/>
        <v>211.49416242937855</v>
      </c>
      <c r="Y44">
        <f t="shared" si="8"/>
        <v>0</v>
      </c>
      <c r="Z44">
        <f>R44*C44*'Service Economics'!F34</f>
        <v>0</v>
      </c>
      <c r="AA44">
        <f>MAX(C44,$C$53)*'Global Inputs'!$B$5*V44+W44</f>
        <v>583.05000000000007</v>
      </c>
      <c r="AB44">
        <f>MAX(C44,'Global Inputs'!$B$22)*'Global Inputs'!$B$5*V44*$C$54+W44</f>
        <v>524.74500000000012</v>
      </c>
      <c r="AC44">
        <f>D44+'Whitefield Monthly Projection'!$B$16*'Service Economics'!V34</f>
        <v>1041.6500000000001</v>
      </c>
      <c r="AD44">
        <f t="shared" si="9"/>
        <v>14.128393809697524</v>
      </c>
      <c r="AE44">
        <f t="shared" si="10"/>
        <v>8.6057874005310637</v>
      </c>
      <c r="AF44">
        <f t="shared" si="11"/>
        <v>4.0690425218732368E-2</v>
      </c>
      <c r="AG44" s="7">
        <f>'Service Economics'!AL34</f>
        <v>268.23159971417113</v>
      </c>
      <c r="AH44" s="7">
        <f>'Service Economics'!AN34</f>
        <v>407.23159971417113</v>
      </c>
      <c r="AI44" s="7">
        <f>'Service Economics'!AP34</f>
        <v>89.410533238057042</v>
      </c>
      <c r="AJ44" s="174">
        <f>'Service Economics'!AQ34</f>
        <v>5</v>
      </c>
      <c r="AK44" s="6" t="str">
        <f>'Service Portfolio'!P34</f>
        <v>OPTIMIZE</v>
      </c>
      <c r="AL44" s="7">
        <f>IF(ISNUMBER(SEARCH("Future",'Service Economics'!AH34)),-1000000000,AG44*(1-'Whitefield Monthly Projection'!$B$16)+AH44*'Whitefield Monthly Projection'!$B$16)</f>
        <v>323.83159971417115</v>
      </c>
      <c r="AM44" s="7">
        <f>IF(ISNUMBER(SEARCH("Future",'Service Economics'!AH34)),-1000000000,AI44)</f>
        <v>89.410533238057042</v>
      </c>
    </row>
    <row r="49" spans="1:9" ht="15">
      <c r="A49" s="445" t="s">
        <v>302</v>
      </c>
      <c r="B49" s="445"/>
      <c r="C49" s="445"/>
      <c r="D49" s="445"/>
      <c r="E49" s="445"/>
      <c r="F49" s="445"/>
      <c r="G49" s="445"/>
      <c r="H49" s="445"/>
      <c r="I49" s="445"/>
    </row>
    <row r="50" spans="1:9">
      <c r="A50" s="33" t="s">
        <v>303</v>
      </c>
      <c r="B50" s="33" t="s">
        <v>304</v>
      </c>
      <c r="C50" s="33" t="s">
        <v>305</v>
      </c>
      <c r="D50" s="33" t="s">
        <v>306</v>
      </c>
      <c r="E50" s="33" t="s">
        <v>238</v>
      </c>
      <c r="F50" s="33" t="s">
        <v>239</v>
      </c>
      <c r="G50" s="33" t="s">
        <v>307</v>
      </c>
      <c r="H50" s="33" t="s">
        <v>308</v>
      </c>
      <c r="I50" s="33" t="s">
        <v>309</v>
      </c>
    </row>
    <row r="51" spans="1:9">
      <c r="A51" t="s">
        <v>310</v>
      </c>
      <c r="B51" s="7">
        <f>'Global Inputs'!$B$5</f>
        <v>299</v>
      </c>
      <c r="C51" s="22">
        <v>499</v>
      </c>
      <c r="D51" s="16">
        <f>'Whitefield Monthly Projection'!$Q$27+'Whitefield Monthly Projection'!$Q$19*(SUM($Y$15:$Y$44)*(C51-B51))</f>
        <v>118966.32792000001</v>
      </c>
      <c r="E51" s="16">
        <f>'Whitefield Monthly Projection'!$Q$32+'Whitefield Monthly Projection'!$Q$19*((SUM($Y$15:$Y$44)*(C51-B51))/(1+'Global Inputs'!$B$7)*(1-'NC Credits'!$B$15)-(SUM($Y$15:$Y$44)*(C51-B51))*'Global Inputs'!$B$8)</f>
        <v>88686.657808901698</v>
      </c>
      <c r="F51" s="16">
        <f>'Whitefield Monthly Projection'!$Q$37+'Whitefield Monthly Projection'!$Q$19*((SUM($Y$15:$Y$44)*(C51-B51))/(1+'Global Inputs'!$B$7)*(1-'NC Credits'!$B$15)-(SUM($Y$15:$Y$44)*(C51-B51))*'Global Inputs'!$B$8)</f>
        <v>-49313.342191098287</v>
      </c>
      <c r="G51" s="16">
        <f>IF('Whitefield Monthly Projection'!$B$6=0,0,F51/'Whitefield Monthly Projection'!$B$6)</f>
        <v>-12328.335547774572</v>
      </c>
      <c r="H51" s="15">
        <f>IF(E51/'Whitefield Monthly Projection'!$Q$19&lt;=0,0,'Whitefield Monthly Projection'!$B$32/(E51/'Whitefield Monthly Projection'!$Q$19))</f>
        <v>58.538230307275278</v>
      </c>
      <c r="I51" s="16">
        <f>F51-'Whitefield Monthly Projection'!$Q$37</f>
        <v>31842.258550169499</v>
      </c>
    </row>
    <row r="52" spans="1:9">
      <c r="A52" t="s">
        <v>311</v>
      </c>
      <c r="B52" s="7">
        <f>'Global Inputs'!$B$6</f>
        <v>0</v>
      </c>
      <c r="C52" s="22">
        <v>160</v>
      </c>
      <c r="D52" s="16">
        <f>'Whitefield Monthly Projection'!$Q$27</f>
        <v>79773.811920000007</v>
      </c>
      <c r="E52" s="16">
        <f>'Whitefield Monthly Projection'!$Q$32-'Whitefield Monthly Projection'!$Q$19*(SUM($Z$15:$Z$44)*(C52-B52))</f>
        <v>29035.695258732201</v>
      </c>
      <c r="F52" s="16">
        <f>'Whitefield Monthly Projection'!$Q$37-'Whitefield Monthly Projection'!$Q$19*(SUM($Z$15:$Z$44)*(C52-B52))</f>
        <v>-108964.30474126778</v>
      </c>
      <c r="G52" s="16">
        <f>IF('Whitefield Monthly Projection'!$B$6=0,0,F52/'Whitefield Monthly Projection'!$B$6)</f>
        <v>-27241.076185316946</v>
      </c>
      <c r="H52" s="15">
        <f>IF(E52/'Whitefield Monthly Projection'!$Q$19&lt;=0,0,'Whitefield Monthly Projection'!$B$32/(E52/'Whitefield Monthly Projection'!$Q$19))</f>
        <v>178.79923155753227</v>
      </c>
      <c r="I52" s="16">
        <f>F52-'Whitefield Monthly Projection'!$Q$37</f>
        <v>-27808.703999999998</v>
      </c>
    </row>
    <row r="53" spans="1:9">
      <c r="A53" t="s">
        <v>312</v>
      </c>
      <c r="B53" s="19">
        <f>'Global Inputs'!$B$22</f>
        <v>2</v>
      </c>
      <c r="C53" s="23">
        <v>3</v>
      </c>
      <c r="D53" s="16">
        <f>'Whitefield Monthly Projection'!$Q$27+'Whitefield Monthly Projection'!$Q$19*(SUMPRODUCT($R$15:$R$44,$AA$15:$AA$44-$D$15:$D$44))</f>
        <v>73485.384390000007</v>
      </c>
      <c r="E53" s="16">
        <f>'Whitefield Monthly Projection'!$Q$32+'Whitefield Monthly Projection'!$Q$19*((SUMPRODUCT($R$15:$R$44,$AA$15:$AA$44-$D$15:$D$44))/(1+'Global Inputs'!$B$7)*(1-'NC Credits'!$B$15)-(SUMPRODUCT($R$15:$R$44,$AA$15:$AA$44-$D$15:$D$44))*'Global Inputs'!$B$8)</f>
        <v>51735.318349400848</v>
      </c>
      <c r="F53" s="16">
        <f>'Whitefield Monthly Projection'!$Q$37+'Whitefield Monthly Projection'!$Q$19*((SUMPRODUCT($R$15:$R$44,$AA$15:$AA$44-$D$15:$D$44))/(1+'Global Inputs'!$B$7)*(1-'NC Credits'!$B$15)-(SUMPRODUCT($R$15:$R$44,$AA$15:$AA$44-$D$15:$D$44))*'Global Inputs'!$B$8)</f>
        <v>-86264.681650599145</v>
      </c>
      <c r="G53" s="16">
        <f>IF('Whitefield Monthly Projection'!$B$6=0,0,F53/'Whitefield Monthly Projection'!$B$6)</f>
        <v>-21566.170412649786</v>
      </c>
      <c r="H53" s="15">
        <f>IF(E53/'Whitefield Monthly Projection'!$Q$19&lt;=0,0,'Whitefield Monthly Projection'!$B$32/(E53/'Whitefield Monthly Projection'!$Q$19))</f>
        <v>100.34846920121687</v>
      </c>
      <c r="I53" s="16">
        <f>F53-'Whitefield Monthly Projection'!$Q$37</f>
        <v>-5109.0809093313583</v>
      </c>
    </row>
    <row r="54" spans="1:9">
      <c r="A54" t="s">
        <v>1335</v>
      </c>
      <c r="B54" s="196">
        <v>1</v>
      </c>
      <c r="C54" s="295">
        <v>0.9</v>
      </c>
      <c r="D54" s="16">
        <f>'Whitefield Monthly Projection'!$Q$27+'Whitefield Monthly Projection'!$Q$19*(SUMPRODUCT($R$15:$R$44,$AB$15:$AB$44-$D$15:$D$44))</f>
        <v>66428.15077800001</v>
      </c>
      <c r="E54" s="16">
        <f>'Whitefield Monthly Projection'!$Q$32+'Whitefield Monthly Projection'!$Q$19*((SUMPRODUCT($R$15:$R$44,$AB$15:$AB$44-$D$15:$D$44))/(1+'Global Inputs'!$B$7)*(1-'NC Credits'!$B$15)-(SUMPRODUCT($R$15:$R$44,$AB$15:$AB$44-$D$15:$D$44))*'Global Inputs'!$B$8)</f>
        <v>46001.615074973393</v>
      </c>
      <c r="F54" s="16">
        <f>'Whitefield Monthly Projection'!$Q$37+'Whitefield Monthly Projection'!$Q$19*((SUMPRODUCT($R$15:$R$44,$AB$15:$AB$44-$D$15:$D$44))/(1+'Global Inputs'!$B$7)*(1-'NC Credits'!$B$15)-(SUMPRODUCT($R$15:$R$44,$AB$15:$AB$44-$D$15:$D$44))*'Global Inputs'!$B$8)</f>
        <v>-91998.384925026592</v>
      </c>
      <c r="G54" s="16">
        <f>IF('Whitefield Monthly Projection'!$B$6=0,0,F54/'Whitefield Monthly Projection'!$B$6)</f>
        <v>-22999.596231256648</v>
      </c>
      <c r="H54" s="15">
        <f>IF(E54/'Whitefield Monthly Projection'!$Q$19&lt;=0,0,'Whitefield Monthly Projection'!$B$32/(E54/'Whitefield Monthly Projection'!$Q$19))</f>
        <v>112.8560375877847</v>
      </c>
      <c r="I54" s="16">
        <f>F54-'Whitefield Monthly Projection'!$Q$37</f>
        <v>-10842.784183758806</v>
      </c>
    </row>
    <row r="55" spans="1:9">
      <c r="A55" t="s">
        <v>28</v>
      </c>
      <c r="B55" s="7">
        <f>'Global Inputs'!$B$16</f>
        <v>149</v>
      </c>
      <c r="C55" s="22">
        <v>199</v>
      </c>
      <c r="D55" s="16">
        <f>'Whitefield Monthly Projection'!$Q$27+'Whitefield Monthly Projection'!$Q$19*'Whitefield Monthly Projection'!$B$16*(C55-B55)</f>
        <v>80526.211920000002</v>
      </c>
      <c r="E55" s="16">
        <f>'Whitefield Monthly Projection'!$Q$32+'Whitefield Monthly Projection'!$Q$19*('Whitefield Monthly Projection'!$B$16*((C55-B55)/(1+'Global Inputs'!$B$17)-(C55-B55)*'Global Inputs'!$B$8))</f>
        <v>57596.799258732208</v>
      </c>
      <c r="F55" s="16">
        <f>'Whitefield Monthly Projection'!$Q$37+'Whitefield Monthly Projection'!$Q$19*('Whitefield Monthly Projection'!$B$16*((C55-B55)/(1+'Global Inputs'!$B$17)-(C55-B55)*'Global Inputs'!$B$8))</f>
        <v>-80403.200741267792</v>
      </c>
      <c r="G55" s="16">
        <f>IF('Whitefield Monthly Projection'!$B$6=0,0,F55/'Whitefield Monthly Projection'!$B$6)</f>
        <v>-20100.800185316948</v>
      </c>
      <c r="H55" s="15">
        <f>IF(E55/'Whitefield Monthly Projection'!$Q$19&lt;=0,0,'Whitefield Monthly Projection'!$B$32/(E55/'Whitefield Monthly Projection'!$Q$19))</f>
        <v>90.136258729913919</v>
      </c>
      <c r="I55" s="16">
        <f>F55-'Whitefield Monthly Projection'!$Q$37</f>
        <v>752.39999999999418</v>
      </c>
    </row>
    <row r="56" spans="1:9">
      <c r="A56" t="s">
        <v>313</v>
      </c>
      <c r="B56" s="7">
        <f>'Global Inputs'!$B$15</f>
        <v>500</v>
      </c>
      <c r="C56" s="22">
        <v>450</v>
      </c>
      <c r="D56" s="16">
        <f>'Whitefield Monthly Projection'!$Q$27+'Whitefield Monthly Projection'!$Q$19*'Whitefield Monthly Projection'!$B$16*(C56-B56)</f>
        <v>79021.411920000013</v>
      </c>
      <c r="E56" s="16">
        <f>'Whitefield Monthly Projection'!$Q$32+'Whitefield Monthly Projection'!$Q$19*(-'Whitefield Monthly Projection'!$B$16*(C56-B56)*'Global Inputs'!$B$8)</f>
        <v>56844.399258732206</v>
      </c>
      <c r="F56" s="16">
        <f>'Whitefield Monthly Projection'!$Q$37+'Whitefield Monthly Projection'!$Q$19*(-'Whitefield Monthly Projection'!$B$16*(C56-B56)*'Global Inputs'!$B$8)</f>
        <v>-81155.600741267786</v>
      </c>
      <c r="G56" s="16">
        <f>IF('Whitefield Monthly Projection'!$B$6=0,0,F56/'Whitefield Monthly Projection'!$B$6)</f>
        <v>-20288.900185316947</v>
      </c>
      <c r="H56" s="15">
        <f>IF(E56/'Whitefield Monthly Projection'!$Q$19&lt;=0,0,'Whitefield Monthly Projection'!$B$32/(E56/'Whitefield Monthly Projection'!$Q$19))</f>
        <v>91.329314192769729</v>
      </c>
      <c r="I56" s="16">
        <f>F56-'Whitefield Monthly Projection'!$Q$37</f>
        <v>0</v>
      </c>
    </row>
    <row r="57" spans="1:9">
      <c r="A57" t="s">
        <v>13</v>
      </c>
      <c r="B57" s="20">
        <f>'Global Inputs'!$B$8</f>
        <v>0</v>
      </c>
      <c r="C57" s="29">
        <v>1.4999999999999999E-2</v>
      </c>
      <c r="D57" s="16">
        <f>'Whitefield Monthly Projection'!$Q$27</f>
        <v>79773.811920000007</v>
      </c>
      <c r="E57" s="16">
        <f>'Whitefield Monthly Projection'!$Q$32-('Whitefield Monthly Projection'!$Q$27*(C57-B57))</f>
        <v>55647.792079932209</v>
      </c>
      <c r="F57" s="16">
        <f>'Whitefield Monthly Projection'!$Q$37-('Whitefield Monthly Projection'!$Q$27*(C57-B57))</f>
        <v>-82352.207920067784</v>
      </c>
      <c r="G57" s="16">
        <f>IF('Whitefield Monthly Projection'!$B$6=0,0,F57/'Whitefield Monthly Projection'!$B$6)</f>
        <v>-20588.051980016946</v>
      </c>
      <c r="H57" s="15">
        <f>IF(E57/'Whitefield Monthly Projection'!$Q$19&lt;=0,0,'Whitefield Monthly Projection'!$B$32/(E57/'Whitefield Monthly Projection'!$Q$19))</f>
        <v>93.293189288496293</v>
      </c>
      <c r="I57" s="16">
        <f>F57-'Whitefield Monthly Projection'!$Q$37</f>
        <v>-1196.6071787999972</v>
      </c>
    </row>
    <row r="58" spans="1:9">
      <c r="A58" t="s">
        <v>314</v>
      </c>
      <c r="B58" s="20">
        <f>'Whitefield Monthly Projection'!$B$9</f>
        <v>1</v>
      </c>
      <c r="C58" s="29">
        <v>0.75</v>
      </c>
      <c r="D58" s="16">
        <f>MIN('Whitefield Monthly Projection'!$Q$10,'Whitefield Monthly Projection'!$B$6*'Whitefield Monthly Projection'!$B$7*'Whitefield Monthly Projection'!$B$8*C58/'Whitefield Monthly Projection'!$S$45,'Whitefield Monthly Projection'!$B$6*'Whitefield Monthly Projection'!$B$10*'Whitefield Monthly Projection'!$B$7)*'Whitefield Monthly Projection'!$S$52</f>
        <v>79773.811919999993</v>
      </c>
      <c r="E58" s="16">
        <f>MIN('Whitefield Monthly Projection'!$Q$10,'Whitefield Monthly Projection'!$B$6*'Whitefield Monthly Projection'!$B$7*'Whitefield Monthly Projection'!$B$8*C58/'Whitefield Monthly Projection'!$S$45,'Whitefield Monthly Projection'!$B$6*'Whitefield Monthly Projection'!$B$10*'Whitefield Monthly Projection'!$B$7)*'Whitefield Monthly Projection'!$S$51</f>
        <v>56844.399258732206</v>
      </c>
      <c r="F58" s="16">
        <f>E58-'Whitefield Monthly Projection'!$B$32</f>
        <v>-81155.600741267786</v>
      </c>
      <c r="G58" s="16">
        <f>IF('Whitefield Monthly Projection'!$B$6=0,0,F58/'Whitefield Monthly Projection'!$B$6)</f>
        <v>-20288.900185316947</v>
      </c>
      <c r="H58" s="15">
        <f>IF(E58/'Whitefield Monthly Projection'!$Q$19&lt;=0,0,'Whitefield Monthly Projection'!$B$32/(E58/'Whitefield Monthly Projection'!$Q$19))</f>
        <v>91.329314192769729</v>
      </c>
      <c r="I58" s="16">
        <f>F58-'Whitefield Monthly Projection'!$Q$37</f>
        <v>0</v>
      </c>
    </row>
    <row r="59" spans="1:9">
      <c r="A59" t="s">
        <v>315</v>
      </c>
      <c r="B59" t="s">
        <v>316</v>
      </c>
      <c r="C59" t="s">
        <v>317</v>
      </c>
      <c r="D59" s="16">
        <f>MIN('Whitefield Monthly Projection'!$Q$10,'Whitefield Monthly Projection'!$B$6*'Whitefield Monthly Projection'!$B$7*'Whitefield Monthly Projection'!$B$8*'Whitefield Monthly Projection'!$B$9/SUM($AF$15:$AF$44),'Whitefield Monthly Projection'!$B$6*'Whitefield Monthly Projection'!$B$10*'Whitefield Monthly Projection'!$B$7)*SUM($AD$15:$AD$44)</f>
        <v>162653.82468361457</v>
      </c>
      <c r="E59" s="16">
        <f>MIN('Whitefield Monthly Projection'!$Q$10,'Whitefield Monthly Projection'!$B$6*'Whitefield Monthly Projection'!$B$7*'Whitefield Monthly Projection'!$B$8*'Whitefield Monthly Projection'!$B$9/SUM($AF$15:$AF$44),'Whitefield Monthly Projection'!$B$6*'Whitefield Monthly Projection'!$B$10*'Whitefield Monthly Projection'!$B$7)*SUM($AE$15:$AE$44)</f>
        <v>124180.89776422144</v>
      </c>
      <c r="F59" s="16">
        <f>E59-'Whitefield Monthly Projection'!$B$32</f>
        <v>-13819.102235778555</v>
      </c>
      <c r="G59" s="16">
        <f>IF('Whitefield Monthly Projection'!$B$6=0,0,F59/'Whitefield Monthly Projection'!$B$6)</f>
        <v>-3454.7755589446388</v>
      </c>
      <c r="H59" s="15">
        <f>IF(E59/'Whitefield Monthly Projection'!$Q$19&lt;=0,0,'Whitefield Monthly Projection'!$B$32/(E59/'Whitefield Monthly Projection'!$Q$19))</f>
        <v>41.806429921750606</v>
      </c>
      <c r="I59" s="16">
        <f>F59-'Whitefield Monthly Projection'!$Q$37</f>
        <v>67336.498505489231</v>
      </c>
    </row>
    <row r="60" spans="1:9">
      <c r="A60" t="s">
        <v>318</v>
      </c>
      <c r="B60" s="20">
        <f>'Whitefield Monthly Projection'!$B$17</f>
        <v>0.2</v>
      </c>
      <c r="C60" s="29">
        <v>0.4</v>
      </c>
      <c r="D60" s="16">
        <f>'Whitefield Monthly Projection'!$Q$27</f>
        <v>79773.811920000007</v>
      </c>
      <c r="E60" s="16">
        <f>'Whitefield Monthly Projection'!$Q$32+('Whitefield Monthly Projection'!$Q$19*(C60-B60)*'Global Inputs'!$B$20)</f>
        <v>59094.075258732206</v>
      </c>
      <c r="F60" s="16">
        <f>'Whitefield Monthly Projection'!$Q$37+('Whitefield Monthly Projection'!$Q$19*(C60-B60)*'Global Inputs'!$B$20)</f>
        <v>-78905.92474126778</v>
      </c>
      <c r="G60" s="16">
        <f>IF('Whitefield Monthly Projection'!$B$6=0,0,F60/'Whitefield Monthly Projection'!$B$6)</f>
        <v>-19726.481185316945</v>
      </c>
      <c r="H60" s="15">
        <f>IF(E60/'Whitefield Monthly Projection'!$Q$19&lt;=0,0,'Whitefield Monthly Projection'!$B$32/(E60/'Whitefield Monthly Projection'!$Q$19))</f>
        <v>87.852461981505584</v>
      </c>
      <c r="I60" s="16">
        <f>F60-'Whitefield Monthly Projection'!$Q$37</f>
        <v>2249.6760000000068</v>
      </c>
    </row>
    <row r="61" spans="1:9">
      <c r="A61" t="s">
        <v>147</v>
      </c>
      <c r="B61" s="20">
        <f>'Whitefield Monthly Projection'!$B$13</f>
        <v>0.12</v>
      </c>
      <c r="C61" s="29">
        <v>0.05</v>
      </c>
      <c r="D61" s="16">
        <f>MIN(('Whitefield Monthly Projection'!$Q$7*(1-C61)*(1-'Whitefield Monthly Projection'!$B$14)),'Whitefield Monthly Projection'!$B$6*'Whitefield Monthly Projection'!$B$7*'Whitefield Monthly Projection'!$B$8*'Whitefield Monthly Projection'!$B$9/'Whitefield Monthly Projection'!$S$45,'Whitefield Monthly Projection'!$B$6*'Whitefield Monthly Projection'!$B$10*'Whitefield Monthly Projection'!$B$7)*'Whitefield Monthly Projection'!$S$52</f>
        <v>86119.456049999979</v>
      </c>
      <c r="E61" s="16">
        <f>MIN(('Whitefield Monthly Projection'!$Q$7*(1-C61)*(1-'Whitefield Monthly Projection'!$B$14)),'Whitefield Monthly Projection'!$B$6*'Whitefield Monthly Projection'!$B$7*'Whitefield Monthly Projection'!$B$8*'Whitefield Monthly Projection'!$B$9/'Whitefield Monthly Projection'!$S$45,'Whitefield Monthly Projection'!$B$6*'Whitefield Monthly Projection'!$B$10*'Whitefield Monthly Projection'!$B$7)*'Whitefield Monthly Projection'!$S$51</f>
        <v>61366.112836131346</v>
      </c>
      <c r="F61" s="16">
        <f>E61-'Whitefield Monthly Projection'!$B$32</f>
        <v>-76633.887163868654</v>
      </c>
      <c r="G61" s="16">
        <f>IF('Whitefield Monthly Projection'!$B$6=0,0,F61/'Whitefield Monthly Projection'!$B$6)</f>
        <v>-19158.471790967164</v>
      </c>
      <c r="H61" s="15">
        <f>IF(E61/'Whitefield Monthly Projection'!$Q$19&lt;=0,0,'Whitefield Monthly Projection'!$B$32/(E61/'Whitefield Monthly Projection'!$Q$19))</f>
        <v>84.599785778565661</v>
      </c>
      <c r="I61" s="16">
        <f>F61-'Whitefield Monthly Projection'!$Q$37</f>
        <v>4521.7135773991322</v>
      </c>
    </row>
    <row r="62" spans="1:9">
      <c r="A62" t="s">
        <v>319</v>
      </c>
      <c r="B62" s="19">
        <f>'Whitefield Monthly Projection'!$B$11</f>
        <v>6</v>
      </c>
      <c r="C62" s="23">
        <v>20</v>
      </c>
      <c r="D62" s="16">
        <f>MIN((C62*'Whitefield Monthly Projection'!$B$7*'Whitefield Monthly Projection'!$B$12*(1-'Whitefield Monthly Projection'!$B$13)*(1-'Whitefield Monthly Projection'!$B$14)),'Whitefield Monthly Projection'!$B$6*'Whitefield Monthly Projection'!$B$7*'Whitefield Monthly Projection'!$B$8*'Whitefield Monthly Projection'!$B$9/'Whitefield Monthly Projection'!$S$45,'Whitefield Monthly Projection'!$B$6*'Whitefield Monthly Projection'!$B$10*'Whitefield Monthly Projection'!$B$7)*'Whitefield Monthly Projection'!$S$52</f>
        <v>265912.70639999991</v>
      </c>
      <c r="E62" s="16">
        <f>MIN((C62*'Whitefield Monthly Projection'!$B$7*'Whitefield Monthly Projection'!$B$12*(1-'Whitefield Monthly Projection'!$B$13)*(1-'Whitefield Monthly Projection'!$B$14)),'Whitefield Monthly Projection'!$B$6*'Whitefield Monthly Projection'!$B$7*'Whitefield Monthly Projection'!$B$8*'Whitefield Monthly Projection'!$B$9/'Whitefield Monthly Projection'!$S$45,'Whitefield Monthly Projection'!$B$6*'Whitefield Monthly Projection'!$B$10*'Whitefield Monthly Projection'!$B$7)*'Whitefield Monthly Projection'!$S$51</f>
        <v>189481.33086244066</v>
      </c>
      <c r="F62" s="16">
        <f>E62-'Whitefield Monthly Projection'!$B$32</f>
        <v>51481.330862440664</v>
      </c>
      <c r="G62" s="16">
        <f>F62/'Whitefield Monthly Projection'!$B$6</f>
        <v>12870.332715610166</v>
      </c>
      <c r="H62" s="15">
        <f>'Whitefield Monthly Projection'!$B$32/'Whitefield Monthly Projection'!$S$51</f>
        <v>91.329314192769729</v>
      </c>
      <c r="I62" s="16">
        <f>F62-'Whitefield Monthly Projection'!$Q$37</f>
        <v>132636.93160370845</v>
      </c>
    </row>
    <row r="63" spans="1:9">
      <c r="A63" t="s">
        <v>320</v>
      </c>
      <c r="B63" s="7">
        <f>'Whitefield Monthly Projection'!$B$32</f>
        <v>138000</v>
      </c>
      <c r="C63" s="22">
        <v>150000</v>
      </c>
      <c r="D63" s="16">
        <f>'Whitefield Monthly Projection'!$Q$27</f>
        <v>79773.811920000007</v>
      </c>
      <c r="E63" s="16">
        <f>'Whitefield Monthly Projection'!$Q$32</f>
        <v>56844.399258732206</v>
      </c>
      <c r="F63" s="16">
        <f>E63-C63</f>
        <v>-93155.600741267786</v>
      </c>
      <c r="G63" s="16">
        <f>F63/'Whitefield Monthly Projection'!$B$6</f>
        <v>-23288.900185316947</v>
      </c>
      <c r="H63" s="15">
        <f>C63/'Whitefield Monthly Projection'!$S$51</f>
        <v>99.270993687793194</v>
      </c>
      <c r="I63" s="16">
        <f>F63-'Whitefield Monthly Projection'!$Q$37</f>
        <v>-12000</v>
      </c>
    </row>
    <row r="64" spans="1:9" ht="15">
      <c r="A64" s="445"/>
      <c r="B64" s="445"/>
      <c r="C64" s="445"/>
      <c r="D64" s="445"/>
      <c r="E64" s="445"/>
    </row>
    <row r="65" spans="1:9" ht="15">
      <c r="A65" s="25"/>
      <c r="B65" s="25"/>
      <c r="C65" s="25"/>
      <c r="D65" s="25"/>
    </row>
    <row r="66" spans="1:9">
      <c r="B66" s="15"/>
      <c r="C66" s="15"/>
      <c r="D66" s="15"/>
    </row>
    <row r="67" spans="1:9" ht="15">
      <c r="A67" s="445" t="s">
        <v>321</v>
      </c>
      <c r="B67" s="449"/>
      <c r="C67" s="449"/>
      <c r="D67" s="449"/>
      <c r="E67" s="445"/>
    </row>
    <row r="68" spans="1:9" ht="15">
      <c r="A68" s="25" t="s">
        <v>235</v>
      </c>
      <c r="B68" s="52" t="s">
        <v>322</v>
      </c>
      <c r="C68" s="52" t="s">
        <v>323</v>
      </c>
      <c r="D68" s="52" t="s">
        <v>324</v>
      </c>
    </row>
    <row r="69" spans="1:9">
      <c r="A69" t="s">
        <v>156</v>
      </c>
      <c r="B69" s="15">
        <f>SUMPRODUCT($R$15:$R$44,$C$15:$C$44)</f>
        <v>4.62</v>
      </c>
      <c r="C69" s="15">
        <f>SUM($AF$15:$AF$44)</f>
        <v>7.0468397731838754</v>
      </c>
      <c r="D69" s="15">
        <f t="shared" ref="D69:D74" si="12">C69-B69</f>
        <v>2.4268397731838753</v>
      </c>
    </row>
    <row r="70" spans="1:9">
      <c r="A70" t="s">
        <v>325</v>
      </c>
      <c r="B70" s="15">
        <f>'Whitefield Monthly Projection'!$Q$19</f>
        <v>37.620000000000005</v>
      </c>
      <c r="C70" s="15">
        <f>MIN('Whitefield Monthly Projection'!$Q$10,'Whitefield Monthly Projection'!$B$6*'Whitefield Monthly Projection'!$B$7*'Whitefield Monthly Projection'!$B$8*'Whitefield Monthly Projection'!$B$9/SUM($AF$15:$AF$44),'Whitefield Monthly Projection'!$B$6*'Whitefield Monthly Projection'!$B$10*'Whitefield Monthly Projection'!$B$7)</f>
        <v>37.620000000000005</v>
      </c>
      <c r="D70" s="15">
        <f t="shared" si="12"/>
        <v>0</v>
      </c>
    </row>
    <row r="71" spans="1:9">
      <c r="A71" t="s">
        <v>326</v>
      </c>
      <c r="B71" s="16">
        <f>'Whitefield Monthly Projection'!$Q$27</f>
        <v>79773.811920000007</v>
      </c>
      <c r="C71" s="16">
        <f>MIN('Whitefield Monthly Projection'!$Q$10,'Whitefield Monthly Projection'!$B$6*'Whitefield Monthly Projection'!$B$7*'Whitefield Monthly Projection'!$B$8*'Whitefield Monthly Projection'!$B$9/SUM($AF$15:$AF$44),'Whitefield Monthly Projection'!$B$6*'Whitefield Monthly Projection'!$B$10*'Whitefield Monthly Projection'!$B$7)*SUM($AD$15:$AD$44)</f>
        <v>162653.82468361457</v>
      </c>
      <c r="D71" s="16">
        <f t="shared" si="12"/>
        <v>82880.012763614563</v>
      </c>
    </row>
    <row r="72" spans="1:9">
      <c r="A72" t="s">
        <v>327</v>
      </c>
      <c r="B72" s="16">
        <f>'Whitefield Monthly Projection'!$Q$32</f>
        <v>56844.399258732206</v>
      </c>
      <c r="C72" s="16">
        <f>MIN('Whitefield Monthly Projection'!$Q$10,'Whitefield Monthly Projection'!$B$6*'Whitefield Monthly Projection'!$B$7*'Whitefield Monthly Projection'!$B$8*'Whitefield Monthly Projection'!$B$9/SUM($AF$15:$AF$44),'Whitefield Monthly Projection'!$B$6*'Whitefield Monthly Projection'!$B$10*'Whitefield Monthly Projection'!$B$7)*SUM($AE$15:$AE$44)</f>
        <v>124180.89776422144</v>
      </c>
      <c r="D72" s="16">
        <f t="shared" si="12"/>
        <v>67336.498505489231</v>
      </c>
    </row>
    <row r="73" spans="1:9">
      <c r="A73" s="446" t="s">
        <v>328</v>
      </c>
      <c r="B73" s="448">
        <f>'Whitefield Monthly Projection'!$Q$35</f>
        <v>327.05960987599968</v>
      </c>
      <c r="C73" s="448">
        <f>IF(C70*C69=0,0,C72/(C70*C69))</f>
        <v>468.42666285158992</v>
      </c>
      <c r="D73" s="448">
        <f t="shared" si="12"/>
        <v>141.36705297559024</v>
      </c>
      <c r="E73" s="446"/>
      <c r="F73" s="446"/>
      <c r="G73" s="446"/>
      <c r="H73" s="446"/>
      <c r="I73" s="446"/>
    </row>
    <row r="74" spans="1:9">
      <c r="A74" s="446" t="s">
        <v>329</v>
      </c>
      <c r="B74" s="448">
        <f>'Whitefield Monthly Projection'!$Q$37</f>
        <v>-81155.600741267786</v>
      </c>
      <c r="C74" s="448">
        <f>C72-'Whitefield Monthly Projection'!$B$32</f>
        <v>-13819.102235778555</v>
      </c>
      <c r="D74" s="448">
        <f t="shared" si="12"/>
        <v>67336.498505489231</v>
      </c>
      <c r="E74" s="446"/>
      <c r="F74" s="446"/>
      <c r="G74" s="446"/>
      <c r="H74" s="446"/>
      <c r="I74" s="446"/>
    </row>
    <row r="75" spans="1:9">
      <c r="A75" s="446"/>
      <c r="B75" s="446"/>
      <c r="C75" s="446"/>
      <c r="D75" s="446"/>
      <c r="E75" s="446"/>
      <c r="F75" s="446"/>
      <c r="G75" s="446"/>
      <c r="H75" s="446"/>
      <c r="I75" s="446"/>
    </row>
    <row r="76" spans="1:9">
      <c r="A76" s="446" t="s">
        <v>330</v>
      </c>
      <c r="B76" s="446"/>
      <c r="C76" s="446"/>
      <c r="D76" s="446"/>
      <c r="E76" s="446"/>
      <c r="F76" s="446"/>
      <c r="G76" s="446"/>
      <c r="H76" s="446"/>
      <c r="I76" s="446"/>
    </row>
    <row r="77" spans="1:9">
      <c r="A77" s="446"/>
      <c r="B77" s="446"/>
      <c r="C77" s="446"/>
      <c r="D77" s="446"/>
      <c r="E77" s="446"/>
      <c r="F77" s="446"/>
      <c r="G77" s="446"/>
      <c r="H77" s="446"/>
      <c r="I77" s="446"/>
    </row>
    <row r="78" spans="1:9">
      <c r="A78" s="446"/>
      <c r="B78" s="446"/>
      <c r="C78" s="446"/>
      <c r="D78" s="446"/>
      <c r="E78" s="446"/>
      <c r="F78" s="446"/>
      <c r="G78" s="446"/>
      <c r="H78" s="446"/>
      <c r="I78" s="446"/>
    </row>
  </sheetData>
  <mergeCells count="10">
    <mergeCell ref="A1:AZ1"/>
    <mergeCell ref="A2:AZ2"/>
    <mergeCell ref="A4:H4"/>
    <mergeCell ref="A13:W13"/>
    <mergeCell ref="A11:H12"/>
    <mergeCell ref="A49:I49"/>
    <mergeCell ref="A64:E64"/>
    <mergeCell ref="A73:I75"/>
    <mergeCell ref="A67:E67"/>
    <mergeCell ref="A76:I78"/>
  </mergeCells>
  <conditionalFormatting sqref="D66:D71">
    <cfRule type="expression" dxfId="71" priority="4">
      <formula>D66&gt;0</formula>
    </cfRule>
  </conditionalFormatting>
  <conditionalFormatting sqref="H15:H44">
    <cfRule type="expression" dxfId="70" priority="2">
      <formula>H15&lt;0</formula>
    </cfRule>
  </conditionalFormatting>
  <conditionalFormatting sqref="I51:I61">
    <cfRule type="dataBar" priority="3">
      <dataBar>
        <cfvo type="min"/>
        <cfvo type="max"/>
        <color rgb="FFA02B93"/>
      </dataBar>
    </cfRule>
    <cfRule type="dataBar" priority="6">
      <dataBar>
        <cfvo type="min"/>
        <cfvo type="max"/>
        <color rgb="FFA02B93"/>
      </dataBar>
    </cfRule>
    <cfRule type="dataBar" priority="7">
      <dataBar>
        <cfvo type="min"/>
        <cfvo type="max"/>
        <color rgb="FFA02B93"/>
      </dataBar>
      <extLst>
        <ext xmlns:x14="http://schemas.microsoft.com/office/spreadsheetml/2009/9/main" uri="{B025F937-C7B1-47D3-B67F-A62EFF666E3E}">
          <x14:id>{A41C1B7E-EEB6-7771-FEC9-2021CB6C4F23}</x14:id>
        </ext>
      </extLst>
    </cfRule>
  </conditionalFormatting>
  <conditionalFormatting sqref="J15:J44">
    <cfRule type="dataBar" priority="1">
      <dataBar>
        <cfvo type="min"/>
        <cfvo type="max"/>
        <color rgb="FFA02B93"/>
      </dataBar>
    </cfRule>
    <cfRule type="dataBar" priority="5">
      <dataBar>
        <cfvo type="min"/>
        <cfvo type="max"/>
        <color rgb="FFA02B93"/>
      </dataBar>
    </cfRule>
    <cfRule type="dataBar" priority="8">
      <dataBar>
        <cfvo type="min"/>
        <cfvo type="max"/>
        <color rgb="FFA02B93"/>
      </dataBar>
      <extLst>
        <ext xmlns:x14="http://schemas.microsoft.com/office/spreadsheetml/2009/9/main" uri="{B025F937-C7B1-47D3-B67F-A62EFF666E3E}">
          <x14:id>{F7E0F983-0BC2-731A-10C0-852610AA9219}</x14:id>
        </ext>
      </extLst>
    </cfRule>
  </conditionalFormatting>
  <dataValidations count="1">
    <dataValidation type="list" sqref="U15:U44" xr:uid="{00000000-0002-0000-0500-000000000000}">
      <formula1>"Yes,No"</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1C1B7E-EEB6-7771-FEC9-2021CB6C4F23}">
            <x14:dataBar>
              <x14:cfvo type="min"/>
              <x14:cfvo type="max"/>
              <x14:negativeFillColor auto="1"/>
              <x14:axisColor auto="1"/>
            </x14:dataBar>
          </x14:cfRule>
          <xm:sqref>I51:I61</xm:sqref>
        </x14:conditionalFormatting>
        <x14:conditionalFormatting xmlns:xm="http://schemas.microsoft.com/office/excel/2006/main">
          <x14:cfRule type="dataBar" id="{F7E0F983-0BC2-731A-10C0-852610AA9219}">
            <x14:dataBar>
              <x14:cfvo type="min"/>
              <x14:cfvo type="max"/>
              <x14:negativeFillColor auto="1"/>
              <x14:axisColor auto="1"/>
            </x14:dataBar>
          </x14:cfRule>
          <xm:sqref>J15:J44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40"/>
  <sheetViews>
    <sheetView workbookViewId="0"/>
  </sheetViews>
  <sheetFormatPr baseColWidth="10" defaultColWidth="8.83203125" defaultRowHeight="14"/>
  <cols>
    <col min="1" max="1" width="28" customWidth="1"/>
    <col min="2" max="3" width="18" customWidth="1"/>
    <col min="4" max="4" width="19" customWidth="1"/>
    <col min="5" max="5" width="34" customWidth="1"/>
    <col min="6" max="6" width="14" customWidth="1"/>
    <col min="7" max="7" width="32" customWidth="1"/>
    <col min="8" max="10" width="18" customWidth="1"/>
    <col min="11" max="11" width="26" customWidth="1"/>
    <col min="12" max="12" width="28" customWidth="1"/>
    <col min="13" max="13" width="20" customWidth="1"/>
    <col min="14" max="20" width="13" customWidth="1"/>
    <col min="21" max="22" width="20" customWidth="1"/>
  </cols>
  <sheetData>
    <row r="1" spans="1:13" ht="53.25" customHeight="1">
      <c r="A1" s="458" t="s">
        <v>1336</v>
      </c>
      <c r="B1" s="458"/>
      <c r="C1" s="458"/>
      <c r="D1" s="458"/>
      <c r="E1" s="458"/>
      <c r="F1" s="458"/>
      <c r="G1" s="458"/>
      <c r="H1" s="458"/>
      <c r="I1" s="458"/>
      <c r="J1" s="458"/>
      <c r="K1" s="458"/>
      <c r="L1" s="458"/>
      <c r="M1" s="458"/>
    </row>
    <row r="2" spans="1:13" ht="53.25" customHeight="1">
      <c r="A2" s="459" t="s">
        <v>1337</v>
      </c>
      <c r="B2" s="459"/>
      <c r="C2" s="459"/>
      <c r="D2" s="459"/>
      <c r="E2" s="459"/>
      <c r="F2" s="459"/>
      <c r="G2" s="459"/>
      <c r="H2" s="459"/>
      <c r="I2" s="459"/>
      <c r="J2" s="459"/>
      <c r="K2" s="459"/>
      <c r="L2" s="459"/>
      <c r="M2" s="459"/>
    </row>
    <row r="3" spans="1:13">
      <c r="A3" s="1"/>
      <c r="B3" s="1"/>
      <c r="C3" s="1"/>
      <c r="D3" s="1"/>
      <c r="E3" s="1"/>
      <c r="F3" s="1"/>
      <c r="G3" s="1"/>
      <c r="H3" s="1"/>
      <c r="I3" s="1"/>
      <c r="J3" s="1"/>
      <c r="K3" s="1"/>
      <c r="L3" s="1"/>
      <c r="M3" s="1"/>
    </row>
    <row r="4" spans="1:13" ht="32">
      <c r="A4" s="54" t="s">
        <v>331</v>
      </c>
      <c r="B4" s="60">
        <v>0</v>
      </c>
      <c r="C4" s="1"/>
      <c r="D4" s="54" t="s">
        <v>332</v>
      </c>
      <c r="E4" s="53" t="str">
        <f>IF('Whitefield Monthly Projection'!$Q$34&lt;=0,"RED — Negative unit economics",IF('Whitefield Monthly Projection'!$Q$37&gt;=0,"GREEN — Operating profit positive","AMBER — Unit economics positive; volume / overhead gap"))</f>
        <v>AMBER — Unit economics positive; volume / overhead gap</v>
      </c>
      <c r="F4" s="1"/>
      <c r="G4" s="54" t="s">
        <v>333</v>
      </c>
      <c r="H4" s="61" t="str">
        <f>IF('Whitefield Monthly Projection'!$Q$19&lt;=$H$8,"Ultra-Lean Pilot",IF('Whitefield Monthly Projection'!$Q$19&lt;=$I$8,"Lean MVP","Full Team"))</f>
        <v>Ultra-Lean Pilot</v>
      </c>
      <c r="I4" s="1"/>
      <c r="J4" s="1"/>
      <c r="K4" s="1"/>
      <c r="L4" s="1"/>
      <c r="M4" s="1"/>
    </row>
    <row r="5" spans="1:13">
      <c r="A5" s="1"/>
      <c r="B5" s="1"/>
      <c r="C5" s="1"/>
      <c r="D5" s="1"/>
      <c r="E5" s="1"/>
      <c r="F5" s="1"/>
      <c r="G5" s="1"/>
      <c r="H5" s="1"/>
      <c r="I5" s="1"/>
      <c r="J5" s="1"/>
      <c r="K5" s="1"/>
      <c r="L5" s="1"/>
      <c r="M5" s="1"/>
    </row>
    <row r="6" spans="1:13" ht="42.75" customHeight="1">
      <c r="A6" s="456" t="s">
        <v>334</v>
      </c>
      <c r="B6" s="456"/>
      <c r="C6" s="456"/>
      <c r="D6" s="456"/>
      <c r="E6" s="1"/>
      <c r="F6" s="1"/>
      <c r="G6" s="456" t="s">
        <v>335</v>
      </c>
      <c r="H6" s="456"/>
      <c r="I6" s="456"/>
      <c r="J6" s="456"/>
      <c r="K6" s="456"/>
      <c r="L6" s="456"/>
      <c r="M6" s="456"/>
    </row>
    <row r="7" spans="1:13" ht="16">
      <c r="A7" s="54" t="s">
        <v>235</v>
      </c>
      <c r="B7" s="54" t="s">
        <v>336</v>
      </c>
      <c r="C7" s="1"/>
      <c r="D7" s="54" t="s">
        <v>337</v>
      </c>
      <c r="E7" s="54" t="s">
        <v>2</v>
      </c>
      <c r="F7" s="1"/>
      <c r="G7" s="54" t="s">
        <v>338</v>
      </c>
      <c r="H7" s="54" t="s">
        <v>339</v>
      </c>
      <c r="I7" s="54" t="s">
        <v>340</v>
      </c>
      <c r="J7" s="54" t="s">
        <v>4</v>
      </c>
      <c r="K7" s="1"/>
      <c r="L7" s="54" t="s">
        <v>341</v>
      </c>
      <c r="M7" s="54" t="s">
        <v>2</v>
      </c>
    </row>
    <row r="8" spans="1:13" ht="30">
      <c r="A8" s="1" t="s">
        <v>342</v>
      </c>
      <c r="B8" s="45">
        <f>'Whitefield Monthly Projection'!$Q$19</f>
        <v>37.620000000000005</v>
      </c>
      <c r="C8" s="1"/>
      <c r="D8" s="1" t="s">
        <v>343</v>
      </c>
      <c r="E8" s="12">
        <f>MAX('Whitefield Monthly Projection'!$Q$36-'Whitefield Monthly Projection'!$Q$32,0)</f>
        <v>81155.600741267786</v>
      </c>
      <c r="F8" s="1"/>
      <c r="G8" s="1" t="s">
        <v>344</v>
      </c>
      <c r="H8" s="63">
        <v>50</v>
      </c>
      <c r="I8" s="63">
        <v>150</v>
      </c>
      <c r="J8" s="1" t="s">
        <v>345</v>
      </c>
      <c r="K8" s="1"/>
      <c r="L8" s="1" t="s">
        <v>346</v>
      </c>
      <c r="M8" s="45">
        <f>'Whitefield Monthly Projection'!$Q$19</f>
        <v>37.620000000000005</v>
      </c>
    </row>
    <row r="9" spans="1:13" ht="30">
      <c r="A9" s="1" t="s">
        <v>347</v>
      </c>
      <c r="B9" s="45">
        <f>'Whitefield Monthly Projection'!$Q$19/'Whitefield Monthly Projection'!$B$7</f>
        <v>1.2540000000000002</v>
      </c>
      <c r="C9" s="1"/>
      <c r="D9" s="1" t="s">
        <v>348</v>
      </c>
      <c r="E9" s="12">
        <f>'Whitefield Monthly Projection'!$Q$36+$B$4</f>
        <v>138000</v>
      </c>
      <c r="F9" s="1"/>
      <c r="G9" s="1"/>
      <c r="H9" s="1"/>
      <c r="I9" s="1"/>
      <c r="J9" s="1"/>
      <c r="K9" s="1"/>
      <c r="L9" s="1" t="s">
        <v>349</v>
      </c>
      <c r="M9" s="40" t="str">
        <f>$H$4</f>
        <v>Ultra-Lean Pilot</v>
      </c>
    </row>
    <row r="10" spans="1:13" ht="31">
      <c r="A10" s="1" t="s">
        <v>117</v>
      </c>
      <c r="B10" s="45">
        <f>'Whitefield Monthly Projection'!$B$6</f>
        <v>4</v>
      </c>
      <c r="C10" s="1"/>
      <c r="D10" s="1" t="s">
        <v>350</v>
      </c>
      <c r="E10" s="12">
        <f>MAX(E9-'Whitefield Monthly Projection'!$Q$32,0)</f>
        <v>81155.600741267786</v>
      </c>
      <c r="F10" s="1"/>
      <c r="G10" s="54" t="s">
        <v>351</v>
      </c>
      <c r="H10" s="54" t="s">
        <v>352</v>
      </c>
      <c r="I10" s="54" t="s">
        <v>353</v>
      </c>
      <c r="J10" s="54" t="s">
        <v>354</v>
      </c>
      <c r="K10" s="54" t="s">
        <v>355</v>
      </c>
      <c r="L10" s="1" t="s">
        <v>356</v>
      </c>
      <c r="M10" s="12">
        <f>'Whitefield Monthly Projection'!$Q$36</f>
        <v>138000</v>
      </c>
    </row>
    <row r="11" spans="1:13" ht="30">
      <c r="A11" s="1" t="s">
        <v>314</v>
      </c>
      <c r="B11" s="64">
        <f>'Whitefield Monthly Projection'!$Q$21</f>
        <v>0.18104625000000002</v>
      </c>
      <c r="C11" s="1"/>
      <c r="D11" s="1" t="s">
        <v>357</v>
      </c>
      <c r="E11" s="12">
        <f>'Whitefield Monthly Projection'!$Q$34</f>
        <v>1511.0153976271185</v>
      </c>
      <c r="F11" s="1"/>
      <c r="G11" s="1" t="s">
        <v>358</v>
      </c>
      <c r="H11" s="56">
        <v>20000</v>
      </c>
      <c r="I11" s="56">
        <v>45000</v>
      </c>
      <c r="J11" s="164">
        <v>60000</v>
      </c>
      <c r="K11" s="1" t="s">
        <v>359</v>
      </c>
      <c r="L11" s="1" t="s">
        <v>360</v>
      </c>
      <c r="M11" s="12">
        <f>IF($H$4="Ultra-Lean Pilot",$H$20,IF($H$4="Lean MVP",$I$20,$J$20))</f>
        <v>110000</v>
      </c>
    </row>
    <row r="12" spans="1:13" ht="45">
      <c r="A12" s="1" t="s">
        <v>326</v>
      </c>
      <c r="B12" s="12">
        <f>'Whitefield Monthly Projection'!$Q$27</f>
        <v>79773.811920000007</v>
      </c>
      <c r="C12" s="1"/>
      <c r="D12" s="1" t="s">
        <v>361</v>
      </c>
      <c r="E12" s="12">
        <f>IF(E11&lt;=0,0,E9/E11)</f>
        <v>91.329314192769729</v>
      </c>
      <c r="F12" s="1"/>
      <c r="G12" s="1" t="s">
        <v>173</v>
      </c>
      <c r="H12" s="56">
        <v>0</v>
      </c>
      <c r="I12" s="56">
        <v>15000</v>
      </c>
      <c r="J12" s="164">
        <v>35000</v>
      </c>
      <c r="K12" s="1" t="s">
        <v>362</v>
      </c>
      <c r="L12" s="1" t="s">
        <v>363</v>
      </c>
      <c r="M12" s="12">
        <f>MAX(M10-M11,0)</f>
        <v>28000</v>
      </c>
    </row>
    <row r="13" spans="1:13" ht="30">
      <c r="A13" s="1" t="s">
        <v>199</v>
      </c>
      <c r="B13" s="12">
        <f>'Whitefield Monthly Projection'!$Q$30</f>
        <v>69094.677355932217</v>
      </c>
      <c r="C13" s="1"/>
      <c r="D13" s="1" t="s">
        <v>364</v>
      </c>
      <c r="E13" s="45">
        <f>IF('Whitefield Monthly Projection'!$B$7=0,0,E12/'Whitefield Monthly Projection'!$B$7)</f>
        <v>3.0443104730923243</v>
      </c>
      <c r="F13" s="1"/>
      <c r="G13" s="1" t="s">
        <v>177</v>
      </c>
      <c r="H13" s="56">
        <v>8000</v>
      </c>
      <c r="I13" s="56">
        <v>12000</v>
      </c>
      <c r="J13" s="164">
        <v>20000</v>
      </c>
      <c r="K13" s="1" t="s">
        <v>365</v>
      </c>
      <c r="L13" s="1" t="s">
        <v>366</v>
      </c>
      <c r="M13" s="12">
        <f>'Whitefield Monthly Projection'!$Q$32-M11</f>
        <v>-53155.600741267794</v>
      </c>
    </row>
    <row r="14" spans="1:13" ht="30">
      <c r="A14" s="1" t="s">
        <v>367</v>
      </c>
      <c r="B14" s="12">
        <f>'Whitefield Monthly Projection'!$Q$34</f>
        <v>1511.0153976271185</v>
      </c>
      <c r="C14" s="1"/>
      <c r="D14" s="1" t="s">
        <v>368</v>
      </c>
      <c r="E14" s="45">
        <f>B9</f>
        <v>1.2540000000000002</v>
      </c>
      <c r="F14" s="1"/>
      <c r="G14" s="1" t="s">
        <v>181</v>
      </c>
      <c r="H14" s="56">
        <v>25000</v>
      </c>
      <c r="I14" s="56">
        <v>40000</v>
      </c>
      <c r="J14" s="164">
        <v>75000</v>
      </c>
      <c r="K14" s="1" t="s">
        <v>369</v>
      </c>
      <c r="L14" s="1" t="s">
        <v>370</v>
      </c>
      <c r="M14" s="12">
        <f>'Whitefield Monthly Projection'!$Q$32</f>
        <v>56844.399258732206</v>
      </c>
    </row>
    <row r="15" spans="1:13" ht="30">
      <c r="A15" s="1" t="s">
        <v>328</v>
      </c>
      <c r="B15" s="12">
        <f>'Whitefield Monthly Projection'!$Q$35</f>
        <v>327.05960987599968</v>
      </c>
      <c r="C15" s="1"/>
      <c r="D15" s="1" t="s">
        <v>371</v>
      </c>
      <c r="E15" s="45">
        <f>MAX(E13-E14,0)</f>
        <v>1.7903104730923241</v>
      </c>
      <c r="F15" s="1"/>
      <c r="G15" s="1" t="s">
        <v>185</v>
      </c>
      <c r="H15" s="56">
        <v>0</v>
      </c>
      <c r="I15" s="56">
        <v>5000</v>
      </c>
      <c r="J15" s="164">
        <v>15000</v>
      </c>
      <c r="K15" s="1" t="s">
        <v>372</v>
      </c>
      <c r="L15" s="1" t="s">
        <v>373</v>
      </c>
      <c r="M15" s="12">
        <f>'Whitefield Monthly Projection'!$Q$32-$B$4</f>
        <v>56844.399258732206</v>
      </c>
    </row>
    <row r="16" spans="1:13" ht="30">
      <c r="A16" s="1" t="s">
        <v>327</v>
      </c>
      <c r="B16" s="12">
        <f>'Whitefield Monthly Projection'!$Q$32</f>
        <v>56844.399258732206</v>
      </c>
      <c r="C16" s="1"/>
      <c r="D16" s="1"/>
      <c r="E16" s="1"/>
      <c r="F16" s="1"/>
      <c r="G16" s="1" t="s">
        <v>189</v>
      </c>
      <c r="H16" s="56">
        <v>5000</v>
      </c>
      <c r="I16" s="56">
        <v>8000</v>
      </c>
      <c r="J16" s="164">
        <v>10000</v>
      </c>
      <c r="K16" s="1" t="s">
        <v>374</v>
      </c>
      <c r="L16" s="1" t="s">
        <v>375</v>
      </c>
      <c r="M16" s="12">
        <f>MAX(M10-M14,0)</f>
        <v>81155.600741267786</v>
      </c>
    </row>
    <row r="17" spans="1:13" ht="15">
      <c r="A17" s="1" t="s">
        <v>320</v>
      </c>
      <c r="B17" s="12">
        <f>'Whitefield Monthly Projection'!$Q$36</f>
        <v>138000</v>
      </c>
      <c r="C17" s="1"/>
      <c r="D17" s="1"/>
      <c r="E17" s="1"/>
      <c r="F17" s="1"/>
      <c r="G17" s="1" t="s">
        <v>193</v>
      </c>
      <c r="H17" s="56">
        <v>5000</v>
      </c>
      <c r="I17" s="56">
        <v>7000</v>
      </c>
      <c r="J17" s="164">
        <v>10000</v>
      </c>
      <c r="K17" s="1" t="s">
        <v>376</v>
      </c>
      <c r="L17" s="1"/>
      <c r="M17" s="1"/>
    </row>
    <row r="18" spans="1:13" ht="15">
      <c r="A18" s="1" t="s">
        <v>329</v>
      </c>
      <c r="B18" s="12">
        <f>'Whitefield Monthly Projection'!$Q$37</f>
        <v>-81155.600741267786</v>
      </c>
      <c r="C18" s="1"/>
      <c r="D18" s="1"/>
      <c r="E18" s="1"/>
      <c r="F18" s="1"/>
      <c r="G18" s="1" t="s">
        <v>197</v>
      </c>
      <c r="H18" s="56">
        <v>0</v>
      </c>
      <c r="I18" s="56">
        <v>0</v>
      </c>
      <c r="J18" s="164">
        <v>0</v>
      </c>
      <c r="K18" s="1" t="s">
        <v>377</v>
      </c>
      <c r="L18" s="460" t="str">
        <f>IF(M13&gt;=M10,"GREEN — Current contribution covers the operating structure.",IF(M13&gt;=M10*0.75,"AMBER — Close to fixed-cost coverage; avoid premature hiring.","RED — Fixed costs are materially ahead of Whitefield journey density. Do not add permanent payroll yet."))</f>
        <v>RED — Fixed costs are materially ahead of Whitefield journey density. Do not add permanent payroll yet.</v>
      </c>
      <c r="M18" s="460"/>
    </row>
    <row r="19" spans="1:13" ht="15">
      <c r="A19" s="1" t="s">
        <v>378</v>
      </c>
      <c r="B19" s="12">
        <f>MAX(-B18,0)</f>
        <v>81155.600741267786</v>
      </c>
      <c r="C19" s="1"/>
      <c r="D19" s="1"/>
      <c r="E19" s="1"/>
      <c r="F19" s="1"/>
      <c r="G19" s="1" t="s">
        <v>200</v>
      </c>
      <c r="H19" s="56">
        <v>5000</v>
      </c>
      <c r="I19" s="56">
        <v>8000</v>
      </c>
      <c r="J19" s="164">
        <v>15000</v>
      </c>
      <c r="K19" s="1" t="s">
        <v>379</v>
      </c>
      <c r="L19" s="460"/>
      <c r="M19" s="460"/>
    </row>
    <row r="20" spans="1:13" ht="48">
      <c r="A20" s="1" t="s">
        <v>221</v>
      </c>
      <c r="B20" s="45">
        <f>'Whitefield Monthly Projection'!$Q$39</f>
        <v>91.329314192769729</v>
      </c>
      <c r="C20" s="1"/>
      <c r="D20" s="1"/>
      <c r="E20" s="1"/>
      <c r="F20" s="1"/>
      <c r="G20" s="65" t="s">
        <v>380</v>
      </c>
      <c r="H20" s="69">
        <f>SUM(H11:H19)+'Global Inputs'!$B$30</f>
        <v>110000</v>
      </c>
      <c r="I20" s="69">
        <f>SUM(I11:I19)+'Global Inputs'!$B$30</f>
        <v>182000</v>
      </c>
      <c r="J20" s="69">
        <f>SUM(J11:J19)+'Global Inputs'!$B$30</f>
        <v>282000</v>
      </c>
      <c r="K20" s="65" t="s">
        <v>1338</v>
      </c>
      <c r="L20" s="460"/>
      <c r="M20" s="460"/>
    </row>
    <row r="21" spans="1:13" ht="15">
      <c r="A21" s="1" t="s">
        <v>222</v>
      </c>
      <c r="B21" s="45">
        <f>'Whitefield Monthly Projection'!$Q$40</f>
        <v>3.0443104730923243</v>
      </c>
      <c r="C21" s="1"/>
      <c r="D21" s="1"/>
      <c r="E21" s="1"/>
      <c r="F21" s="1"/>
      <c r="G21" s="1"/>
      <c r="H21" s="1"/>
      <c r="I21" s="1"/>
      <c r="J21" s="1"/>
      <c r="K21" s="1"/>
      <c r="L21" s="1"/>
      <c r="M21" s="1"/>
    </row>
    <row r="22" spans="1:13">
      <c r="A22" s="1"/>
      <c r="B22" s="1"/>
      <c r="C22" s="1"/>
      <c r="D22" s="1"/>
      <c r="E22" s="1"/>
      <c r="F22" s="1"/>
      <c r="G22" s="1"/>
      <c r="H22" s="1"/>
      <c r="I22" s="1"/>
      <c r="J22" s="1"/>
      <c r="K22" s="1"/>
      <c r="L22" s="1"/>
      <c r="M22" s="1"/>
    </row>
    <row r="23" spans="1:13" ht="15">
      <c r="A23" s="1"/>
      <c r="B23" s="1"/>
      <c r="C23" s="1"/>
      <c r="D23" s="1"/>
      <c r="E23" s="1"/>
      <c r="F23" s="1"/>
      <c r="G23" s="456" t="s">
        <v>381</v>
      </c>
      <c r="H23" s="456"/>
      <c r="I23" s="456"/>
      <c r="J23" s="456"/>
      <c r="K23" s="456"/>
      <c r="L23" s="456"/>
      <c r="M23" s="456"/>
    </row>
    <row r="24" spans="1:13" ht="42.75" customHeight="1">
      <c r="A24" s="456" t="s">
        <v>382</v>
      </c>
      <c r="B24" s="456"/>
      <c r="C24" s="456"/>
      <c r="D24" s="456"/>
      <c r="E24" s="456"/>
      <c r="F24" s="1"/>
      <c r="G24" s="54" t="s">
        <v>235</v>
      </c>
      <c r="H24" s="54" t="s">
        <v>352</v>
      </c>
      <c r="I24" s="54" t="s">
        <v>353</v>
      </c>
      <c r="J24" s="54" t="s">
        <v>354</v>
      </c>
      <c r="K24" s="1"/>
      <c r="L24" s="1"/>
      <c r="M24" s="1"/>
    </row>
    <row r="25" spans="1:13" ht="32">
      <c r="A25" s="54" t="s">
        <v>383</v>
      </c>
      <c r="B25" s="54" t="s">
        <v>384</v>
      </c>
      <c r="C25" s="54" t="s">
        <v>336</v>
      </c>
      <c r="D25" s="54" t="s">
        <v>385</v>
      </c>
      <c r="E25" s="54" t="s">
        <v>386</v>
      </c>
      <c r="F25" s="1"/>
      <c r="G25" s="1" t="s">
        <v>320</v>
      </c>
      <c r="H25" s="13">
        <f>$H20</f>
        <v>110000</v>
      </c>
      <c r="I25" s="13">
        <f>$I20</f>
        <v>182000</v>
      </c>
      <c r="J25" s="13">
        <f>$J20</f>
        <v>282000</v>
      </c>
      <c r="K25" s="1"/>
      <c r="L25" s="1"/>
      <c r="M25" s="1"/>
    </row>
    <row r="26" spans="1:13" ht="45">
      <c r="A26" s="1">
        <v>1</v>
      </c>
      <c r="B26" s="1" t="s">
        <v>387</v>
      </c>
      <c r="C26" s="50">
        <f>'Whitefield Monthly Projection'!$Q$36</f>
        <v>138000</v>
      </c>
      <c r="D26" s="50">
        <f>M11</f>
        <v>110000</v>
      </c>
      <c r="E26" s="1" t="s">
        <v>388</v>
      </c>
      <c r="F26" s="1"/>
      <c r="G26" s="1" t="s">
        <v>367</v>
      </c>
      <c r="H26" s="13">
        <f>'Whitefield Monthly Projection'!$Q$34</f>
        <v>1511.0153976271185</v>
      </c>
      <c r="I26" s="13">
        <f>'Whitefield Monthly Projection'!$Q$34</f>
        <v>1511.0153976271185</v>
      </c>
      <c r="J26" s="13">
        <f>'Whitefield Monthly Projection'!$Q$34</f>
        <v>1511.0153976271185</v>
      </c>
      <c r="K26" s="1"/>
      <c r="L26" s="1"/>
      <c r="M26" s="1"/>
    </row>
    <row r="27" spans="1:13" ht="30">
      <c r="A27" s="1">
        <v>2</v>
      </c>
      <c r="B27" s="1" t="s">
        <v>389</v>
      </c>
      <c r="C27" s="50">
        <f>B9</f>
        <v>1.2540000000000002</v>
      </c>
      <c r="D27" s="50">
        <f>E13</f>
        <v>3.0443104730923243</v>
      </c>
      <c r="E27" s="1" t="s">
        <v>390</v>
      </c>
      <c r="F27" s="1"/>
      <c r="G27" s="1" t="s">
        <v>221</v>
      </c>
      <c r="H27" s="46">
        <f>IF(H26&lt;=0,0,H25/H26)</f>
        <v>72.798728704381674</v>
      </c>
      <c r="I27" s="46">
        <f>IF(I26&lt;=0,0,I25/I26)</f>
        <v>120.4488056745224</v>
      </c>
      <c r="J27" s="46">
        <f>IF(J26&lt;=0,0,J25/J26)</f>
        <v>186.6294681330512</v>
      </c>
      <c r="K27" s="1"/>
      <c r="L27" s="1"/>
      <c r="M27" s="1"/>
    </row>
    <row r="28" spans="1:13" ht="45">
      <c r="A28" s="1">
        <v>3</v>
      </c>
      <c r="B28" s="1" t="s">
        <v>391</v>
      </c>
      <c r="C28" s="50">
        <f>'Whitefield Monthly Projection'!$Q$34</f>
        <v>1511.0153976271185</v>
      </c>
      <c r="D28" s="50">
        <f>MAX('Whitefield Monthly Projection'!$Q$34,'Profit Maximizer'!$C$72/'Profit Maximizer'!$C$70)</f>
        <v>3300.9276386023771</v>
      </c>
      <c r="E28" s="1" t="s">
        <v>392</v>
      </c>
      <c r="F28" s="1"/>
      <c r="G28" s="1" t="s">
        <v>222</v>
      </c>
      <c r="H28" s="46">
        <f>IF('Whitefield Monthly Projection'!$B$7=0,0,H27/'Whitefield Monthly Projection'!$B$7)</f>
        <v>2.426624290146056</v>
      </c>
      <c r="I28" s="46">
        <f>IF('Whitefield Monthly Projection'!$B$7=0,0,I27/'Whitefield Monthly Projection'!$B$7)</f>
        <v>4.0149601891507469</v>
      </c>
      <c r="J28" s="46">
        <f>IF('Whitefield Monthly Projection'!$B$7=0,0,J27/'Whitefield Monthly Projection'!$B$7)</f>
        <v>6.2209822711017067</v>
      </c>
      <c r="K28" s="1"/>
      <c r="L28" s="1"/>
      <c r="M28" s="1"/>
    </row>
    <row r="29" spans="1:13" ht="45">
      <c r="A29" s="1">
        <v>4</v>
      </c>
      <c r="B29" s="1" t="s">
        <v>393</v>
      </c>
      <c r="C29" s="49">
        <f>'Whitefield Monthly Projection'!$B$17</f>
        <v>0.2</v>
      </c>
      <c r="D29" s="55">
        <v>0.45</v>
      </c>
      <c r="E29" s="1" t="s">
        <v>394</v>
      </c>
      <c r="F29" s="1"/>
      <c r="G29" s="1" t="s">
        <v>223</v>
      </c>
      <c r="H29" s="13">
        <f>H27*'Whitefield Monthly Projection'!$S$52</f>
        <v>154370.86899730057</v>
      </c>
      <c r="I29" s="13">
        <f>I27*'Whitefield Monthly Projection'!$S$52</f>
        <v>255413.61961371551</v>
      </c>
      <c r="J29" s="13">
        <f>J27*'Whitefield Monthly Projection'!$S$52</f>
        <v>395750.77324762515</v>
      </c>
      <c r="K29" s="1"/>
      <c r="L29" s="1"/>
      <c r="M29" s="1"/>
    </row>
    <row r="30" spans="1:13" ht="45">
      <c r="A30" s="1">
        <v>5</v>
      </c>
      <c r="B30" s="1" t="s">
        <v>1339</v>
      </c>
      <c r="C30" s="49">
        <f>'Whitefield Monthly Projection'!$Q$21</f>
        <v>0.18104625000000002</v>
      </c>
      <c r="D30" s="55" t="s">
        <v>1340</v>
      </c>
      <c r="E30" s="1" t="s">
        <v>1341</v>
      </c>
      <c r="F30" s="1"/>
      <c r="G30" s="1" t="s">
        <v>224</v>
      </c>
      <c r="H30" s="46">
        <f>IF('Whitefield Monthly Projection'!$B$7*'Whitefield Monthly Projection'!$B$8*'Whitefield Monthly Projection'!$B$9=0,0,H27*'Whitefield Monthly Projection'!$S$45/('Whitefield Monthly Projection'!$B$7*'Whitefield Monthly Projection'!$B$8*'Whitefield Monthly Projection'!$B$9))</f>
        <v>1.4013755275593474</v>
      </c>
      <c r="I30" s="46">
        <f>IF('Whitefield Monthly Projection'!$B$7*'Whitefield Monthly Projection'!$B$8*'Whitefield Monthly Projection'!$B$9=0,0,I27*'Whitefield Monthly Projection'!$S$45/('Whitefield Monthly Projection'!$B$7*'Whitefield Monthly Projection'!$B$8*'Whitefield Monthly Projection'!$B$9))</f>
        <v>2.3186395092345564</v>
      </c>
      <c r="J30" s="46">
        <f>IF('Whitefield Monthly Projection'!$B$7*'Whitefield Monthly Projection'!$B$8*'Whitefield Monthly Projection'!$B$9=0,0,J27*'Whitefield Monthly Projection'!$S$45/('Whitefield Monthly Projection'!$B$7*'Whitefield Monthly Projection'!$B$8*'Whitefield Monthly Projection'!$B$9))</f>
        <v>3.592617261561236</v>
      </c>
      <c r="K30" s="1"/>
      <c r="L30" s="1"/>
      <c r="M30" s="1"/>
    </row>
    <row r="31" spans="1:13" ht="45">
      <c r="A31" s="1">
        <v>6</v>
      </c>
      <c r="B31" s="1" t="s">
        <v>395</v>
      </c>
      <c r="C31" s="50">
        <f>'Global Inputs'!$B$5</f>
        <v>299</v>
      </c>
      <c r="D31" s="56">
        <v>499</v>
      </c>
      <c r="E31" s="1" t="s">
        <v>396</v>
      </c>
      <c r="F31" s="1"/>
      <c r="G31" s="1" t="s">
        <v>397</v>
      </c>
      <c r="H31" s="13">
        <f>3*'Whitefield Monthly Projection'!$B$7*'Whitefield Monthly Projection'!$Q$34-H$25</f>
        <v>25991.38578644066</v>
      </c>
      <c r="I31" s="13">
        <f>3*'Whitefield Monthly Projection'!$B$7*'Whitefield Monthly Projection'!$Q$34-I$25</f>
        <v>-46008.61421355934</v>
      </c>
      <c r="J31" s="13">
        <f>3*'Whitefield Monthly Projection'!$B$7*'Whitefield Monthly Projection'!$Q$34-J$25</f>
        <v>-146008.61421355934</v>
      </c>
      <c r="K31" s="1"/>
      <c r="L31" s="1"/>
      <c r="M31" s="1"/>
    </row>
    <row r="32" spans="1:13" ht="45">
      <c r="A32" s="1">
        <v>7</v>
      </c>
      <c r="B32" s="1" t="s">
        <v>398</v>
      </c>
      <c r="C32" s="49">
        <f>'Whitefield Monthly Projection'!$B$16</f>
        <v>0.4</v>
      </c>
      <c r="D32" s="49">
        <v>0.6</v>
      </c>
      <c r="E32" s="1" t="s">
        <v>399</v>
      </c>
      <c r="F32" s="1"/>
      <c r="G32" s="1" t="s">
        <v>400</v>
      </c>
      <c r="H32" s="13">
        <f>5*'Whitefield Monthly Projection'!$B$7*'Whitefield Monthly Projection'!$Q$34-H$25</f>
        <v>116652.30964406778</v>
      </c>
      <c r="I32" s="13">
        <f>5*'Whitefield Monthly Projection'!$B$7*'Whitefield Monthly Projection'!$Q$34-I$25</f>
        <v>44652.309644067776</v>
      </c>
      <c r="J32" s="13">
        <f>5*'Whitefield Monthly Projection'!$B$7*'Whitefield Monthly Projection'!$Q$34-J$25</f>
        <v>-55347.690355932224</v>
      </c>
      <c r="K32" s="1"/>
      <c r="L32" s="1"/>
      <c r="M32" s="1"/>
    </row>
    <row r="33" spans="1:13" ht="15">
      <c r="A33" s="1"/>
      <c r="B33" s="1"/>
      <c r="C33" s="1"/>
      <c r="D33" s="1"/>
      <c r="E33" s="1"/>
      <c r="F33" s="1"/>
      <c r="G33" s="1" t="s">
        <v>401</v>
      </c>
      <c r="H33" s="13">
        <f>8*'Whitefield Monthly Projection'!$B$7*'Whitefield Monthly Projection'!$Q$34-H$25</f>
        <v>252643.69543050847</v>
      </c>
      <c r="I33" s="13">
        <f>8*'Whitefield Monthly Projection'!$B$7*'Whitefield Monthly Projection'!$Q$34-I$25</f>
        <v>180643.69543050847</v>
      </c>
      <c r="J33" s="13">
        <f>8*'Whitefield Monthly Projection'!$B$7*'Whitefield Monthly Projection'!$Q$34-J$25</f>
        <v>80643.695430508466</v>
      </c>
      <c r="K33" s="1"/>
      <c r="L33" s="1"/>
      <c r="M33" s="1"/>
    </row>
    <row r="34" spans="1:13" ht="15">
      <c r="A34" s="1"/>
      <c r="B34" s="1"/>
      <c r="C34" s="1"/>
      <c r="D34" s="1"/>
      <c r="E34" s="1"/>
      <c r="F34" s="1"/>
      <c r="G34" s="1" t="s">
        <v>402</v>
      </c>
      <c r="H34" s="13">
        <f>10*'Whitefield Monthly Projection'!$B$7*'Whitefield Monthly Projection'!$Q$34-H$25</f>
        <v>343304.61928813555</v>
      </c>
      <c r="I34" s="13">
        <f>10*'Whitefield Monthly Projection'!$B$7*'Whitefield Monthly Projection'!$Q$34-I$25</f>
        <v>271304.61928813555</v>
      </c>
      <c r="J34" s="13">
        <f>10*'Whitefield Monthly Projection'!$B$7*'Whitefield Monthly Projection'!$Q$34-J$25</f>
        <v>171304.61928813555</v>
      </c>
      <c r="K34" s="1"/>
      <c r="L34" s="1"/>
      <c r="M34" s="1"/>
    </row>
    <row r="35" spans="1:13" ht="42.75" customHeight="1">
      <c r="A35" s="456" t="s">
        <v>403</v>
      </c>
      <c r="B35" s="456"/>
      <c r="C35" s="456"/>
      <c r="D35" s="456"/>
      <c r="E35" s="456"/>
      <c r="F35" s="456"/>
      <c r="G35" s="456" t="s">
        <v>404</v>
      </c>
      <c r="H35" s="457">
        <f>15*'Whitefield Monthly Projection'!$B$7*'Whitefield Monthly Projection'!$Q$34-H$25</f>
        <v>569956.92893220333</v>
      </c>
      <c r="I35" s="457">
        <f>15*'Whitefield Monthly Projection'!$B$7*'Whitefield Monthly Projection'!$Q$34-I$25</f>
        <v>497956.92893220333</v>
      </c>
      <c r="J35" s="457">
        <f>15*'Whitefield Monthly Projection'!$B$7*'Whitefield Monthly Projection'!$Q$34-J$25</f>
        <v>397956.92893220333</v>
      </c>
      <c r="K35" s="456"/>
      <c r="L35" s="456"/>
      <c r="M35" s="456"/>
    </row>
    <row r="36" spans="1:13" ht="48">
      <c r="A36" s="54" t="s">
        <v>303</v>
      </c>
      <c r="B36" s="54">
        <f>'MVP1 Pricing &amp; SKU'!$B$7</f>
        <v>299</v>
      </c>
      <c r="C36" s="54">
        <v>349</v>
      </c>
      <c r="D36" s="54" t="s">
        <v>405</v>
      </c>
      <c r="E36" s="54" t="s">
        <v>406</v>
      </c>
      <c r="F36" s="54" t="s">
        <v>407</v>
      </c>
      <c r="G36" s="54" t="s">
        <v>1342</v>
      </c>
      <c r="H36" s="1"/>
      <c r="I36" s="1"/>
      <c r="J36" s="1"/>
      <c r="K36" s="1"/>
      <c r="L36" s="1"/>
      <c r="M36" s="1"/>
    </row>
    <row r="37" spans="1:13" ht="30">
      <c r="A37" s="1" t="str">
        <f>'Profit Maximizer'!A51</f>
        <v>Base price / hour</v>
      </c>
      <c r="B37" s="12">
        <f>'Profit Maximizer'!B51</f>
        <v>299</v>
      </c>
      <c r="C37" s="12">
        <f>'Profit Maximizer'!C51</f>
        <v>499</v>
      </c>
      <c r="D37" s="12">
        <f>'Profit Maximizer'!I51</f>
        <v>31842.258550169499</v>
      </c>
      <c r="E37" s="12">
        <f>'Profit Maximizer'!F51</f>
        <v>-49313.342191098287</v>
      </c>
      <c r="F37" s="1" t="s">
        <v>408</v>
      </c>
      <c r="G37" s="1" t="s">
        <v>409</v>
      </c>
      <c r="H37" s="1"/>
      <c r="I37" s="1"/>
      <c r="J37" s="1"/>
      <c r="K37" s="1"/>
      <c r="L37" s="1"/>
      <c r="M37" s="1"/>
    </row>
    <row r="38" spans="1:13" ht="30">
      <c r="A38" s="1" t="str">
        <f>'Profit Maximizer'!A52</f>
        <v>Angel cost / hour</v>
      </c>
      <c r="B38" s="12">
        <f>'Profit Maximizer'!B52</f>
        <v>0</v>
      </c>
      <c r="C38" s="12">
        <f>'Profit Maximizer'!C52</f>
        <v>160</v>
      </c>
      <c r="D38" s="12">
        <f>'Profit Maximizer'!I52</f>
        <v>-27808.703999999998</v>
      </c>
      <c r="E38" s="12">
        <f>'Profit Maximizer'!F52</f>
        <v>-108964.30474126778</v>
      </c>
      <c r="F38" s="1" t="s">
        <v>408</v>
      </c>
      <c r="G38" s="1" t="s">
        <v>410</v>
      </c>
      <c r="H38" s="1"/>
      <c r="I38" s="1"/>
      <c r="J38" s="1"/>
      <c r="K38" s="1"/>
      <c r="L38" s="1"/>
      <c r="M38" s="1"/>
    </row>
    <row r="39" spans="1:13" ht="30">
      <c r="A39" s="1" t="s">
        <v>1343</v>
      </c>
      <c r="B39" s="254">
        <v>1</v>
      </c>
      <c r="C39" s="254">
        <v>0.9</v>
      </c>
      <c r="D39" s="12">
        <f>'Profit Maximizer'!I54</f>
        <v>-10842.784183758806</v>
      </c>
      <c r="E39" s="12">
        <f>'Profit Maximizer'!F54</f>
        <v>-91998.384925026592</v>
      </c>
      <c r="F39" s="1" t="s">
        <v>408</v>
      </c>
      <c r="G39" s="1" t="s">
        <v>1344</v>
      </c>
      <c r="H39" s="1"/>
      <c r="I39" s="1"/>
      <c r="J39" s="1"/>
      <c r="K39" s="1"/>
      <c r="L39" s="1"/>
      <c r="M39" s="1"/>
    </row>
    <row r="40" spans="1:13" ht="30">
      <c r="A40" s="1" t="str">
        <f>'Profit Maximizer'!A54</f>
        <v>Portfolio multiplier factor</v>
      </c>
      <c r="B40" s="12">
        <f>'Profit Maximizer'!B54</f>
        <v>1</v>
      </c>
      <c r="C40" s="12">
        <f>'Profit Maximizer'!C54</f>
        <v>0.9</v>
      </c>
      <c r="D40" s="12">
        <f>'Profit Maximizer'!I54</f>
        <v>-10842.784183758806</v>
      </c>
      <c r="E40" s="12">
        <f>'Profit Maximizer'!F54</f>
        <v>-91998.384925026592</v>
      </c>
      <c r="F40" s="1" t="s">
        <v>411</v>
      </c>
      <c r="G40" s="1" t="s">
        <v>412</v>
      </c>
      <c r="H40" s="1"/>
      <c r="I40" s="1"/>
      <c r="J40" s="1"/>
      <c r="K40" s="1"/>
      <c r="L40" s="1"/>
      <c r="M40" s="1"/>
    </row>
    <row r="41" spans="1:13" ht="30">
      <c r="A41" s="1" t="str">
        <f>'Profit Maximizer'!A55</f>
        <v>Transport coordination fee</v>
      </c>
      <c r="B41" s="12">
        <f>'Profit Maximizer'!B55</f>
        <v>149</v>
      </c>
      <c r="C41" s="12">
        <f>'Profit Maximizer'!C55</f>
        <v>199</v>
      </c>
      <c r="D41" s="12">
        <f>'Profit Maximizer'!I55</f>
        <v>752.39999999999418</v>
      </c>
      <c r="E41" s="12">
        <f>'Profit Maximizer'!F55</f>
        <v>-80403.200741267792</v>
      </c>
      <c r="F41" s="1" t="s">
        <v>411</v>
      </c>
      <c r="G41" s="1" t="s">
        <v>413</v>
      </c>
      <c r="H41" s="1"/>
      <c r="I41" s="1"/>
      <c r="J41" s="1"/>
      <c r="K41" s="1"/>
      <c r="L41" s="1"/>
      <c r="M41" s="1"/>
    </row>
    <row r="42" spans="1:13" ht="30">
      <c r="A42" s="1" t="str">
        <f>'Profit Maximizer'!A56</f>
        <v>Cab cost</v>
      </c>
      <c r="B42" s="12">
        <f>'Profit Maximizer'!B56</f>
        <v>500</v>
      </c>
      <c r="C42" s="12">
        <f>'Profit Maximizer'!C56</f>
        <v>450</v>
      </c>
      <c r="D42" s="12">
        <f>'Profit Maximizer'!I56</f>
        <v>0</v>
      </c>
      <c r="E42" s="12">
        <f>'Profit Maximizer'!F56</f>
        <v>-81155.600741267786</v>
      </c>
      <c r="F42" s="1" t="s">
        <v>408</v>
      </c>
      <c r="G42" s="1" t="s">
        <v>414</v>
      </c>
      <c r="H42" s="1"/>
      <c r="I42" s="1"/>
      <c r="J42" s="1"/>
      <c r="K42" s="1"/>
      <c r="L42" s="1"/>
      <c r="M42" s="1"/>
    </row>
    <row r="43" spans="1:13" ht="30">
      <c r="A43" s="1" t="str">
        <f>'Profit Maximizer'!A57</f>
        <v>Payment platform fee</v>
      </c>
      <c r="B43" s="12">
        <f>'Profit Maximizer'!B57</f>
        <v>0</v>
      </c>
      <c r="C43" s="12">
        <f>'Profit Maximizer'!C57</f>
        <v>1.4999999999999999E-2</v>
      </c>
      <c r="D43" s="12">
        <f>'Profit Maximizer'!I57</f>
        <v>-1196.6071787999972</v>
      </c>
      <c r="E43" s="12">
        <f>'Profit Maximizer'!F57</f>
        <v>-82352.207920067784</v>
      </c>
      <c r="F43" s="1" t="s">
        <v>411</v>
      </c>
      <c r="G43" s="1" t="s">
        <v>415</v>
      </c>
      <c r="H43" s="1"/>
      <c r="I43" s="1"/>
      <c r="J43" s="1"/>
      <c r="K43" s="1"/>
      <c r="L43" s="1"/>
      <c r="M43" s="1"/>
    </row>
    <row r="44" spans="1:13" ht="30">
      <c r="A44" s="1" t="str">
        <f>'Profit Maximizer'!A58</f>
        <v>Angel utilization</v>
      </c>
      <c r="B44" s="12">
        <f>'Profit Maximizer'!B58</f>
        <v>1</v>
      </c>
      <c r="C44" s="12">
        <f>'Profit Maximizer'!C58</f>
        <v>0.75</v>
      </c>
      <c r="D44" s="12">
        <f>'Profit Maximizer'!I58</f>
        <v>0</v>
      </c>
      <c r="E44" s="12">
        <f>'Profit Maximizer'!F58</f>
        <v>-81155.600741267786</v>
      </c>
      <c r="F44" s="1" t="s">
        <v>408</v>
      </c>
      <c r="G44" s="1" t="s">
        <v>416</v>
      </c>
      <c r="H44" s="1"/>
      <c r="I44" s="1"/>
      <c r="J44" s="1"/>
      <c r="K44" s="1"/>
      <c r="L44" s="1"/>
      <c r="M44" s="1"/>
    </row>
    <row r="45" spans="1:13" ht="30">
      <c r="A45" s="1" t="str">
        <f>'Profit Maximizer'!A59</f>
        <v>Service mix</v>
      </c>
      <c r="B45" s="12" t="str">
        <f>'Profit Maximizer'!B59</f>
        <v>Current Mix</v>
      </c>
      <c r="C45" s="12" t="str">
        <f>'Profit Maximizer'!C59</f>
        <v>Optimized Mix</v>
      </c>
      <c r="D45" s="12">
        <f>'Profit Maximizer'!I59</f>
        <v>67336.498505489231</v>
      </c>
      <c r="E45" s="12">
        <f>'Profit Maximizer'!F59</f>
        <v>-13819.102235778555</v>
      </c>
      <c r="F45" s="1" t="s">
        <v>408</v>
      </c>
      <c r="G45" s="1" t="s">
        <v>417</v>
      </c>
      <c r="H45" s="1"/>
      <c r="I45" s="1"/>
      <c r="J45" s="1"/>
      <c r="K45" s="1"/>
      <c r="L45" s="1"/>
      <c r="M45" s="1"/>
    </row>
    <row r="46" spans="1:13" ht="30">
      <c r="A46" s="1" t="str">
        <f>'Profit Maximizer'!A60</f>
        <v>Repeat booking rate</v>
      </c>
      <c r="B46" s="12">
        <f>'Profit Maximizer'!B60</f>
        <v>0.2</v>
      </c>
      <c r="C46" s="12">
        <f>'Profit Maximizer'!C60</f>
        <v>0.4</v>
      </c>
      <c r="D46" s="12">
        <f>'Profit Maximizer'!I60</f>
        <v>2249.6760000000068</v>
      </c>
      <c r="E46" s="12">
        <f>'Profit Maximizer'!F60</f>
        <v>-78905.92474126778</v>
      </c>
      <c r="F46" s="1" t="s">
        <v>408</v>
      </c>
      <c r="G46" s="1" t="s">
        <v>418</v>
      </c>
      <c r="H46" s="1"/>
      <c r="I46" s="1"/>
      <c r="J46" s="1"/>
      <c r="K46" s="1"/>
      <c r="L46" s="1"/>
      <c r="M46" s="1"/>
    </row>
    <row r="47" spans="1:13" ht="30">
      <c r="A47" s="1" t="str">
        <f>'Profit Maximizer'!A61</f>
        <v>Cancellation rate</v>
      </c>
      <c r="B47" s="12">
        <f>'Profit Maximizer'!B61</f>
        <v>0.12</v>
      </c>
      <c r="C47" s="12">
        <f>'Profit Maximizer'!C61</f>
        <v>0.05</v>
      </c>
      <c r="D47" s="12">
        <f>'Profit Maximizer'!I61</f>
        <v>4521.7135773991322</v>
      </c>
      <c r="E47" s="12">
        <f>'Profit Maximizer'!F61</f>
        <v>-76633.887163868654</v>
      </c>
      <c r="F47" s="1" t="s">
        <v>411</v>
      </c>
      <c r="G47" s="1" t="s">
        <v>419</v>
      </c>
      <c r="H47" s="1"/>
      <c r="I47" s="1"/>
      <c r="J47" s="1"/>
      <c r="K47" s="1"/>
      <c r="L47" s="1"/>
      <c r="M47" s="1"/>
    </row>
    <row r="48" spans="1:13" ht="30">
      <c r="A48" s="1" t="str">
        <f>'Profit Maximizer'!A62</f>
        <v>Customer leads / day</v>
      </c>
      <c r="B48" s="12">
        <f>'Profit Maximizer'!B62</f>
        <v>6</v>
      </c>
      <c r="C48" s="12">
        <f>'Profit Maximizer'!C62</f>
        <v>20</v>
      </c>
      <c r="D48" s="12">
        <f>'Profit Maximizer'!I62</f>
        <v>132636.93160370845</v>
      </c>
      <c r="E48" s="12">
        <f>'Profit Maximizer'!F62</f>
        <v>51481.330862440664</v>
      </c>
      <c r="F48" s="1" t="s">
        <v>408</v>
      </c>
      <c r="G48" s="1" t="s">
        <v>420</v>
      </c>
      <c r="H48" s="1"/>
      <c r="I48" s="1"/>
      <c r="J48" s="1"/>
      <c r="K48" s="1"/>
      <c r="L48" s="1"/>
      <c r="M48" s="1"/>
    </row>
    <row r="49" spans="1:13" ht="30">
      <c r="A49" s="1" t="str">
        <f>'Profit Maximizer'!A63</f>
        <v>Fixed monthly cost</v>
      </c>
      <c r="B49" s="12">
        <f>'Profit Maximizer'!B63</f>
        <v>138000</v>
      </c>
      <c r="C49" s="12">
        <f>'Profit Maximizer'!C63</f>
        <v>150000</v>
      </c>
      <c r="D49" s="12">
        <f>'Profit Maximizer'!I63</f>
        <v>-12000</v>
      </c>
      <c r="E49" s="12">
        <f>'Profit Maximizer'!F63</f>
        <v>-93155.600741267786</v>
      </c>
      <c r="F49" s="1" t="s">
        <v>421</v>
      </c>
      <c r="G49" s="1" t="s">
        <v>422</v>
      </c>
      <c r="H49" s="1"/>
      <c r="I49" s="1"/>
      <c r="J49" s="1"/>
      <c r="K49" s="1"/>
      <c r="L49" s="1"/>
      <c r="M49" s="1"/>
    </row>
    <row r="50" spans="1:13" ht="30">
      <c r="A50" s="1" t="s">
        <v>423</v>
      </c>
      <c r="B50" s="50">
        <v>0</v>
      </c>
      <c r="C50" s="56">
        <v>300</v>
      </c>
      <c r="D50" s="13">
        <f>'Whitefield Monthly Projection'!$Q$19*SUMIF('Whitefield Monthly Projection'!$A$37:$A$66,"24×7 Urgent Care Coordination",'Whitefield Monthly Projection'!$G$37:$G$66)*($C50/(1+'Global Inputs'!$B$7)-$C50*'Global Inputs'!$B$8)</f>
        <v>47.822033898305094</v>
      </c>
      <c r="E50" s="13">
        <f>'Whitefield Monthly Projection'!$Q$37+D50</f>
        <v>-81107.778707369478</v>
      </c>
      <c r="F50" s="1" t="s">
        <v>411</v>
      </c>
      <c r="G50" s="1" t="s">
        <v>424</v>
      </c>
      <c r="H50" s="1"/>
      <c r="I50" s="1"/>
      <c r="J50" s="1"/>
      <c r="K50" s="1"/>
      <c r="L50" s="1"/>
      <c r="M50" s="1"/>
    </row>
    <row r="51" spans="1:13" ht="30">
      <c r="A51" s="1" t="s">
        <v>425</v>
      </c>
      <c r="B51" s="50">
        <v>0</v>
      </c>
      <c r="C51" s="56">
        <v>500</v>
      </c>
      <c r="D51" s="13">
        <f>'Whitefield Monthly Projection'!$Q$19*SUMIF('Whitefield Monthly Projection'!$A$37:$A$66,"Overnight Hospital Concierge",'Whitefield Monthly Projection'!$G$37:$G$66)*($C51/(1+'Global Inputs'!$B$7)-$C51*'Global Inputs'!$B$8)</f>
        <v>478.22033898305091</v>
      </c>
      <c r="E51" s="13">
        <f>'Whitefield Monthly Projection'!$Q$37+D51</f>
        <v>-80677.380402284733</v>
      </c>
      <c r="F51" s="1" t="s">
        <v>411</v>
      </c>
      <c r="G51" s="1" t="s">
        <v>426</v>
      </c>
      <c r="H51" s="1"/>
      <c r="I51" s="1"/>
      <c r="J51" s="1"/>
      <c r="K51" s="1"/>
      <c r="L51" s="1"/>
      <c r="M51" s="1"/>
    </row>
    <row r="52" spans="1:13" ht="30">
      <c r="A52" s="1" t="s">
        <v>427</v>
      </c>
      <c r="B52" s="50">
        <v>0</v>
      </c>
      <c r="C52" s="56">
        <v>300</v>
      </c>
      <c r="D52" s="13">
        <f>'Whitefield Monthly Projection'!$Q$19*SUMIF('Whitefield Monthly Projection'!$A$37:$A$66,"NRI Parent Medical Concierge",'Whitefield Monthly Projection'!$G$37:$G$66)*($C52/(1+'Global Inputs'!$B$7)-$C52*'Global Inputs'!$B$8)</f>
        <v>239.11016949152548</v>
      </c>
      <c r="E52" s="13">
        <f>'Whitefield Monthly Projection'!$Q$37+D52</f>
        <v>-80916.490571776259</v>
      </c>
      <c r="F52" s="1" t="s">
        <v>411</v>
      </c>
      <c r="G52" s="1" t="s">
        <v>428</v>
      </c>
      <c r="H52" s="1"/>
      <c r="I52" s="1"/>
      <c r="J52" s="1"/>
      <c r="K52" s="1"/>
      <c r="L52" s="1"/>
      <c r="M52" s="1"/>
    </row>
    <row r="53" spans="1:13" ht="30">
      <c r="A53" s="1" t="s">
        <v>429</v>
      </c>
      <c r="B53" s="50">
        <v>0</v>
      </c>
      <c r="C53" s="55">
        <v>0.1</v>
      </c>
      <c r="D53" s="13">
        <f>'Whitefield Monthly Projection'!$Q$19*25%*'Whitefield Monthly Projection'!$S$46*$C53*(1/(1+'Global Inputs'!$B$7)-'Global Inputs'!$B$8)</f>
        <v>1483.2131338983052</v>
      </c>
      <c r="E53" s="13">
        <f>'Whitefield Monthly Projection'!$Q$37+D53</f>
        <v>-79672.387607369485</v>
      </c>
      <c r="F53" s="1" t="s">
        <v>408</v>
      </c>
      <c r="G53" s="1" t="s">
        <v>430</v>
      </c>
      <c r="H53" s="1"/>
      <c r="I53" s="1"/>
      <c r="J53" s="1"/>
      <c r="K53" s="1"/>
      <c r="L53" s="1"/>
      <c r="M53" s="1"/>
    </row>
    <row r="54" spans="1:13">
      <c r="A54" s="1"/>
      <c r="B54" s="1"/>
      <c r="C54" s="1"/>
      <c r="D54" s="1"/>
      <c r="E54" s="1"/>
      <c r="F54" s="1"/>
      <c r="G54" s="1"/>
      <c r="H54" s="1"/>
      <c r="I54" s="1"/>
      <c r="J54" s="1"/>
      <c r="K54" s="1"/>
      <c r="L54" s="1"/>
      <c r="M54" s="1"/>
    </row>
    <row r="55" spans="1:13">
      <c r="A55" s="1"/>
      <c r="B55" s="1"/>
      <c r="C55" s="1"/>
      <c r="D55" s="1"/>
      <c r="E55" s="1"/>
      <c r="F55" s="1"/>
      <c r="G55" s="1"/>
      <c r="H55" s="1"/>
      <c r="I55" s="1"/>
      <c r="J55" s="1"/>
      <c r="K55" s="1"/>
      <c r="L55" s="1"/>
      <c r="M55" s="1"/>
    </row>
    <row r="56" spans="1:13" ht="42.75" customHeight="1">
      <c r="A56" s="456" t="s">
        <v>431</v>
      </c>
      <c r="B56" s="456"/>
      <c r="C56" s="456"/>
      <c r="D56" s="456"/>
      <c r="E56" s="456"/>
      <c r="F56" s="456"/>
      <c r="G56" s="456"/>
      <c r="H56" s="456"/>
      <c r="I56" s="456"/>
      <c r="J56" s="456"/>
      <c r="K56" s="456"/>
      <c r="L56" s="456"/>
      <c r="M56" s="456"/>
    </row>
    <row r="57" spans="1:13" ht="32">
      <c r="A57" s="54" t="s">
        <v>432</v>
      </c>
      <c r="B57" s="54" t="s">
        <v>433</v>
      </c>
      <c r="C57" s="54" t="s">
        <v>434</v>
      </c>
      <c r="D57" s="54" t="s">
        <v>435</v>
      </c>
      <c r="E57" s="54" t="s">
        <v>168</v>
      </c>
      <c r="F57" s="54" t="s">
        <v>436</v>
      </c>
      <c r="G57" s="54" t="s">
        <v>437</v>
      </c>
      <c r="H57" s="54" t="s">
        <v>407</v>
      </c>
      <c r="I57" s="54" t="s">
        <v>438</v>
      </c>
      <c r="J57" s="1"/>
      <c r="K57" s="1"/>
      <c r="L57" s="1"/>
      <c r="M57" s="1"/>
    </row>
    <row r="58" spans="1:13" ht="31">
      <c r="A58" s="1" t="s">
        <v>439</v>
      </c>
      <c r="B58" s="46">
        <f>'Whitefield Monthly Projection'!$Q$19/'Whitefield Monthly Projection'!$B$7</f>
        <v>1.2540000000000002</v>
      </c>
      <c r="C58" s="13">
        <f>'Whitefield Monthly Projection'!$S$46</f>
        <v>1860.9159999999997</v>
      </c>
      <c r="D58" s="13">
        <f>'Whitefield Monthly Projection'!$Q$34</f>
        <v>1511.0153976271185</v>
      </c>
      <c r="E58" s="13">
        <f>$I$20</f>
        <v>182000</v>
      </c>
      <c r="F58" s="13">
        <f>'Whitefield Monthly Projection'!$Q$32-E58</f>
        <v>-125155.60074126779</v>
      </c>
      <c r="G58" s="46">
        <f>'Whitefield Monthly Projection'!$Q$19*'Whitefield Monthly Projection'!$S$45/('Whitefield Monthly Projection'!$B$7*'Whitefield Monthly Projection'!$B$8*'Whitefield Monthly Projection'!$B$9)</f>
        <v>0.72418500000000008</v>
      </c>
      <c r="H58" s="1" t="s">
        <v>411</v>
      </c>
      <c r="I58" s="1" t="s">
        <v>440</v>
      </c>
      <c r="J58" s="1"/>
      <c r="K58" s="54" t="s">
        <v>441</v>
      </c>
      <c r="L58" s="54" t="s">
        <v>2</v>
      </c>
      <c r="M58" s="1"/>
    </row>
    <row r="59" spans="1:13" ht="30">
      <c r="A59" s="1" t="s">
        <v>442</v>
      </c>
      <c r="B59" s="46">
        <f>(E59+$B$4)/D59/'Whitefield Monthly Projection'!$B$7</f>
        <v>3.0443104730923243</v>
      </c>
      <c r="C59" s="13">
        <f>'Whitefield Monthly Projection'!$S$46</f>
        <v>1860.9159999999997</v>
      </c>
      <c r="D59" s="13">
        <f>'Whitefield Monthly Projection'!$Q$34</f>
        <v>1511.0153976271185</v>
      </c>
      <c r="E59" s="13">
        <f>'Whitefield Monthly Projection'!$Q$36</f>
        <v>138000</v>
      </c>
      <c r="F59" s="13">
        <f>B59*'Whitefield Monthly Projection'!$B$7*D59-E59</f>
        <v>0</v>
      </c>
      <c r="G59" s="46">
        <f>B59*'Whitefield Monthly Projection'!$B$7*'Whitefield Monthly Projection'!$S$45/('Whitefield Monthly Projection'!$B$7*'Whitefield Monthly Projection'!$B$8*'Whitefield Monthly Projection'!$B$9)</f>
        <v>1.7580892982108172</v>
      </c>
      <c r="H59" s="1" t="s">
        <v>421</v>
      </c>
      <c r="I59" s="1" t="s">
        <v>443</v>
      </c>
      <c r="J59" s="1"/>
      <c r="K59" s="1" t="s">
        <v>444</v>
      </c>
      <c r="L59" s="49">
        <f>'Whitefield Monthly Projection'!$B$17</f>
        <v>0.2</v>
      </c>
      <c r="M59" s="1"/>
    </row>
    <row r="60" spans="1:13" ht="30">
      <c r="A60" s="1" t="s">
        <v>445</v>
      </c>
      <c r="B60" s="46">
        <f>(E60+$B$4)/D60/'Whitefield Monthly Projection'!$B$7</f>
        <v>2.6445036971644016</v>
      </c>
      <c r="C60" s="13">
        <f>'Whitefield Monthly Projection'!$S$46+('Whitefield Monthly Projection'!$S$45*($L$67-'Global Inputs'!$B$5))</f>
        <v>2784.9159999999997</v>
      </c>
      <c r="D60" s="13">
        <f>'Whitefield Monthly Projection'!$Q$34+('Whitefield Monthly Projection'!$S$45*($L$67-'Global Inputs'!$B$5))/(1+'Global Inputs'!$B$7)-('Whitefield Monthly Projection'!$S$45*($L$67-'Global Inputs'!$B$5))*'Global Inputs'!$B$8</f>
        <v>2294.0662450847458</v>
      </c>
      <c r="E60" s="13">
        <f>$I$20</f>
        <v>182000</v>
      </c>
      <c r="F60" s="13">
        <f>B60*'Whitefield Monthly Projection'!$B$7*D60-E60</f>
        <v>0</v>
      </c>
      <c r="G60" s="46">
        <f>B60*'Whitefield Monthly Projection'!$S$45/('Whitefield Monthly Projection'!$B$8*'Whitefield Monthly Projection'!$B$9)</f>
        <v>1.5272008851124419</v>
      </c>
      <c r="H60" s="1" t="s">
        <v>408</v>
      </c>
      <c r="I60" s="1" t="s">
        <v>446</v>
      </c>
      <c r="J60" s="1"/>
      <c r="K60" s="1" t="s">
        <v>447</v>
      </c>
      <c r="L60" s="55">
        <v>0.5</v>
      </c>
      <c r="M60" s="1"/>
    </row>
    <row r="61" spans="1:13" ht="45">
      <c r="A61" s="1" t="s">
        <v>448</v>
      </c>
      <c r="B61" s="46">
        <f>(E61+$B$4)/D61/'Whitefield Monthly Projection'!$B$7</f>
        <v>1.8378672091204373</v>
      </c>
      <c r="C61" s="13">
        <f>'Profit Maximizer'!$C$71/'Profit Maximizer'!$C$70</f>
        <v>4323.5998055187283</v>
      </c>
      <c r="D61" s="13">
        <f>'Profit Maximizer'!$C$72/'Profit Maximizer'!$C$70</f>
        <v>3300.9276386023771</v>
      </c>
      <c r="E61" s="13">
        <f>$I$20</f>
        <v>182000</v>
      </c>
      <c r="F61" s="13">
        <f>B61*'Whitefield Monthly Projection'!$B$7*D61-E61</f>
        <v>0</v>
      </c>
      <c r="G61" s="46">
        <f>B61*'Whitefield Monthly Projection'!$B$7*'Profit Maximizer'!$C$69/('Whitefield Monthly Projection'!$B$7*'Whitefield Monthly Projection'!$B$8*'Whitefield Monthly Projection'!$B$9)</f>
        <v>1.6188944683825433</v>
      </c>
      <c r="H61" s="1" t="s">
        <v>408</v>
      </c>
      <c r="I61" s="1" t="s">
        <v>449</v>
      </c>
      <c r="J61" s="1"/>
      <c r="K61" s="1" t="s">
        <v>450</v>
      </c>
      <c r="L61" s="50">
        <f>SUMIF('Profit Maximizer'!$U$15:$U$44,"Yes",'Profit Maximizer'!$H$15:$H$44)/COUNTIF('Profit Maximizer'!$U$15:$U$44,"Yes")</f>
        <v>1843.9258683615819</v>
      </c>
      <c r="M61" s="1"/>
    </row>
    <row r="62" spans="1:13" ht="30">
      <c r="A62" s="1" t="s">
        <v>451</v>
      </c>
      <c r="B62" s="46">
        <f>(E62+$B$4)/D62/'Whitefield Monthly Projection'!$B$7</f>
        <v>3.7085560160862556</v>
      </c>
      <c r="C62" s="13">
        <f>'Whitefield Monthly Projection'!$S$46</f>
        <v>1860.9159999999997</v>
      </c>
      <c r="D62" s="13">
        <f>$L$63</f>
        <v>1635.8568241525422</v>
      </c>
      <c r="E62" s="13">
        <f>$I$20</f>
        <v>182000</v>
      </c>
      <c r="F62" s="13">
        <f>B62*'Whitefield Monthly Projection'!$B$7*D62-E62</f>
        <v>0</v>
      </c>
      <c r="G62" s="46">
        <f>B62*'Whitefield Monthly Projection'!$S$45/('Whitefield Monthly Projection'!$B$8*'Whitefield Monthly Projection'!$B$9)</f>
        <v>2.1416910992898126</v>
      </c>
      <c r="H62" s="1" t="s">
        <v>408</v>
      </c>
      <c r="I62" s="1" t="s">
        <v>452</v>
      </c>
      <c r="J62" s="1"/>
      <c r="K62" s="1" t="s">
        <v>453</v>
      </c>
      <c r="L62" s="50">
        <f>IF(1-L59=0,0,('Whitefield Monthly Projection'!$Q$34-L59*L61)/(1-L59))</f>
        <v>1427.7877799435025</v>
      </c>
      <c r="M62" s="1"/>
    </row>
    <row r="63" spans="1:13" ht="45">
      <c r="A63" s="1" t="s">
        <v>454</v>
      </c>
      <c r="B63" s="46">
        <f>MIN($L$68*'Whitefield Monthly Projection'!$B$7*$L$69*(1-$L$70)*(1-$L$71)/'Whitefield Monthly Projection'!$B$7,'Whitefield Monthly Projection'!$B$6*'Whitefield Monthly Projection'!$B$8*$L$72/((1-$L$73)*'Whitefield Monthly Projection'!$S$45+$L$73*'Profit Maximizer'!$C$69))</f>
        <v>3.8399430240717276</v>
      </c>
      <c r="C63" s="13">
        <f>'Whitefield Monthly Projection'!$S$46+('Whitefield Monthly Projection'!$S$45*($L$67-'Global Inputs'!$B$5))</f>
        <v>2784.9159999999997</v>
      </c>
      <c r="D63" s="13">
        <f>((1-$L$73)*('Whitefield Monthly Projection'!$Q$34+('Whitefield Monthly Projection'!$S$45*($L$67-'Global Inputs'!$B$5))/(1+'Global Inputs'!$B$7)-('Whitefield Monthly Projection'!$S$45*($L$67-'Global Inputs'!$B$5))*'Global Inputs'!$B$8)+$L$73*('Profit Maximizer'!$C$72/'Profit Maximizer'!$C$70))</f>
        <v>2797.4969418435612</v>
      </c>
      <c r="E63" s="13">
        <f>$I$20</f>
        <v>182000</v>
      </c>
      <c r="F63" s="13">
        <f>B63*'Whitefield Monthly Projection'!$B$7*D63-E63</f>
        <v>140266.86600082525</v>
      </c>
      <c r="G63" s="46">
        <f>B63*'Whitefield Monthly Projection'!$B$7*((1-$L$73)*'Whitefield Monthly Projection'!$S$45+$L$73*'Profit Maximizer'!$C$69)/('Whitefield Monthly Projection'!$B$7*'Whitefield Monthly Projection'!$B$8*$L$72)</f>
        <v>4</v>
      </c>
      <c r="H63" s="1" t="s">
        <v>408</v>
      </c>
      <c r="I63" s="1" t="s">
        <v>455</v>
      </c>
      <c r="J63" s="1"/>
      <c r="K63" s="1" t="s">
        <v>456</v>
      </c>
      <c r="L63" s="50">
        <f>L60*L61+(1-L60)*L62</f>
        <v>1635.8568241525422</v>
      </c>
      <c r="M63" s="1"/>
    </row>
    <row r="64" spans="1:13">
      <c r="A64" s="1"/>
      <c r="B64" s="1"/>
      <c r="C64" s="1"/>
      <c r="D64" s="1"/>
      <c r="E64" s="1"/>
      <c r="F64" s="1"/>
      <c r="G64" s="1"/>
      <c r="H64" s="1"/>
      <c r="I64" s="1"/>
      <c r="J64" s="1"/>
      <c r="K64" s="1"/>
      <c r="L64" s="1"/>
      <c r="M64" s="1"/>
    </row>
    <row r="65" spans="1:22" ht="16">
      <c r="A65" s="54" t="s">
        <v>457</v>
      </c>
      <c r="B65" s="61" t="str">
        <f>IF(F58&gt;=$B$4,"A — Lean MVP",IF(F63&gt;=$B$4,"F — Hybrid",IF(F61&gt;=$B$4,"D — Better Service Mix",IF(F60&gt;=$B$4,"C — Pricing Improvement","B — Volume Growth"))))</f>
        <v>F — Hybrid</v>
      </c>
      <c r="C65" s="1"/>
      <c r="D65" s="1"/>
      <c r="E65" s="1"/>
      <c r="F65" s="1"/>
      <c r="G65" s="1"/>
      <c r="H65" s="1"/>
      <c r="I65" s="1"/>
      <c r="J65" s="1"/>
      <c r="K65" s="1"/>
      <c r="L65" s="1"/>
      <c r="M65" s="1"/>
    </row>
    <row r="66" spans="1:22" ht="16">
      <c r="A66" s="1"/>
      <c r="B66" s="1"/>
      <c r="C66" s="1"/>
      <c r="D66" s="1"/>
      <c r="E66" s="1"/>
      <c r="F66" s="1"/>
      <c r="G66" s="1"/>
      <c r="H66" s="1"/>
      <c r="I66" s="1"/>
      <c r="J66" s="1"/>
      <c r="K66" s="54" t="s">
        <v>458</v>
      </c>
      <c r="L66" s="54" t="s">
        <v>2</v>
      </c>
      <c r="M66" s="1"/>
    </row>
    <row r="67" spans="1:22" ht="15">
      <c r="A67" s="1"/>
      <c r="B67" s="1"/>
      <c r="C67" s="1"/>
      <c r="D67" s="1"/>
      <c r="E67" s="1"/>
      <c r="F67" s="1"/>
      <c r="G67" s="1"/>
      <c r="H67" s="1"/>
      <c r="I67" s="1"/>
      <c r="J67" s="1"/>
      <c r="K67" s="1" t="s">
        <v>310</v>
      </c>
      <c r="L67" s="56">
        <v>499</v>
      </c>
      <c r="M67" s="1"/>
    </row>
    <row r="68" spans="1:22" ht="15">
      <c r="A68" s="1"/>
      <c r="B68" s="1"/>
      <c r="C68" s="1"/>
      <c r="D68" s="1"/>
      <c r="E68" s="1"/>
      <c r="F68" s="1"/>
      <c r="G68" s="1"/>
      <c r="H68" s="1"/>
      <c r="I68" s="1"/>
      <c r="J68" s="1"/>
      <c r="K68" s="1" t="s">
        <v>122</v>
      </c>
      <c r="L68" s="59">
        <v>15</v>
      </c>
      <c r="M68" s="1"/>
    </row>
    <row r="69" spans="1:22" ht="15">
      <c r="A69" s="1"/>
      <c r="B69" s="1"/>
      <c r="C69" s="1"/>
      <c r="D69" s="1"/>
      <c r="E69" s="1"/>
      <c r="F69" s="1"/>
      <c r="G69" s="1"/>
      <c r="H69" s="1"/>
      <c r="I69" s="1"/>
      <c r="J69" s="1"/>
      <c r="K69" s="1" t="s">
        <v>127</v>
      </c>
      <c r="L69" s="55">
        <v>0.4</v>
      </c>
      <c r="M69" s="1"/>
    </row>
    <row r="70" spans="1:22" ht="15">
      <c r="A70" s="1"/>
      <c r="B70" s="1"/>
      <c r="C70" s="1"/>
      <c r="D70" s="1"/>
      <c r="E70" s="1"/>
      <c r="F70" s="1"/>
      <c r="G70" s="1"/>
      <c r="H70" s="1"/>
      <c r="I70" s="1"/>
      <c r="J70" s="1"/>
      <c r="K70" s="1" t="s">
        <v>132</v>
      </c>
      <c r="L70" s="55">
        <v>0.05</v>
      </c>
      <c r="M70" s="1"/>
    </row>
    <row r="71" spans="1:22" ht="15">
      <c r="A71" s="1"/>
      <c r="B71" s="1"/>
      <c r="C71" s="1"/>
      <c r="D71" s="1"/>
      <c r="E71" s="1"/>
      <c r="F71" s="1"/>
      <c r="G71" s="1"/>
      <c r="H71" s="1"/>
      <c r="I71" s="1"/>
      <c r="J71" s="1"/>
      <c r="K71" s="1" t="s">
        <v>136</v>
      </c>
      <c r="L71" s="55">
        <v>0.02</v>
      </c>
      <c r="M71" s="1"/>
    </row>
    <row r="72" spans="1:22" ht="15">
      <c r="A72" s="1"/>
      <c r="B72" s="1"/>
      <c r="C72" s="1"/>
      <c r="D72" s="1"/>
      <c r="E72" s="1"/>
      <c r="F72" s="1"/>
      <c r="G72" s="1"/>
      <c r="H72" s="1"/>
      <c r="I72" s="1"/>
      <c r="J72" s="1"/>
      <c r="K72" s="1" t="s">
        <v>139</v>
      </c>
      <c r="L72" s="55">
        <v>0.7</v>
      </c>
      <c r="M72" s="1"/>
    </row>
    <row r="73" spans="1:22" ht="15">
      <c r="A73" s="1"/>
      <c r="B73" s="1"/>
      <c r="C73" s="1"/>
      <c r="D73" s="1"/>
      <c r="E73" s="1"/>
      <c r="F73" s="1"/>
      <c r="G73" s="1"/>
      <c r="H73" s="1"/>
      <c r="I73" s="1"/>
      <c r="J73" s="1"/>
      <c r="K73" s="1" t="s">
        <v>459</v>
      </c>
      <c r="L73" s="55">
        <v>0.5</v>
      </c>
      <c r="M73" s="1"/>
    </row>
    <row r="74" spans="1:22">
      <c r="A74" s="1"/>
      <c r="B74" s="1"/>
      <c r="C74" s="1"/>
      <c r="D74" s="1"/>
      <c r="E74" s="1"/>
      <c r="F74" s="1"/>
      <c r="G74" s="1"/>
      <c r="H74" s="1"/>
      <c r="I74" s="1"/>
      <c r="J74" s="1"/>
      <c r="K74" s="1"/>
      <c r="L74" s="1"/>
      <c r="M74" s="1"/>
    </row>
    <row r="75" spans="1:22">
      <c r="A75" s="1"/>
      <c r="B75" s="1"/>
      <c r="C75" s="1"/>
      <c r="D75" s="1"/>
      <c r="E75" s="1"/>
      <c r="F75" s="1"/>
      <c r="G75" s="1"/>
      <c r="H75" s="1"/>
      <c r="I75" s="1"/>
      <c r="J75" s="1"/>
      <c r="K75" s="1"/>
      <c r="L75" s="1"/>
      <c r="M75" s="1"/>
    </row>
    <row r="76" spans="1:22" ht="42.75" customHeight="1">
      <c r="A76" s="456" t="s">
        <v>460</v>
      </c>
      <c r="B76" s="456"/>
      <c r="C76" s="456"/>
      <c r="D76" s="456"/>
      <c r="E76" s="456"/>
      <c r="F76" s="456"/>
      <c r="G76" s="456"/>
      <c r="H76" s="456"/>
      <c r="I76" s="456" t="s">
        <v>461</v>
      </c>
      <c r="J76" s="456"/>
      <c r="K76" s="456"/>
      <c r="L76" s="456"/>
      <c r="M76" s="456"/>
      <c r="U76" s="58" t="s">
        <v>433</v>
      </c>
      <c r="V76" s="58" t="s">
        <v>462</v>
      </c>
    </row>
    <row r="77" spans="1:22" ht="48">
      <c r="A77" s="54" t="s">
        <v>38</v>
      </c>
      <c r="B77" s="54" t="s">
        <v>40</v>
      </c>
      <c r="C77" s="54" t="s">
        <v>278</v>
      </c>
      <c r="D77" s="54" t="s">
        <v>280</v>
      </c>
      <c r="E77" s="54" t="s">
        <v>463</v>
      </c>
      <c r="F77" s="54" t="s">
        <v>464</v>
      </c>
      <c r="G77" s="54" t="s">
        <v>383</v>
      </c>
      <c r="H77" s="1"/>
      <c r="I77" s="54" t="s">
        <v>465</v>
      </c>
      <c r="J77" s="54">
        <v>3</v>
      </c>
      <c r="K77" s="54">
        <v>5</v>
      </c>
      <c r="L77" s="54">
        <v>8</v>
      </c>
      <c r="M77" s="54">
        <v>10</v>
      </c>
      <c r="N77" s="54">
        <v>12</v>
      </c>
      <c r="O77" s="54">
        <v>15</v>
      </c>
      <c r="P77" s="54">
        <v>20</v>
      </c>
      <c r="Q77" s="54">
        <v>25</v>
      </c>
      <c r="U77">
        <v>3</v>
      </c>
      <c r="V77" s="16">
        <f>U77*'Whitefield Monthly Projection'!$B$7*'Whitefield Monthly Projection'!$Q$34-$M$11</f>
        <v>25991.38578644066</v>
      </c>
    </row>
    <row r="78" spans="1:22" ht="30">
      <c r="A78" s="40" t="str">
        <f>'Profit Maximizer'!A15</f>
        <v>Hospital Visit</v>
      </c>
      <c r="B78" s="45">
        <f>'Profit Maximizer'!C15</f>
        <v>4</v>
      </c>
      <c r="C78" s="12">
        <f>'Profit Maximizer'!H15</f>
        <v>1132.4783898305086</v>
      </c>
      <c r="D78" s="12">
        <f>'Profit Maximizer'!J15</f>
        <v>283.11959745762715</v>
      </c>
      <c r="E78" s="46">
        <f t="shared" ref="E78:E107" si="0">IF(C78&lt;=0,0,$M$11/C78)</f>
        <v>97.13209628349999</v>
      </c>
      <c r="F78" s="46">
        <f>IF('Whitefield Monthly Projection'!$B$7=0,0,E78/'Whitefield Monthly Projection'!$B$7)</f>
        <v>3.2377365427833329</v>
      </c>
      <c r="G78" s="1" t="str">
        <f>'Profit Maximizer'!Q15</f>
        <v>REVIEW — Economics need improvement</v>
      </c>
      <c r="H78" s="1"/>
      <c r="I78" s="56">
        <v>1499</v>
      </c>
      <c r="J78" s="50">
        <f>3*'Whitefield Monthly Projection'!$B$7*('Whitefield Monthly Projection'!$Q$34+($I78-'Whitefield Monthly Projection'!$S$46)/(1+'Global Inputs'!$B$7)-($I78-'Whitefield Monthly Projection'!$S$46)*'Global Inputs'!$B$8)-$M$11</f>
        <v>-1612.3769254237122</v>
      </c>
      <c r="K78" s="50">
        <f>5*'Whitefield Monthly Projection'!$B$7*('Whitefield Monthly Projection'!$Q$34+($I78-'Whitefield Monthly Projection'!$S$46)/(1+'Global Inputs'!$B$7)-($I78-'Whitefield Monthly Projection'!$S$46)*'Global Inputs'!$B$8)-$M$11</f>
        <v>70646.038457627146</v>
      </c>
      <c r="L78" s="50">
        <f>8*'Whitefield Monthly Projection'!$B$7*('Whitefield Monthly Projection'!$Q$34+($I78-'Whitefield Monthly Projection'!$S$46)/(1+'Global Inputs'!$B$7)-($I78-'Whitefield Monthly Projection'!$S$46)*'Global Inputs'!$B$8)-$M$11</f>
        <v>179033.66153220343</v>
      </c>
      <c r="M78" s="50">
        <f>10*'Whitefield Monthly Projection'!$B$7*('Whitefield Monthly Projection'!$Q$34+($I78-'Whitefield Monthly Projection'!$S$46)/(1+'Global Inputs'!$B$7)-($I78-'Whitefield Monthly Projection'!$S$46)*'Global Inputs'!$B$8)-$M$11</f>
        <v>251292.07691525429</v>
      </c>
      <c r="N78" s="16">
        <f>12*'Whitefield Monthly Projection'!$B$7*('Whitefield Monthly Projection'!$Q$34+($I78-'Whitefield Monthly Projection'!$S$46)/(1+'Global Inputs'!$B$7)-($I78-'Whitefield Monthly Projection'!$S$46)*'Global Inputs'!$B$8)-$M$11</f>
        <v>323550.49229830515</v>
      </c>
      <c r="O78" s="16">
        <f>15*'Whitefield Monthly Projection'!$B$7*('Whitefield Monthly Projection'!$Q$34+($I78-'Whitefield Monthly Projection'!$S$46)/(1+'Global Inputs'!$B$7)-($I78-'Whitefield Monthly Projection'!$S$46)*'Global Inputs'!$B$8)-$M$11</f>
        <v>431938.11537288141</v>
      </c>
      <c r="P78" s="16">
        <f>20*'Whitefield Monthly Projection'!$B$7*('Whitefield Monthly Projection'!$Q$34+($I78-'Whitefield Monthly Projection'!$S$46)/(1+'Global Inputs'!$B$7)-($I78-'Whitefield Monthly Projection'!$S$46)*'Global Inputs'!$B$8)-$M$11</f>
        <v>612584.15383050859</v>
      </c>
      <c r="Q78" s="16">
        <f>25*'Whitefield Monthly Projection'!$B$7*('Whitefield Monthly Projection'!$Q$34+($I78-'Whitefield Monthly Projection'!$S$46)/(1+'Global Inputs'!$B$7)-($I78-'Whitefield Monthly Projection'!$S$46)*'Global Inputs'!$B$8)-$M$11</f>
        <v>793230.19228813576</v>
      </c>
      <c r="U78">
        <v>5</v>
      </c>
      <c r="V78" s="16">
        <f>U78*'Whitefield Monthly Projection'!$B$7*'Whitefield Monthly Projection'!$Q$34-$M$11</f>
        <v>116652.30964406778</v>
      </c>
    </row>
    <row r="79" spans="1:22" ht="30">
      <c r="A79" s="40" t="str">
        <f>'Profit Maximizer'!A16</f>
        <v>Hospital Visit — Concierge at Hospital</v>
      </c>
      <c r="B79" s="45">
        <f>'Profit Maximizer'!C16</f>
        <v>3</v>
      </c>
      <c r="C79" s="12">
        <f>'Profit Maximizer'!H16</f>
        <v>743.79866101694927</v>
      </c>
      <c r="D79" s="12">
        <f>'Profit Maximizer'!J16</f>
        <v>247.93288700564975</v>
      </c>
      <c r="E79" s="46">
        <f t="shared" si="0"/>
        <v>147.88948376110801</v>
      </c>
      <c r="F79" s="46">
        <f>IF('Whitefield Monthly Projection'!$B$7=0,0,E79/'Whitefield Monthly Projection'!$B$7)</f>
        <v>4.9296494587035999</v>
      </c>
      <c r="G79" s="1" t="str">
        <f>'Profit Maximizer'!Q16</f>
        <v>REVIEW — Economics need improvement</v>
      </c>
      <c r="H79" s="1"/>
      <c r="I79" s="56">
        <v>1699</v>
      </c>
      <c r="J79" s="50">
        <f>3*'Whitefield Monthly Projection'!$B$7*('Whitefield Monthly Projection'!$Q$34+($I79-'Whitefield Monthly Projection'!$S$46)/(1+'Global Inputs'!$B$7)-($I79-'Whitefield Monthly Projection'!$S$46)*'Global Inputs'!$B$8)-$M$11</f>
        <v>13641.860362711872</v>
      </c>
      <c r="K79" s="50">
        <f>5*'Whitefield Monthly Projection'!$B$7*('Whitefield Monthly Projection'!$Q$34+($I79-'Whitefield Monthly Projection'!$S$46)/(1+'Global Inputs'!$B$7)-($I79-'Whitefield Monthly Projection'!$S$46)*'Global Inputs'!$B$8)-$M$11</f>
        <v>96069.767271186458</v>
      </c>
      <c r="L79" s="50">
        <f>8*'Whitefield Monthly Projection'!$B$7*('Whitefield Monthly Projection'!$Q$34+($I79-'Whitefield Monthly Projection'!$S$46)/(1+'Global Inputs'!$B$7)-($I79-'Whitefield Monthly Projection'!$S$46)*'Global Inputs'!$B$8)-$M$11</f>
        <v>219711.62763389834</v>
      </c>
      <c r="M79" s="50">
        <f>10*'Whitefield Monthly Projection'!$B$7*('Whitefield Monthly Projection'!$Q$34+($I79-'Whitefield Monthly Projection'!$S$46)/(1+'Global Inputs'!$B$7)-($I79-'Whitefield Monthly Projection'!$S$46)*'Global Inputs'!$B$8)-$M$11</f>
        <v>302139.53454237292</v>
      </c>
      <c r="N79" s="16">
        <f>12*'Whitefield Monthly Projection'!$B$7*('Whitefield Monthly Projection'!$Q$34+($I79-'Whitefield Monthly Projection'!$S$46)/(1+'Global Inputs'!$B$7)-($I79-'Whitefield Monthly Projection'!$S$46)*'Global Inputs'!$B$8)-$M$11</f>
        <v>384567.44145084749</v>
      </c>
      <c r="O79" s="16">
        <f>15*'Whitefield Monthly Projection'!$B$7*('Whitefield Monthly Projection'!$Q$34+($I79-'Whitefield Monthly Projection'!$S$46)/(1+'Global Inputs'!$B$7)-($I79-'Whitefield Monthly Projection'!$S$46)*'Global Inputs'!$B$8)-$M$11</f>
        <v>508209.30181355937</v>
      </c>
      <c r="P79" s="16">
        <f>20*'Whitefield Monthly Projection'!$B$7*('Whitefield Monthly Projection'!$Q$34+($I79-'Whitefield Monthly Projection'!$S$46)/(1+'Global Inputs'!$B$7)-($I79-'Whitefield Monthly Projection'!$S$46)*'Global Inputs'!$B$8)-$M$11</f>
        <v>714279.06908474583</v>
      </c>
      <c r="Q79" s="16">
        <f>25*'Whitefield Monthly Projection'!$B$7*('Whitefield Monthly Projection'!$Q$34+($I79-'Whitefield Monthly Projection'!$S$46)/(1+'Global Inputs'!$B$7)-($I79-'Whitefield Monthly Projection'!$S$46)*'Global Inputs'!$B$8)-$M$11</f>
        <v>920348.83635593229</v>
      </c>
      <c r="U79">
        <v>8</v>
      </c>
      <c r="V79" s="16">
        <f>U79*'Whitefield Monthly Projection'!$B$7*'Whitefield Monthly Projection'!$Q$34-$M$11</f>
        <v>252643.69543050847</v>
      </c>
    </row>
    <row r="80" spans="1:22" ht="15">
      <c r="A80" s="40" t="str">
        <f>'Profit Maximizer'!A17</f>
        <v>Clinic Visit</v>
      </c>
      <c r="B80" s="45">
        <f>'Profit Maximizer'!C17</f>
        <v>2</v>
      </c>
      <c r="C80" s="12">
        <f>'Profit Maximizer'!H17</f>
        <v>598.04376271186447</v>
      </c>
      <c r="D80" s="12">
        <f>'Profit Maximizer'!J17</f>
        <v>299.02188135593224</v>
      </c>
      <c r="E80" s="46">
        <f t="shared" si="0"/>
        <v>183.93302774565953</v>
      </c>
      <c r="F80" s="46">
        <f>IF('Whitefield Monthly Projection'!$B$7=0,0,E80/'Whitefield Monthly Projection'!$B$7)</f>
        <v>6.1311009248553177</v>
      </c>
      <c r="G80" s="1" t="str">
        <f>'Profit Maximizer'!Q17</f>
        <v>GROW — Attractive economics</v>
      </c>
      <c r="H80" s="1"/>
      <c r="I80" s="56">
        <v>1799</v>
      </c>
      <c r="J80" s="50">
        <f>3*'Whitefield Monthly Projection'!$B$7*('Whitefield Monthly Projection'!$Q$34+($I80-'Whitefield Monthly Projection'!$S$46)/(1+'Global Inputs'!$B$7)-($I80-'Whitefield Monthly Projection'!$S$46)*'Global Inputs'!$B$8)-$M$11</f>
        <v>21268.979006779671</v>
      </c>
      <c r="K80" s="50">
        <f>5*'Whitefield Monthly Projection'!$B$7*('Whitefield Monthly Projection'!$Q$34+($I80-'Whitefield Monthly Projection'!$S$46)/(1+'Global Inputs'!$B$7)-($I80-'Whitefield Monthly Projection'!$S$46)*'Global Inputs'!$B$8)-$M$11</f>
        <v>108781.63167796613</v>
      </c>
      <c r="L80" s="50">
        <f>8*'Whitefield Monthly Projection'!$B$7*('Whitefield Monthly Projection'!$Q$34+($I80-'Whitefield Monthly Projection'!$S$46)/(1+'Global Inputs'!$B$7)-($I80-'Whitefield Monthly Projection'!$S$46)*'Global Inputs'!$B$8)-$M$11</f>
        <v>240050.61068474583</v>
      </c>
      <c r="M80" s="50">
        <f>10*'Whitefield Monthly Projection'!$B$7*('Whitefield Monthly Projection'!$Q$34+($I80-'Whitefield Monthly Projection'!$S$46)/(1+'Global Inputs'!$B$7)-($I80-'Whitefield Monthly Projection'!$S$46)*'Global Inputs'!$B$8)-$M$11</f>
        <v>327563.26335593226</v>
      </c>
      <c r="N80" s="16">
        <f>12*'Whitefield Monthly Projection'!$B$7*('Whitefield Monthly Projection'!$Q$34+($I80-'Whitefield Monthly Projection'!$S$46)/(1+'Global Inputs'!$B$7)-($I80-'Whitefield Monthly Projection'!$S$46)*'Global Inputs'!$B$8)-$M$11</f>
        <v>415075.91602711868</v>
      </c>
      <c r="O80" s="16">
        <f>15*'Whitefield Monthly Projection'!$B$7*('Whitefield Monthly Projection'!$Q$34+($I80-'Whitefield Monthly Projection'!$S$46)/(1+'Global Inputs'!$B$7)-($I80-'Whitefield Monthly Projection'!$S$46)*'Global Inputs'!$B$8)-$M$11</f>
        <v>546344.89503389841</v>
      </c>
      <c r="P80" s="16">
        <f>20*'Whitefield Monthly Projection'!$B$7*('Whitefield Monthly Projection'!$Q$34+($I80-'Whitefield Monthly Projection'!$S$46)/(1+'Global Inputs'!$B$7)-($I80-'Whitefield Monthly Projection'!$S$46)*'Global Inputs'!$B$8)-$M$11</f>
        <v>765126.52671186451</v>
      </c>
      <c r="Q80" s="16">
        <f>25*'Whitefield Monthly Projection'!$B$7*('Whitefield Monthly Projection'!$Q$34+($I80-'Whitefield Monthly Projection'!$S$46)/(1+'Global Inputs'!$B$7)-($I80-'Whitefield Monthly Projection'!$S$46)*'Global Inputs'!$B$8)-$M$11</f>
        <v>983908.15838983073</v>
      </c>
      <c r="U80">
        <v>10</v>
      </c>
      <c r="V80" s="16">
        <f>U80*'Whitefield Monthly Projection'!$B$7*'Whitefield Monthly Projection'!$Q$34-$M$11</f>
        <v>343304.61928813555</v>
      </c>
    </row>
    <row r="81" spans="1:22" ht="30">
      <c r="A81" s="40" t="str">
        <f>'Profit Maximizer'!A18</f>
        <v>Diagnostic Center Visit</v>
      </c>
      <c r="B81" s="45">
        <f>'Profit Maximizer'!C18</f>
        <v>3</v>
      </c>
      <c r="C81" s="12">
        <f>'Profit Maximizer'!H18</f>
        <v>780.23738559322032</v>
      </c>
      <c r="D81" s="12">
        <f>'Profit Maximizer'!J18</f>
        <v>260.07912853107342</v>
      </c>
      <c r="E81" s="46">
        <f t="shared" si="0"/>
        <v>140.98273426922009</v>
      </c>
      <c r="F81" s="46">
        <f>IF('Whitefield Monthly Projection'!$B$7=0,0,E81/'Whitefield Monthly Projection'!$B$7)</f>
        <v>4.6994244756406696</v>
      </c>
      <c r="G81" s="1" t="str">
        <f>'Profit Maximizer'!Q18</f>
        <v>REVIEW — Economics need improvement</v>
      </c>
      <c r="H81" s="1"/>
      <c r="I81" s="56">
        <v>1999</v>
      </c>
      <c r="J81" s="50">
        <f>3*'Whitefield Monthly Projection'!$B$7*('Whitefield Monthly Projection'!$Q$34+($I81-'Whitefield Monthly Projection'!$S$46)/(1+'Global Inputs'!$B$7)-($I81-'Whitefield Monthly Projection'!$S$46)*'Global Inputs'!$B$8)-$M$11</f>
        <v>36523.21629491527</v>
      </c>
      <c r="K81" s="50">
        <f>5*'Whitefield Monthly Projection'!$B$7*('Whitefield Monthly Projection'!$Q$34+($I81-'Whitefield Monthly Projection'!$S$46)/(1+'Global Inputs'!$B$7)-($I81-'Whitefield Monthly Projection'!$S$46)*'Global Inputs'!$B$8)-$M$11</f>
        <v>134205.36049152544</v>
      </c>
      <c r="L81" s="50">
        <f>8*'Whitefield Monthly Projection'!$B$7*('Whitefield Monthly Projection'!$Q$34+($I81-'Whitefield Monthly Projection'!$S$46)/(1+'Global Inputs'!$B$7)-($I81-'Whitefield Monthly Projection'!$S$46)*'Global Inputs'!$B$8)-$M$11</f>
        <v>280728.57678644068</v>
      </c>
      <c r="M81" s="50">
        <f>10*'Whitefield Monthly Projection'!$B$7*('Whitefield Monthly Projection'!$Q$34+($I81-'Whitefield Monthly Projection'!$S$46)/(1+'Global Inputs'!$B$7)-($I81-'Whitefield Monthly Projection'!$S$46)*'Global Inputs'!$B$8)-$M$11</f>
        <v>378410.72098305088</v>
      </c>
      <c r="N81" s="16">
        <f>12*'Whitefield Monthly Projection'!$B$7*('Whitefield Monthly Projection'!$Q$34+($I81-'Whitefield Monthly Projection'!$S$46)/(1+'Global Inputs'!$B$7)-($I81-'Whitefield Monthly Projection'!$S$46)*'Global Inputs'!$B$8)-$M$11</f>
        <v>476092.86517966108</v>
      </c>
      <c r="O81" s="16">
        <f>15*'Whitefield Monthly Projection'!$B$7*('Whitefield Monthly Projection'!$Q$34+($I81-'Whitefield Monthly Projection'!$S$46)/(1+'Global Inputs'!$B$7)-($I81-'Whitefield Monthly Projection'!$S$46)*'Global Inputs'!$B$8)-$M$11</f>
        <v>622616.08147457626</v>
      </c>
      <c r="P81" s="16">
        <f>20*'Whitefield Monthly Projection'!$B$7*('Whitefield Monthly Projection'!$Q$34+($I81-'Whitefield Monthly Projection'!$S$46)/(1+'Global Inputs'!$B$7)-($I81-'Whitefield Monthly Projection'!$S$46)*'Global Inputs'!$B$8)-$M$11</f>
        <v>866821.44196610176</v>
      </c>
      <c r="Q81" s="16">
        <f>25*'Whitefield Monthly Projection'!$B$7*('Whitefield Monthly Projection'!$Q$34+($I81-'Whitefield Monthly Projection'!$S$46)/(1+'Global Inputs'!$B$7)-($I81-'Whitefield Monthly Projection'!$S$46)*'Global Inputs'!$B$8)-$M$11</f>
        <v>1111026.8024576271</v>
      </c>
      <c r="U81">
        <v>12</v>
      </c>
      <c r="V81" s="16">
        <f>U81*'Whitefield Monthly Projection'!$B$7*'Whitefield Monthly Projection'!$Q$34-$M$11</f>
        <v>433965.54314576264</v>
      </c>
    </row>
    <row r="82" spans="1:22" ht="30">
      <c r="A82" s="40" t="str">
        <f>'Profit Maximizer'!A19</f>
        <v>Health Check-up Concierge</v>
      </c>
      <c r="B82" s="45">
        <f>'Profit Maximizer'!C19</f>
        <v>5</v>
      </c>
      <c r="C82" s="12">
        <f>'Profit Maximizer'!H19</f>
        <v>1253.9408050847455</v>
      </c>
      <c r="D82" s="12">
        <f>'Profit Maximizer'!J19</f>
        <v>250.78816101694912</v>
      </c>
      <c r="E82" s="46">
        <f t="shared" si="0"/>
        <v>87.723439219737202</v>
      </c>
      <c r="F82" s="46">
        <f>IF('Whitefield Monthly Projection'!$B$7=0,0,E82/'Whitefield Monthly Projection'!$B$7)</f>
        <v>2.9241146406579066</v>
      </c>
      <c r="G82" s="1" t="str">
        <f>'Profit Maximizer'!Q19</f>
        <v>REVIEW — Economics need improvement</v>
      </c>
      <c r="H82" s="1"/>
      <c r="I82" s="56">
        <v>2199</v>
      </c>
      <c r="J82" s="50">
        <f>3*'Whitefield Monthly Projection'!$B$7*('Whitefield Monthly Projection'!$Q$34+($I82-'Whitefield Monthly Projection'!$S$46)/(1+'Global Inputs'!$B$7)-($I82-'Whitefield Monthly Projection'!$S$46)*'Global Inputs'!$B$8)-$M$11</f>
        <v>51777.453583050868</v>
      </c>
      <c r="K82" s="50">
        <f>5*'Whitefield Monthly Projection'!$B$7*('Whitefield Monthly Projection'!$Q$34+($I82-'Whitefield Monthly Projection'!$S$46)/(1+'Global Inputs'!$B$7)-($I82-'Whitefield Monthly Projection'!$S$46)*'Global Inputs'!$B$8)-$M$11</f>
        <v>159629.08930508478</v>
      </c>
      <c r="L82" s="50">
        <f>8*'Whitefield Monthly Projection'!$B$7*('Whitefield Monthly Projection'!$Q$34+($I82-'Whitefield Monthly Projection'!$S$46)/(1+'Global Inputs'!$B$7)-($I82-'Whitefield Monthly Projection'!$S$46)*'Global Inputs'!$B$8)-$M$11</f>
        <v>321406.54288813565</v>
      </c>
      <c r="M82" s="50">
        <f>10*'Whitefield Monthly Projection'!$B$7*('Whitefield Monthly Projection'!$Q$34+($I82-'Whitefield Monthly Projection'!$S$46)/(1+'Global Inputs'!$B$7)-($I82-'Whitefield Monthly Projection'!$S$46)*'Global Inputs'!$B$8)-$M$11</f>
        <v>429258.17861016956</v>
      </c>
      <c r="N82" s="16">
        <f>12*'Whitefield Monthly Projection'!$B$7*('Whitefield Monthly Projection'!$Q$34+($I82-'Whitefield Monthly Projection'!$S$46)/(1+'Global Inputs'!$B$7)-($I82-'Whitefield Monthly Projection'!$S$46)*'Global Inputs'!$B$8)-$M$11</f>
        <v>537109.81433220347</v>
      </c>
      <c r="O82" s="16">
        <f>15*'Whitefield Monthly Projection'!$B$7*('Whitefield Monthly Projection'!$Q$34+($I82-'Whitefield Monthly Projection'!$S$46)/(1+'Global Inputs'!$B$7)-($I82-'Whitefield Monthly Projection'!$S$46)*'Global Inputs'!$B$8)-$M$11</f>
        <v>698887.26791525434</v>
      </c>
      <c r="P82" s="16">
        <f>20*'Whitefield Monthly Projection'!$B$7*('Whitefield Monthly Projection'!$Q$34+($I82-'Whitefield Monthly Projection'!$S$46)/(1+'Global Inputs'!$B$7)-($I82-'Whitefield Monthly Projection'!$S$46)*'Global Inputs'!$B$8)-$M$11</f>
        <v>968516.35722033912</v>
      </c>
      <c r="Q82" s="16">
        <f>25*'Whitefield Monthly Projection'!$B$7*('Whitefield Monthly Projection'!$Q$34+($I82-'Whitefield Monthly Projection'!$S$46)/(1+'Global Inputs'!$B$7)-($I82-'Whitefield Monthly Projection'!$S$46)*'Global Inputs'!$B$8)-$M$11</f>
        <v>1238145.4465254238</v>
      </c>
      <c r="U82">
        <v>15</v>
      </c>
      <c r="V82" s="16">
        <f>U82*'Whitefield Monthly Projection'!$B$7*'Whitefield Monthly Projection'!$Q$34-$M$11</f>
        <v>569956.92893220333</v>
      </c>
    </row>
    <row r="83" spans="1:22" ht="15">
      <c r="A83" s="40" t="str">
        <f>'Profit Maximizer'!A20</f>
        <v>Hospital Admission Concierge</v>
      </c>
      <c r="B83" s="45">
        <f>'Profit Maximizer'!C20</f>
        <v>4</v>
      </c>
      <c r="C83" s="12">
        <f>'Profit Maximizer'!H20</f>
        <v>1278.2332881355933</v>
      </c>
      <c r="D83" s="12">
        <f>'Profit Maximizer'!J20</f>
        <v>319.55832203389832</v>
      </c>
      <c r="E83" s="46">
        <f t="shared" si="0"/>
        <v>86.056278631613409</v>
      </c>
      <c r="F83" s="46">
        <f>IF('Whitefield Monthly Projection'!$B$7=0,0,E83/'Whitefield Monthly Projection'!$B$7)</f>
        <v>2.8685426210537801</v>
      </c>
      <c r="G83" s="1" t="str">
        <f>'Profit Maximizer'!Q20</f>
        <v>GROW — Attractive economics</v>
      </c>
      <c r="H83" s="1"/>
      <c r="I83" s="56">
        <v>2499</v>
      </c>
      <c r="J83" s="50">
        <f>3*'Whitefield Monthly Projection'!$B$7*('Whitefield Monthly Projection'!$Q$34+($I83-'Whitefield Monthly Projection'!$S$46)/(1+'Global Inputs'!$B$7)-($I83-'Whitefield Monthly Projection'!$S$46)*'Global Inputs'!$B$8)-$M$11</f>
        <v>74658.809515254223</v>
      </c>
      <c r="K83" s="50">
        <f>5*'Whitefield Monthly Projection'!$B$7*('Whitefield Monthly Projection'!$Q$34+($I83-'Whitefield Monthly Projection'!$S$46)/(1+'Global Inputs'!$B$7)-($I83-'Whitefield Monthly Projection'!$S$46)*'Global Inputs'!$B$8)-$M$11</f>
        <v>197764.6825254237</v>
      </c>
      <c r="L83" s="50">
        <f>8*'Whitefield Monthly Projection'!$B$7*('Whitefield Monthly Projection'!$Q$34+($I83-'Whitefield Monthly Projection'!$S$46)/(1+'Global Inputs'!$B$7)-($I83-'Whitefield Monthly Projection'!$S$46)*'Global Inputs'!$B$8)-$M$11</f>
        <v>382423.49204067793</v>
      </c>
      <c r="M83" s="50">
        <f>10*'Whitefield Monthly Projection'!$B$7*('Whitefield Monthly Projection'!$Q$34+($I83-'Whitefield Monthly Projection'!$S$46)/(1+'Global Inputs'!$B$7)-($I83-'Whitefield Monthly Projection'!$S$46)*'Global Inputs'!$B$8)-$M$11</f>
        <v>505529.36505084741</v>
      </c>
      <c r="N83" s="16">
        <f>12*'Whitefield Monthly Projection'!$B$7*('Whitefield Monthly Projection'!$Q$34+($I83-'Whitefield Monthly Projection'!$S$46)/(1+'Global Inputs'!$B$7)-($I83-'Whitefield Monthly Projection'!$S$46)*'Global Inputs'!$B$8)-$M$11</f>
        <v>628635.23806101689</v>
      </c>
      <c r="O83" s="16">
        <f>15*'Whitefield Monthly Projection'!$B$7*('Whitefield Monthly Projection'!$Q$34+($I83-'Whitefield Monthly Projection'!$S$46)/(1+'Global Inputs'!$B$7)-($I83-'Whitefield Monthly Projection'!$S$46)*'Global Inputs'!$B$8)-$M$11</f>
        <v>813294.04757627111</v>
      </c>
      <c r="P83" s="16">
        <f>20*'Whitefield Monthly Projection'!$B$7*('Whitefield Monthly Projection'!$Q$34+($I83-'Whitefield Monthly Projection'!$S$46)/(1+'Global Inputs'!$B$7)-($I83-'Whitefield Monthly Projection'!$S$46)*'Global Inputs'!$B$8)-$M$11</f>
        <v>1121058.7301016948</v>
      </c>
      <c r="Q83" s="16">
        <f>25*'Whitefield Monthly Projection'!$B$7*('Whitefield Monthly Projection'!$Q$34+($I83-'Whitefield Monthly Projection'!$S$46)/(1+'Global Inputs'!$B$7)-($I83-'Whitefield Monthly Projection'!$S$46)*'Global Inputs'!$B$8)-$M$11</f>
        <v>1428823.4126271186</v>
      </c>
      <c r="U83">
        <v>20</v>
      </c>
      <c r="V83" s="16">
        <f>U83*'Whitefield Monthly Projection'!$B$7*'Whitefield Monthly Projection'!$Q$34-$M$11</f>
        <v>796609.23857627111</v>
      </c>
    </row>
    <row r="84" spans="1:22" ht="15">
      <c r="A84" s="40" t="str">
        <f>'Profit Maximizer'!A21</f>
        <v>Hospital Discharge Concierge</v>
      </c>
      <c r="B84" s="45">
        <f>'Profit Maximizer'!C21</f>
        <v>4</v>
      </c>
      <c r="C84" s="12">
        <f>'Profit Maximizer'!H21</f>
        <v>1229.6483220338985</v>
      </c>
      <c r="D84" s="12">
        <f>'Profit Maximizer'!J21</f>
        <v>307.41208050847462</v>
      </c>
      <c r="E84" s="46">
        <f t="shared" si="0"/>
        <v>89.456471438967711</v>
      </c>
      <c r="F84" s="46">
        <f>IF('Whitefield Monthly Projection'!$B$7=0,0,E84/'Whitefield Monthly Projection'!$B$7)</f>
        <v>2.9818823812989237</v>
      </c>
      <c r="G84" s="1" t="str">
        <f>'Profit Maximizer'!Q21</f>
        <v>GROW — Attractive economics</v>
      </c>
      <c r="H84" s="1"/>
      <c r="I84" s="1"/>
      <c r="J84" s="1"/>
      <c r="K84" s="1"/>
      <c r="L84" s="1"/>
      <c r="M84" s="1"/>
      <c r="U84">
        <v>25</v>
      </c>
      <c r="V84" s="16">
        <f>U84*'Whitefield Monthly Projection'!$B$7*'Whitefield Monthly Projection'!$Q$34-$M$11</f>
        <v>1023261.548220339</v>
      </c>
    </row>
    <row r="85" spans="1:22" ht="30">
      <c r="A85" s="40" t="str">
        <f>'Profit Maximizer'!A22</f>
        <v>Overnight Hospital Concierge</v>
      </c>
      <c r="B85" s="45">
        <f>'Profit Maximizer'!C22</f>
        <v>12</v>
      </c>
      <c r="C85" s="12">
        <f>'Profit Maximizer'!H22</f>
        <v>2881.5371694915252</v>
      </c>
      <c r="D85" s="12">
        <f>'Profit Maximizer'!J22</f>
        <v>240.12809745762709</v>
      </c>
      <c r="E85" s="46">
        <f t="shared" si="0"/>
        <v>38.174069439267569</v>
      </c>
      <c r="F85" s="46">
        <f>IF('Whitefield Monthly Projection'!$B$7=0,0,E85/'Whitefield Monthly Projection'!$B$7)</f>
        <v>1.2724689813089189</v>
      </c>
      <c r="G85" s="1" t="str">
        <f>'Profit Maximizer'!Q22</f>
        <v>REVIEW — Economics need improvement</v>
      </c>
      <c r="H85" s="1"/>
      <c r="I85" s="1"/>
      <c r="J85" s="1"/>
      <c r="K85" s="1"/>
      <c r="L85" s="1"/>
      <c r="M85" s="1"/>
    </row>
    <row r="86" spans="1:22" ht="31">
      <c r="A86" s="40" t="str">
        <f>'Profit Maximizer'!A23</f>
        <v>Multi-Day Hospital Concierge (per 12h shift)</v>
      </c>
      <c r="B86" s="45">
        <f>'Profit Maximizer'!C23</f>
        <v>12</v>
      </c>
      <c r="C86" s="12">
        <f>'Profit Maximizer'!H23</f>
        <v>2881.5371694915252</v>
      </c>
      <c r="D86" s="12">
        <f>'Profit Maximizer'!J23</f>
        <v>240.12809745762709</v>
      </c>
      <c r="E86" s="46">
        <f t="shared" si="0"/>
        <v>38.174069439267569</v>
      </c>
      <c r="F86" s="46">
        <f>IF('Whitefield Monthly Projection'!$B$7=0,0,E86/'Whitefield Monthly Projection'!$B$7)</f>
        <v>1.2724689813089189</v>
      </c>
      <c r="G86" s="1" t="str">
        <f>'Profit Maximizer'!Q23</f>
        <v>REVIEW — Economics need improvement</v>
      </c>
      <c r="H86" s="1"/>
      <c r="I86" s="456" t="s">
        <v>466</v>
      </c>
      <c r="J86" s="456"/>
      <c r="K86" s="456"/>
      <c r="L86" s="456"/>
      <c r="M86" s="456"/>
      <c r="U86" s="58" t="s">
        <v>434</v>
      </c>
      <c r="V86" s="58" t="s">
        <v>462</v>
      </c>
    </row>
    <row r="87" spans="1:22" ht="48">
      <c r="A87" s="40" t="str">
        <f>'Profit Maximizer'!A24</f>
        <v>Day Surgery / Procedure Concierge</v>
      </c>
      <c r="B87" s="45">
        <f>'Profit Maximizer'!C24</f>
        <v>6</v>
      </c>
      <c r="C87" s="12">
        <f>'Profit Maximizer'!H24</f>
        <v>1909.8378474576273</v>
      </c>
      <c r="D87" s="12">
        <f>'Profit Maximizer'!J24</f>
        <v>318.30630790960453</v>
      </c>
      <c r="E87" s="46">
        <f t="shared" si="0"/>
        <v>57.59651278585342</v>
      </c>
      <c r="F87" s="46">
        <f>IF('Whitefield Monthly Projection'!$B$7=0,0,E87/'Whitefield Monthly Projection'!$B$7)</f>
        <v>1.9198837595284473</v>
      </c>
      <c r="G87" s="1" t="str">
        <f>'Profit Maximizer'!Q24</f>
        <v>GROW — Attractive economics</v>
      </c>
      <c r="H87" s="1"/>
      <c r="I87" s="54" t="s">
        <v>467</v>
      </c>
      <c r="J87" s="54">
        <v>3</v>
      </c>
      <c r="K87" s="54">
        <v>5</v>
      </c>
      <c r="L87" s="54">
        <v>8</v>
      </c>
      <c r="M87" s="54">
        <v>10</v>
      </c>
      <c r="N87" s="54">
        <v>12</v>
      </c>
      <c r="O87" s="54">
        <v>15</v>
      </c>
      <c r="P87" s="54">
        <v>20</v>
      </c>
      <c r="U87" s="16">
        <v>1499</v>
      </c>
      <c r="V87" s="16">
        <f>'Whitefield Monthly Projection'!$Q$19*('Whitefield Monthly Projection'!$Q$34+(U87-'Whitefield Monthly Projection'!$S$46)/(1+'Global Inputs'!$B$7)-(U87-'Whitefield Monthly Projection'!$S$46)*'Global Inputs'!$B$8)-$M$11</f>
        <v>-64693.973554827106</v>
      </c>
    </row>
    <row r="88" spans="1:22" ht="15">
      <c r="A88" s="40" t="str">
        <f>'Profit Maximizer'!A25</f>
        <v>Pre-Surgery Concierge</v>
      </c>
      <c r="B88" s="45">
        <f>'Profit Maximizer'!C25</f>
        <v>4</v>
      </c>
      <c r="C88" s="12">
        <f>'Profit Maximizer'!H25</f>
        <v>1229.6483220338985</v>
      </c>
      <c r="D88" s="12">
        <f>'Profit Maximizer'!J25</f>
        <v>307.41208050847462</v>
      </c>
      <c r="E88" s="46">
        <f t="shared" si="0"/>
        <v>89.456471438967711</v>
      </c>
      <c r="F88" s="46">
        <f>IF('Whitefield Monthly Projection'!$B$7=0,0,E88/'Whitefield Monthly Projection'!$B$7)</f>
        <v>2.9818823812989237</v>
      </c>
      <c r="G88" s="1" t="str">
        <f>'Profit Maximizer'!Q25</f>
        <v>GROW — Attractive economics</v>
      </c>
      <c r="H88" s="1"/>
      <c r="I88" s="56">
        <v>75000</v>
      </c>
      <c r="J88" s="50">
        <f>3*'Whitefield Monthly Projection'!$B$7*'Whitefield Monthly Projection'!$Q$34-$I88</f>
        <v>60991.38578644066</v>
      </c>
      <c r="K88" s="50">
        <f>5*'Whitefield Monthly Projection'!$B$7*'Whitefield Monthly Projection'!$Q$34-$I88</f>
        <v>151652.30964406778</v>
      </c>
      <c r="L88" s="50">
        <f>8*'Whitefield Monthly Projection'!$B$7*'Whitefield Monthly Projection'!$Q$34-$I88</f>
        <v>287643.69543050847</v>
      </c>
      <c r="M88" s="50">
        <f>10*'Whitefield Monthly Projection'!$B$7*'Whitefield Monthly Projection'!$Q$34-$I88</f>
        <v>378304.61928813555</v>
      </c>
      <c r="N88" s="16">
        <f>12*'Whitefield Monthly Projection'!$B$7*'Whitefield Monthly Projection'!$Q$34-$I88</f>
        <v>468965.54314576264</v>
      </c>
      <c r="O88" s="16">
        <f>15*'Whitefield Monthly Projection'!$B$7*'Whitefield Monthly Projection'!$Q$34-$I88</f>
        <v>604956.92893220333</v>
      </c>
      <c r="P88" s="16">
        <f>20*'Whitefield Monthly Projection'!$B$7*'Whitefield Monthly Projection'!$Q$34-$I88</f>
        <v>831609.23857627111</v>
      </c>
      <c r="U88" s="16">
        <v>1699</v>
      </c>
      <c r="V88" s="16">
        <f>'Whitefield Monthly Projection'!$Q$19*('Whitefield Monthly Projection'!$Q$34+(U88-'Whitefield Monthly Projection'!$S$46)/(1+'Global Inputs'!$B$7)-(U88-'Whitefield Monthly Projection'!$S$46)*'Global Inputs'!$B$8)-$M$11</f>
        <v>-58317.702368386432</v>
      </c>
    </row>
    <row r="89" spans="1:22" ht="15">
      <c r="A89" s="40" t="str">
        <f>'Profit Maximizer'!A26</f>
        <v>Post-Surgery Follow-up</v>
      </c>
      <c r="B89" s="45">
        <f>'Profit Maximizer'!C26</f>
        <v>3</v>
      </c>
      <c r="C89" s="12">
        <f>'Profit Maximizer'!H26</f>
        <v>889.55355932203383</v>
      </c>
      <c r="D89" s="12">
        <f>'Profit Maximizer'!J26</f>
        <v>296.51785310734459</v>
      </c>
      <c r="E89" s="46">
        <f t="shared" si="0"/>
        <v>123.65753455456424</v>
      </c>
      <c r="F89" s="46">
        <f>IF('Whitefield Monthly Projection'!$B$7=0,0,E89/'Whitefield Monthly Projection'!$B$7)</f>
        <v>4.1219178184854748</v>
      </c>
      <c r="G89" s="1" t="str">
        <f>'Profit Maximizer'!Q26</f>
        <v>GROW — Attractive economics</v>
      </c>
      <c r="H89" s="1"/>
      <c r="I89" s="56">
        <v>100000</v>
      </c>
      <c r="J89" s="50">
        <f>3*'Whitefield Monthly Projection'!$B$7*'Whitefield Monthly Projection'!$Q$34-$I89</f>
        <v>35991.38578644066</v>
      </c>
      <c r="K89" s="50">
        <f>5*'Whitefield Monthly Projection'!$B$7*'Whitefield Monthly Projection'!$Q$34-$I89</f>
        <v>126652.30964406778</v>
      </c>
      <c r="L89" s="50">
        <f>8*'Whitefield Monthly Projection'!$B$7*'Whitefield Monthly Projection'!$Q$34-$I89</f>
        <v>262643.69543050847</v>
      </c>
      <c r="M89" s="50">
        <f>10*'Whitefield Monthly Projection'!$B$7*'Whitefield Monthly Projection'!$Q$34-$I89</f>
        <v>353304.61928813555</v>
      </c>
      <c r="N89" s="16">
        <f>12*'Whitefield Monthly Projection'!$B$7*'Whitefield Monthly Projection'!$Q$34-$I89</f>
        <v>443965.54314576264</v>
      </c>
      <c r="O89" s="16">
        <f>15*'Whitefield Monthly Projection'!$B$7*'Whitefield Monthly Projection'!$Q$34-$I89</f>
        <v>579956.92893220333</v>
      </c>
      <c r="P89" s="16">
        <f>20*'Whitefield Monthly Projection'!$B$7*'Whitefield Monthly Projection'!$Q$34-$I89</f>
        <v>806609.23857627111</v>
      </c>
      <c r="U89" s="16">
        <v>1799</v>
      </c>
      <c r="V89" s="16">
        <f>'Whitefield Monthly Projection'!$Q$19*('Whitefield Monthly Projection'!$Q$34+(U89-'Whitefield Monthly Projection'!$S$46)/(1+'Global Inputs'!$B$7)-(U89-'Whitefield Monthly Projection'!$S$46)*'Global Inputs'!$B$8)-$M$11</f>
        <v>-55129.566775166088</v>
      </c>
    </row>
    <row r="90" spans="1:22" ht="30">
      <c r="A90" s="40" t="str">
        <f>'Profit Maximizer'!A27</f>
        <v>Dialysis Visit Concierge</v>
      </c>
      <c r="B90" s="45">
        <f>'Profit Maximizer'!C27</f>
        <v>5</v>
      </c>
      <c r="C90" s="12">
        <f>'Profit Maximizer'!H27</f>
        <v>1253.9408050847455</v>
      </c>
      <c r="D90" s="12">
        <f>'Profit Maximizer'!J27</f>
        <v>250.78816101694912</v>
      </c>
      <c r="E90" s="46">
        <f t="shared" si="0"/>
        <v>87.723439219737202</v>
      </c>
      <c r="F90" s="46">
        <f>IF('Whitefield Monthly Projection'!$B$7=0,0,E90/'Whitefield Monthly Projection'!$B$7)</f>
        <v>2.9241146406579066</v>
      </c>
      <c r="G90" s="1" t="str">
        <f>'Profit Maximizer'!Q27</f>
        <v>STRATEGIC — Important but lower margin</v>
      </c>
      <c r="H90" s="1"/>
      <c r="I90" s="56">
        <v>125000</v>
      </c>
      <c r="J90" s="50">
        <f>3*'Whitefield Monthly Projection'!$B$7*'Whitefield Monthly Projection'!$Q$34-$I90</f>
        <v>10991.38578644066</v>
      </c>
      <c r="K90" s="50">
        <f>5*'Whitefield Monthly Projection'!$B$7*'Whitefield Monthly Projection'!$Q$34-$I90</f>
        <v>101652.30964406778</v>
      </c>
      <c r="L90" s="50">
        <f>8*'Whitefield Monthly Projection'!$B$7*'Whitefield Monthly Projection'!$Q$34-$I90</f>
        <v>237643.69543050847</v>
      </c>
      <c r="M90" s="50">
        <f>10*'Whitefield Monthly Projection'!$B$7*'Whitefield Monthly Projection'!$Q$34-$I90</f>
        <v>328304.61928813555</v>
      </c>
      <c r="N90" s="16">
        <f>12*'Whitefield Monthly Projection'!$B$7*'Whitefield Monthly Projection'!$Q$34-$I90</f>
        <v>418965.54314576264</v>
      </c>
      <c r="O90" s="16">
        <f>15*'Whitefield Monthly Projection'!$B$7*'Whitefield Monthly Projection'!$Q$34-$I90</f>
        <v>554956.92893220333</v>
      </c>
      <c r="P90" s="16">
        <f>20*'Whitefield Monthly Projection'!$B$7*'Whitefield Monthly Projection'!$Q$34-$I90</f>
        <v>781609.23857627111</v>
      </c>
      <c r="U90" s="16">
        <v>1999</v>
      </c>
      <c r="V90" s="16">
        <f>'Whitefield Monthly Projection'!$Q$19*('Whitefield Monthly Projection'!$Q$34+(U90-'Whitefield Monthly Projection'!$S$46)/(1+'Global Inputs'!$B$7)-(U90-'Whitefield Monthly Projection'!$S$46)*'Global Inputs'!$B$8)-$M$11</f>
        <v>-48753.295588725414</v>
      </c>
    </row>
    <row r="91" spans="1:22" ht="30">
      <c r="A91" s="40" t="str">
        <f>'Profit Maximizer'!A28</f>
        <v>Chemotherapy Visit Concierge</v>
      </c>
      <c r="B91" s="45">
        <f>'Profit Maximizer'!C28</f>
        <v>6</v>
      </c>
      <c r="C91" s="12">
        <f>'Profit Maximizer'!H28</f>
        <v>1618.3280508474577</v>
      </c>
      <c r="D91" s="12">
        <f>'Profit Maximizer'!J28</f>
        <v>269.7213418079096</v>
      </c>
      <c r="E91" s="46">
        <f t="shared" si="0"/>
        <v>67.971385617642312</v>
      </c>
      <c r="F91" s="46">
        <f>IF('Whitefield Monthly Projection'!$B$7=0,0,E91/'Whitefield Monthly Projection'!$B$7)</f>
        <v>2.2657128539214102</v>
      </c>
      <c r="G91" s="1" t="str">
        <f>'Profit Maximizer'!Q28</f>
        <v>STRATEGIC — Important but lower margin</v>
      </c>
      <c r="H91" s="1"/>
      <c r="I91" s="56">
        <v>150000</v>
      </c>
      <c r="J91" s="50">
        <f>3*'Whitefield Monthly Projection'!$B$7*'Whitefield Monthly Projection'!$Q$34-$I91</f>
        <v>-14008.61421355934</v>
      </c>
      <c r="K91" s="50">
        <f>5*'Whitefield Monthly Projection'!$B$7*'Whitefield Monthly Projection'!$Q$34-$I91</f>
        <v>76652.309644067776</v>
      </c>
      <c r="L91" s="50">
        <f>8*'Whitefield Monthly Projection'!$B$7*'Whitefield Monthly Projection'!$Q$34-$I91</f>
        <v>212643.69543050847</v>
      </c>
      <c r="M91" s="50">
        <f>10*'Whitefield Monthly Projection'!$B$7*'Whitefield Monthly Projection'!$Q$34-$I91</f>
        <v>303304.61928813555</v>
      </c>
      <c r="N91" s="16">
        <f>12*'Whitefield Monthly Projection'!$B$7*'Whitefield Monthly Projection'!$Q$34-$I91</f>
        <v>393965.54314576264</v>
      </c>
      <c r="O91" s="16">
        <f>15*'Whitefield Monthly Projection'!$B$7*'Whitefield Monthly Projection'!$Q$34-$I91</f>
        <v>529956.92893220333</v>
      </c>
      <c r="P91" s="16">
        <f>20*'Whitefield Monthly Projection'!$B$7*'Whitefield Monthly Projection'!$Q$34-$I91</f>
        <v>756609.23857627111</v>
      </c>
      <c r="U91" s="16">
        <v>2199</v>
      </c>
      <c r="V91" s="16">
        <f>'Whitefield Monthly Projection'!$Q$19*('Whitefield Monthly Projection'!$Q$34+(U91-'Whitefield Monthly Projection'!$S$46)/(1+'Global Inputs'!$B$7)-(U91-'Whitefield Monthly Projection'!$S$46)*'Global Inputs'!$B$8)-$M$11</f>
        <v>-42377.024402284733</v>
      </c>
    </row>
    <row r="92" spans="1:22" ht="30">
      <c r="A92" s="40" t="str">
        <f>'Profit Maximizer'!A29</f>
        <v>Radiation Therapy Concierge</v>
      </c>
      <c r="B92" s="45">
        <f>'Profit Maximizer'!C29</f>
        <v>3</v>
      </c>
      <c r="C92" s="12">
        <f>'Profit Maximizer'!H29</f>
        <v>853.11483474576289</v>
      </c>
      <c r="D92" s="12">
        <f>'Profit Maximizer'!J29</f>
        <v>284.37161158192094</v>
      </c>
      <c r="E92" s="46">
        <f t="shared" si="0"/>
        <v>128.93926528986117</v>
      </c>
      <c r="F92" s="46">
        <f>IF('Whitefield Monthly Projection'!$B$7=0,0,E92/'Whitefield Monthly Projection'!$B$7)</f>
        <v>4.2979755096620389</v>
      </c>
      <c r="G92" s="1" t="str">
        <f>'Profit Maximizer'!Q29</f>
        <v>STRATEGIC — Important but lower margin</v>
      </c>
      <c r="H92" s="1"/>
      <c r="I92" s="56">
        <v>200000</v>
      </c>
      <c r="J92" s="50">
        <f>3*'Whitefield Monthly Projection'!$B$7*'Whitefield Monthly Projection'!$Q$34-$I92</f>
        <v>-64008.61421355934</v>
      </c>
      <c r="K92" s="50">
        <f>5*'Whitefield Monthly Projection'!$B$7*'Whitefield Monthly Projection'!$Q$34-$I92</f>
        <v>26652.309644067776</v>
      </c>
      <c r="L92" s="50">
        <f>8*'Whitefield Monthly Projection'!$B$7*'Whitefield Monthly Projection'!$Q$34-$I92</f>
        <v>162643.69543050847</v>
      </c>
      <c r="M92" s="50">
        <f>10*'Whitefield Monthly Projection'!$B$7*'Whitefield Monthly Projection'!$Q$34-$I92</f>
        <v>253304.61928813555</v>
      </c>
      <c r="N92" s="16">
        <f>12*'Whitefield Monthly Projection'!$B$7*'Whitefield Monthly Projection'!$Q$34-$I92</f>
        <v>343965.54314576264</v>
      </c>
      <c r="O92" s="16">
        <f>15*'Whitefield Monthly Projection'!$B$7*'Whitefield Monthly Projection'!$Q$34-$I92</f>
        <v>479956.92893220333</v>
      </c>
      <c r="P92" s="16">
        <f>20*'Whitefield Monthly Projection'!$B$7*'Whitefield Monthly Projection'!$Q$34-$I92</f>
        <v>706609.23857627111</v>
      </c>
      <c r="U92" s="16">
        <v>2499</v>
      </c>
      <c r="V92" s="16">
        <f>'Whitefield Monthly Projection'!$Q$19*('Whitefield Monthly Projection'!$Q$34+(U92-'Whitefield Monthly Projection'!$S$46)/(1+'Global Inputs'!$B$7)-(U92-'Whitefield Monthly Projection'!$S$46)*'Global Inputs'!$B$8)-$M$11</f>
        <v>-32812.617622623715</v>
      </c>
    </row>
    <row r="93" spans="1:22" ht="30">
      <c r="A93" s="40" t="str">
        <f>'Profit Maximizer'!A30</f>
        <v>Physiotherapy / Rehab Visit</v>
      </c>
      <c r="B93" s="45">
        <f>'Profit Maximizer'!C30</f>
        <v>2</v>
      </c>
      <c r="C93" s="12">
        <f>'Profit Maximizer'!H30</f>
        <v>573.75127966101695</v>
      </c>
      <c r="D93" s="12">
        <f>'Profit Maximizer'!J30</f>
        <v>286.87563983050848</v>
      </c>
      <c r="E93" s="46">
        <f t="shared" si="0"/>
        <v>191.7207052940955</v>
      </c>
      <c r="F93" s="46">
        <f>IF('Whitefield Monthly Projection'!$B$7=0,0,E93/'Whitefield Monthly Projection'!$B$7)</f>
        <v>6.3906901764698496</v>
      </c>
      <c r="G93" s="1" t="str">
        <f>'Profit Maximizer'!Q30</f>
        <v>STRATEGIC — Important but lower margin</v>
      </c>
      <c r="H93" s="1"/>
      <c r="I93" s="56">
        <v>240000</v>
      </c>
      <c r="J93" s="50">
        <f>3*'Whitefield Monthly Projection'!$B$7*'Whitefield Monthly Projection'!$Q$34-$I93</f>
        <v>-104008.61421355934</v>
      </c>
      <c r="K93" s="50">
        <f>5*'Whitefield Monthly Projection'!$B$7*'Whitefield Monthly Projection'!$Q$34-$I93</f>
        <v>-13347.690355932224</v>
      </c>
      <c r="L93" s="50">
        <f>8*'Whitefield Monthly Projection'!$B$7*'Whitefield Monthly Projection'!$Q$34-$I93</f>
        <v>122643.69543050847</v>
      </c>
      <c r="M93" s="50">
        <f>10*'Whitefield Monthly Projection'!$B$7*'Whitefield Monthly Projection'!$Q$34-$I93</f>
        <v>213304.61928813555</v>
      </c>
      <c r="N93" s="16">
        <f>12*'Whitefield Monthly Projection'!$B$7*'Whitefield Monthly Projection'!$Q$34-$I93</f>
        <v>303965.54314576264</v>
      </c>
      <c r="O93" s="16">
        <f>15*'Whitefield Monthly Projection'!$B$7*'Whitefield Monthly Projection'!$Q$34-$I93</f>
        <v>439956.92893220333</v>
      </c>
      <c r="P93" s="16">
        <f>20*'Whitefield Monthly Projection'!$B$7*'Whitefield Monthly Projection'!$Q$34-$I93</f>
        <v>666609.23857627111</v>
      </c>
    </row>
    <row r="94" spans="1:22" ht="31">
      <c r="A94" s="40" t="str">
        <f>'Profit Maximizer'!A31</f>
        <v>Chronic Care Follow-up</v>
      </c>
      <c r="B94" s="45">
        <f>'Profit Maximizer'!C31</f>
        <v>3</v>
      </c>
      <c r="C94" s="12">
        <f>'Profit Maximizer'!H31</f>
        <v>816.67611016949161</v>
      </c>
      <c r="D94" s="12">
        <f>'Profit Maximizer'!J31</f>
        <v>272.22537005649718</v>
      </c>
      <c r="E94" s="46">
        <f t="shared" si="0"/>
        <v>134.69232004003496</v>
      </c>
      <c r="F94" s="46">
        <f>IF('Whitefield Monthly Projection'!$B$7=0,0,E94/'Whitefield Monthly Projection'!$B$7)</f>
        <v>4.4897440013344987</v>
      </c>
      <c r="G94" s="1" t="str">
        <f>'Profit Maximizer'!Q31</f>
        <v>STRATEGIC — Important but lower margin</v>
      </c>
      <c r="H94" s="1"/>
      <c r="I94" s="56">
        <v>300000</v>
      </c>
      <c r="J94" s="50">
        <f>3*'Whitefield Monthly Projection'!$B$7*'Whitefield Monthly Projection'!$Q$34-$I94</f>
        <v>-164008.61421355934</v>
      </c>
      <c r="K94" s="50">
        <f>5*'Whitefield Monthly Projection'!$B$7*'Whitefield Monthly Projection'!$Q$34-$I94</f>
        <v>-73347.690355932224</v>
      </c>
      <c r="L94" s="50">
        <f>8*'Whitefield Monthly Projection'!$B$7*'Whitefield Monthly Projection'!$Q$34-$I94</f>
        <v>62643.695430508466</v>
      </c>
      <c r="M94" s="50">
        <f>10*'Whitefield Monthly Projection'!$B$7*'Whitefield Monthly Projection'!$Q$34-$I94</f>
        <v>153304.61928813555</v>
      </c>
      <c r="N94" s="16">
        <f>12*'Whitefield Monthly Projection'!$B$7*'Whitefield Monthly Projection'!$Q$34-$I94</f>
        <v>243965.54314576264</v>
      </c>
      <c r="O94" s="16">
        <f>15*'Whitefield Monthly Projection'!$B$7*'Whitefield Monthly Projection'!$Q$34-$I94</f>
        <v>379956.92893220333</v>
      </c>
      <c r="P94" s="16">
        <f>20*'Whitefield Monthly Projection'!$B$7*'Whitefield Monthly Projection'!$Q$34-$I94</f>
        <v>606609.23857627111</v>
      </c>
      <c r="U94" s="58" t="s">
        <v>468</v>
      </c>
      <c r="V94" s="58" t="s">
        <v>462</v>
      </c>
    </row>
    <row r="95" spans="1:22" ht="15">
      <c r="A95" s="40" t="str">
        <f>'Profit Maximizer'!A32</f>
        <v>NRI Parent Medical Concierge</v>
      </c>
      <c r="B95" s="45">
        <f>'Profit Maximizer'!C32</f>
        <v>4</v>
      </c>
      <c r="C95" s="12">
        <f>'Profit Maximizer'!H32</f>
        <v>1326.8182542372883</v>
      </c>
      <c r="D95" s="12">
        <f>'Profit Maximizer'!J32</f>
        <v>331.70456355932208</v>
      </c>
      <c r="E95" s="46">
        <f t="shared" si="0"/>
        <v>82.905099962792335</v>
      </c>
      <c r="F95" s="46">
        <f>IF('Whitefield Monthly Projection'!$B$7=0,0,E95/'Whitefield Monthly Projection'!$B$7)</f>
        <v>2.763503332093078</v>
      </c>
      <c r="G95" s="1" t="str">
        <f>'Profit Maximizer'!Q32</f>
        <v>GROW — Attractive economics</v>
      </c>
      <c r="H95" s="1"/>
      <c r="I95" s="1"/>
      <c r="J95" s="1"/>
      <c r="K95" s="1"/>
      <c r="L95" s="1"/>
      <c r="M95" s="1"/>
      <c r="U95" s="16">
        <v>75000</v>
      </c>
      <c r="V95" s="16">
        <f>'Whitefield Monthly Projection'!$Q$32-U95</f>
        <v>-18155.600741267794</v>
      </c>
    </row>
    <row r="96" spans="1:22" ht="30">
      <c r="A96" s="40" t="str">
        <f>'Profit Maximizer'!A33</f>
        <v>Second Opinion Concierge</v>
      </c>
      <c r="B96" s="45">
        <f>'Profit Maximizer'!C33</f>
        <v>2.5</v>
      </c>
      <c r="C96" s="12">
        <f>'Profit Maximizer'!H33</f>
        <v>676.99433262711875</v>
      </c>
      <c r="D96" s="12">
        <f>'Profit Maximizer'!J33</f>
        <v>270.79773305084751</v>
      </c>
      <c r="E96" s="46">
        <f t="shared" si="0"/>
        <v>162.48289638280741</v>
      </c>
      <c r="F96" s="46">
        <f>IF('Whitefield Monthly Projection'!$B$7=0,0,E96/'Whitefield Monthly Projection'!$B$7)</f>
        <v>5.4160965460935806</v>
      </c>
      <c r="G96" s="1" t="str">
        <f>'Profit Maximizer'!Q33</f>
        <v>REVIEW — Economics need improvement</v>
      </c>
      <c r="H96" s="1"/>
      <c r="I96" s="1"/>
      <c r="J96" s="1"/>
      <c r="K96" s="1"/>
      <c r="L96" s="1"/>
      <c r="M96" s="1"/>
      <c r="U96" s="16">
        <v>100000</v>
      </c>
      <c r="V96" s="16">
        <f>'Whitefield Monthly Projection'!$Q$32-U96</f>
        <v>-43155.600741267794</v>
      </c>
    </row>
    <row r="97" spans="1:22" ht="15">
      <c r="A97" s="40" t="str">
        <f>'Profit Maximizer'!A34</f>
        <v>Teleconsultation Concierge</v>
      </c>
      <c r="B97" s="45">
        <f>'Profit Maximizer'!C34</f>
        <v>1.5</v>
      </c>
      <c r="C97" s="12">
        <f>'Profit Maximizer'!H34</f>
        <v>476.5813474576272</v>
      </c>
      <c r="D97" s="12">
        <f>'Profit Maximizer'!J34</f>
        <v>317.7208983050848</v>
      </c>
      <c r="E97" s="46">
        <f t="shared" si="0"/>
        <v>230.81054385952461</v>
      </c>
      <c r="F97" s="46">
        <f>IF('Whitefield Monthly Projection'!$B$7=0,0,E97/'Whitefield Monthly Projection'!$B$7)</f>
        <v>7.6936847953174867</v>
      </c>
      <c r="G97" s="1" t="str">
        <f>'Profit Maximizer'!Q34</f>
        <v>GROW — Attractive economics</v>
      </c>
      <c r="H97" s="1"/>
      <c r="I97" s="1"/>
      <c r="J97" s="1"/>
      <c r="K97" s="1"/>
      <c r="L97" s="1"/>
      <c r="M97" s="1"/>
      <c r="U97" s="16">
        <v>125000</v>
      </c>
      <c r="V97" s="16">
        <f>'Whitefield Monthly Projection'!$Q$32-U97</f>
        <v>-68155.600741267786</v>
      </c>
    </row>
    <row r="98" spans="1:22" ht="30">
      <c r="A98" s="40" t="str">
        <f>'Profit Maximizer'!A35</f>
        <v>Medical Records Concierge</v>
      </c>
      <c r="B98" s="45">
        <f>'Profit Maximizer'!C35</f>
        <v>2</v>
      </c>
      <c r="C98" s="12">
        <f>'Profit Maximizer'!H35</f>
        <v>452.28886440677968</v>
      </c>
      <c r="D98" s="12">
        <f>'Profit Maximizer'!J35</f>
        <v>226.14443220338984</v>
      </c>
      <c r="E98" s="46">
        <f t="shared" si="0"/>
        <v>243.20740273868023</v>
      </c>
      <c r="F98" s="46">
        <f>IF('Whitefield Monthly Projection'!$B$7=0,0,E98/'Whitefield Monthly Projection'!$B$7)</f>
        <v>8.1069134246226735</v>
      </c>
      <c r="G98" s="1" t="str">
        <f>'Profit Maximizer'!Q35</f>
        <v>REVIEW — Economics need improvement</v>
      </c>
      <c r="H98" s="1"/>
      <c r="I98" s="1"/>
      <c r="J98" s="1"/>
      <c r="K98" s="1"/>
      <c r="L98" s="1"/>
      <c r="M98" s="1"/>
      <c r="U98" s="16">
        <v>150000</v>
      </c>
      <c r="V98" s="16">
        <f>'Whitefield Monthly Projection'!$Q$32-U98</f>
        <v>-93155.600741267786</v>
      </c>
    </row>
    <row r="99" spans="1:22" ht="30">
      <c r="A99" s="40" t="str">
        <f>'Profit Maximizer'!A36</f>
        <v>Insurance / TPA Desk Concierge</v>
      </c>
      <c r="B99" s="45">
        <f>'Profit Maximizer'!C36</f>
        <v>3</v>
      </c>
      <c r="C99" s="12">
        <f>'Profit Maximizer'!H36</f>
        <v>707.35993644067798</v>
      </c>
      <c r="D99" s="12">
        <f>'Profit Maximizer'!J36</f>
        <v>235.78664548022599</v>
      </c>
      <c r="E99" s="46">
        <f t="shared" si="0"/>
        <v>155.507817637372</v>
      </c>
      <c r="F99" s="46">
        <f>IF('Whitefield Monthly Projection'!$B$7=0,0,E99/'Whitefield Monthly Projection'!$B$7)</f>
        <v>5.1835939212457331</v>
      </c>
      <c r="G99" s="1" t="str">
        <f>'Profit Maximizer'!Q36</f>
        <v>REVIEW — Economics need improvement</v>
      </c>
      <c r="H99" s="1"/>
      <c r="I99" s="1"/>
      <c r="J99" s="1"/>
      <c r="K99" s="1"/>
      <c r="L99" s="1"/>
      <c r="M99" s="1"/>
      <c r="U99" s="16">
        <v>200000</v>
      </c>
      <c r="V99" s="16">
        <f>'Whitefield Monthly Projection'!$Q$32-U99</f>
        <v>-143155.60074126779</v>
      </c>
    </row>
    <row r="100" spans="1:22" ht="15">
      <c r="A100" s="40" t="str">
        <f>'Profit Maximizer'!A37</f>
        <v>Hospital Transfer Concierge</v>
      </c>
      <c r="B100" s="45">
        <f>'Profit Maximizer'!C37</f>
        <v>4</v>
      </c>
      <c r="C100" s="12">
        <f>'Profit Maximizer'!H37</f>
        <v>1229.6483220338985</v>
      </c>
      <c r="D100" s="12">
        <f>'Profit Maximizer'!J37</f>
        <v>307.41208050847462</v>
      </c>
      <c r="E100" s="46">
        <f t="shared" si="0"/>
        <v>89.456471438967711</v>
      </c>
      <c r="F100" s="46">
        <f>IF('Whitefield Monthly Projection'!$B$7=0,0,E100/'Whitefield Monthly Projection'!$B$7)</f>
        <v>2.9818823812989237</v>
      </c>
      <c r="G100" s="1" t="str">
        <f>'Profit Maximizer'!Q37</f>
        <v>GROW — Attractive economics</v>
      </c>
      <c r="H100" s="1"/>
      <c r="I100" s="1"/>
      <c r="J100" s="1"/>
      <c r="K100" s="1"/>
      <c r="L100" s="1"/>
      <c r="M100" s="1"/>
      <c r="U100" s="16">
        <v>240000</v>
      </c>
      <c r="V100" s="16">
        <f>'Whitefield Monthly Projection'!$Q$32-U100</f>
        <v>-183155.60074126779</v>
      </c>
    </row>
    <row r="101" spans="1:22" ht="30">
      <c r="A101" s="40" t="str">
        <f>'Profit Maximizer'!A38</f>
        <v>Rehab / Nursing Facility Transfer</v>
      </c>
      <c r="B101" s="45">
        <f>'Profit Maximizer'!C38</f>
        <v>4</v>
      </c>
      <c r="C101" s="12">
        <f>'Profit Maximizer'!H38</f>
        <v>1181.0633559322032</v>
      </c>
      <c r="D101" s="12">
        <f>'Profit Maximizer'!J38</f>
        <v>295.2658389830508</v>
      </c>
      <c r="E101" s="46">
        <f t="shared" si="0"/>
        <v>93.136409192187614</v>
      </c>
      <c r="F101" s="46">
        <f>IF('Whitefield Monthly Projection'!$B$7=0,0,E101/'Whitefield Monthly Projection'!$B$7)</f>
        <v>3.1045469730729205</v>
      </c>
      <c r="G101" s="1" t="str">
        <f>'Profit Maximizer'!Q38</f>
        <v>REVIEW — Economics need improvement</v>
      </c>
      <c r="H101" s="1"/>
      <c r="I101" s="1"/>
      <c r="J101" s="1"/>
      <c r="K101" s="1"/>
      <c r="L101" s="1"/>
      <c r="M101" s="1"/>
      <c r="U101" s="16">
        <v>300000</v>
      </c>
      <c r="V101" s="16">
        <f>'Whitefield Monthly Projection'!$Q$32-U101</f>
        <v>-243155.60074126779</v>
      </c>
    </row>
    <row r="102" spans="1:22" ht="15">
      <c r="A102" s="40" t="str">
        <f>'Profit Maximizer'!A39</f>
        <v>24×7 Urgent Care Coordination</v>
      </c>
      <c r="B102" s="45">
        <f>'Profit Maximizer'!C39</f>
        <v>4</v>
      </c>
      <c r="C102" s="12">
        <f>'Profit Maximizer'!H39</f>
        <v>1829.4045423728815</v>
      </c>
      <c r="D102" s="12">
        <f>'Profit Maximizer'!J39</f>
        <v>457.35113559322036</v>
      </c>
      <c r="E102" s="46">
        <f t="shared" si="0"/>
        <v>60.128854745993664</v>
      </c>
      <c r="F102" s="46">
        <f>IF('Whitefield Monthly Projection'!$B$7=0,0,E102/'Whitefield Monthly Projection'!$B$7)</f>
        <v>2.0042951581997888</v>
      </c>
      <c r="G102" s="1" t="str">
        <f>'Profit Maximizer'!Q39</f>
        <v>GROW — Attractive economics</v>
      </c>
      <c r="H102" s="1"/>
      <c r="I102" s="1"/>
      <c r="J102" s="1"/>
      <c r="K102" s="1"/>
      <c r="L102" s="1"/>
      <c r="M102" s="1"/>
    </row>
    <row r="103" spans="1:22" ht="31">
      <c r="A103" s="40" t="str">
        <f>'Profit Maximizer'!A40</f>
        <v>Doctor-at-Home Coordination</v>
      </c>
      <c r="B103" s="45">
        <f>'Profit Maximizer'!C40</f>
        <v>2</v>
      </c>
      <c r="C103" s="12">
        <f>'Profit Maximizer'!H40</f>
        <v>573.75127966101695</v>
      </c>
      <c r="D103" s="12">
        <f>'Profit Maximizer'!J40</f>
        <v>286.87563983050848</v>
      </c>
      <c r="E103" s="46">
        <f t="shared" si="0"/>
        <v>191.7207052940955</v>
      </c>
      <c r="F103" s="46">
        <f>IF('Whitefield Monthly Projection'!$B$7=0,0,E103/'Whitefield Monthly Projection'!$B$7)</f>
        <v>6.3906901764698496</v>
      </c>
      <c r="G103" s="1" t="str">
        <f>'Profit Maximizer'!Q40</f>
        <v>REVIEW — Economics need improvement</v>
      </c>
      <c r="H103" s="1"/>
      <c r="I103" s="1"/>
      <c r="J103" s="1"/>
      <c r="K103" s="1"/>
      <c r="L103" s="1"/>
      <c r="M103" s="1"/>
      <c r="U103" s="58" t="s">
        <v>250</v>
      </c>
      <c r="V103" s="58" t="s">
        <v>239</v>
      </c>
    </row>
    <row r="104" spans="1:22" ht="30">
      <c r="A104" s="40" t="str">
        <f>'Profit Maximizer'!A41</f>
        <v>Nurse-at-Home Coordination</v>
      </c>
      <c r="B104" s="45">
        <f>'Profit Maximizer'!C41</f>
        <v>2</v>
      </c>
      <c r="C104" s="12">
        <f>'Profit Maximizer'!H41</f>
        <v>573.75127966101695</v>
      </c>
      <c r="D104" s="12">
        <f>'Profit Maximizer'!J41</f>
        <v>286.87563983050848</v>
      </c>
      <c r="E104" s="46">
        <f t="shared" si="0"/>
        <v>191.7207052940955</v>
      </c>
      <c r="F104" s="46">
        <f>IF('Whitefield Monthly Projection'!$B$7=0,0,E104/'Whitefield Monthly Projection'!$B$7)</f>
        <v>6.3906901764698496</v>
      </c>
      <c r="G104" s="1" t="str">
        <f>'Profit Maximizer'!Q41</f>
        <v>STRATEGIC — Important but lower margin</v>
      </c>
      <c r="H104" s="1"/>
      <c r="I104" s="1"/>
      <c r="J104" s="1"/>
      <c r="K104" s="1"/>
      <c r="L104" s="1"/>
      <c r="M104" s="1"/>
      <c r="U104" s="17">
        <v>0.3</v>
      </c>
      <c r="V104" s="16">
        <f t="shared" ref="V104:V110" si="1">G113</f>
        <v>-125155.60074126779</v>
      </c>
    </row>
    <row r="105" spans="1:22" ht="30">
      <c r="A105" s="40" t="str">
        <f>'Profit Maximizer'!A42</f>
        <v>Medical Tourism — Concierge Package (24 HR Basis)</v>
      </c>
      <c r="B105" s="45">
        <f>'Profit Maximizer'!C42</f>
        <v>24</v>
      </c>
      <c r="C105" s="12">
        <f>'Profit Maximizer'!H42</f>
        <v>14257.731355932203</v>
      </c>
      <c r="D105" s="12">
        <f>'Profit Maximizer'!J42</f>
        <v>594.07213983050849</v>
      </c>
      <c r="E105" s="46">
        <f t="shared" si="0"/>
        <v>7.7151124014012504</v>
      </c>
      <c r="F105" s="46">
        <f>IF('Whitefield Monthly Projection'!$B$7=0,0,E105/'Whitefield Monthly Projection'!$B$7)</f>
        <v>0.25717041338004171</v>
      </c>
      <c r="G105" s="1" t="str">
        <f>'Profit Maximizer'!Q42</f>
        <v>GROW — Attractive economics</v>
      </c>
      <c r="H105" s="1"/>
      <c r="I105" s="1"/>
      <c r="J105" s="1"/>
      <c r="K105" s="1"/>
      <c r="L105" s="1"/>
      <c r="M105" s="1"/>
      <c r="U105" s="17">
        <v>0.4</v>
      </c>
      <c r="V105" s="16">
        <f t="shared" si="1"/>
        <v>-125155.60074126779</v>
      </c>
    </row>
    <row r="106" spans="1:22" ht="30">
      <c r="A106" s="40" t="str">
        <f>'Profit Maximizer'!A43</f>
        <v>Pharmacy / Prescription Coordination</v>
      </c>
      <c r="B106" s="45">
        <f>'Profit Maximizer'!C43</f>
        <v>1.5</v>
      </c>
      <c r="C106" s="12">
        <f>'Profit Maximizer'!H43</f>
        <v>476.5813474576272</v>
      </c>
      <c r="D106" s="12">
        <f>'Profit Maximizer'!J43</f>
        <v>317.7208983050848</v>
      </c>
      <c r="E106" s="46">
        <f t="shared" si="0"/>
        <v>230.81054385952461</v>
      </c>
      <c r="F106" s="46">
        <f>IF('Whitefield Monthly Projection'!$B$7=0,0,E106/'Whitefield Monthly Projection'!$B$7)</f>
        <v>7.6936847953174867</v>
      </c>
      <c r="G106" s="1" t="str">
        <f>'Profit Maximizer'!Q43</f>
        <v>GROW — Attractive economics</v>
      </c>
      <c r="H106" s="1"/>
      <c r="I106" s="1"/>
      <c r="J106" s="1"/>
      <c r="K106" s="1"/>
      <c r="L106" s="1"/>
      <c r="M106" s="1"/>
      <c r="U106" s="17">
        <v>0.5</v>
      </c>
      <c r="V106" s="16">
        <f t="shared" si="1"/>
        <v>-125155.60074126779</v>
      </c>
    </row>
    <row r="107" spans="1:22" ht="30">
      <c r="A107" s="40" t="str">
        <f>'Profit Maximizer'!A44</f>
        <v>Family Medical Update Concierge</v>
      </c>
      <c r="B107" s="45">
        <f>'Profit Maximizer'!C44</f>
        <v>3</v>
      </c>
      <c r="C107" s="12">
        <f>'Profit Maximizer'!H44</f>
        <v>634.48248728813564</v>
      </c>
      <c r="D107" s="12">
        <f>'Profit Maximizer'!J44</f>
        <v>211.49416242937855</v>
      </c>
      <c r="E107" s="46">
        <f t="shared" si="0"/>
        <v>173.36963935782521</v>
      </c>
      <c r="F107" s="46">
        <f>IF('Whitefield Monthly Projection'!$B$7=0,0,E107/'Whitefield Monthly Projection'!$B$7)</f>
        <v>5.7789879785941736</v>
      </c>
      <c r="G107" s="1" t="str">
        <f>'Profit Maximizer'!Q44</f>
        <v>STRATEGIC — Important but lower margin</v>
      </c>
      <c r="H107" s="1"/>
      <c r="I107" s="1"/>
      <c r="J107" s="1"/>
      <c r="K107" s="1"/>
      <c r="L107" s="1"/>
      <c r="M107" s="1"/>
      <c r="U107" s="17">
        <v>0.6</v>
      </c>
      <c r="V107" s="16">
        <f t="shared" si="1"/>
        <v>-125155.60074126779</v>
      </c>
    </row>
    <row r="108" spans="1:22">
      <c r="A108" s="1"/>
      <c r="B108" s="1"/>
      <c r="C108" s="1"/>
      <c r="D108" s="1"/>
      <c r="E108" s="1"/>
      <c r="F108" s="1"/>
      <c r="G108" s="1"/>
      <c r="H108" s="1"/>
      <c r="I108" s="1"/>
      <c r="J108" s="1"/>
      <c r="K108" s="1"/>
      <c r="L108" s="1"/>
      <c r="M108" s="1"/>
      <c r="U108" s="17">
        <v>0.7</v>
      </c>
      <c r="V108" s="16">
        <f t="shared" si="1"/>
        <v>-125155.60074126779</v>
      </c>
    </row>
    <row r="109" spans="1:22">
      <c r="A109" s="1"/>
      <c r="B109" s="1"/>
      <c r="C109" s="1"/>
      <c r="D109" s="1"/>
      <c r="E109" s="1"/>
      <c r="F109" s="1"/>
      <c r="G109" s="1"/>
      <c r="H109" s="1"/>
      <c r="I109" s="1"/>
      <c r="J109" s="1"/>
      <c r="K109" s="1"/>
      <c r="L109" s="1"/>
      <c r="M109" s="1"/>
      <c r="U109" s="17">
        <v>0.8</v>
      </c>
      <c r="V109" s="16">
        <f t="shared" si="1"/>
        <v>-125155.60074126779</v>
      </c>
    </row>
    <row r="110" spans="1:22">
      <c r="A110" s="1"/>
      <c r="B110" s="1"/>
      <c r="C110" s="1"/>
      <c r="D110" s="1"/>
      <c r="E110" s="1"/>
      <c r="F110" s="1"/>
      <c r="G110" s="1"/>
      <c r="H110" s="1"/>
      <c r="I110" s="1"/>
      <c r="J110" s="1"/>
      <c r="K110" s="1"/>
      <c r="L110" s="1"/>
      <c r="M110" s="1"/>
      <c r="U110" s="17">
        <v>0.9</v>
      </c>
      <c r="V110" s="16">
        <f t="shared" si="1"/>
        <v>-125155.60074126779</v>
      </c>
    </row>
    <row r="111" spans="1:22" ht="42.75" customHeight="1">
      <c r="A111" s="456" t="s">
        <v>469</v>
      </c>
      <c r="B111" s="456"/>
      <c r="C111" s="456"/>
      <c r="D111" s="456"/>
      <c r="E111" s="456"/>
      <c r="F111" s="456"/>
      <c r="G111" s="456"/>
      <c r="H111" s="456"/>
      <c r="I111" s="456"/>
      <c r="J111" s="456"/>
      <c r="K111" s="456"/>
      <c r="L111" s="456"/>
      <c r="M111" s="456"/>
    </row>
    <row r="112" spans="1:22" ht="32">
      <c r="A112" s="54" t="s">
        <v>470</v>
      </c>
      <c r="B112" s="54" t="s">
        <v>471</v>
      </c>
      <c r="C112" s="54" t="s">
        <v>472</v>
      </c>
      <c r="D112" s="54" t="s">
        <v>211</v>
      </c>
      <c r="E112" s="54" t="s">
        <v>247</v>
      </c>
      <c r="F112" s="54" t="s">
        <v>238</v>
      </c>
      <c r="G112" s="54" t="s">
        <v>473</v>
      </c>
      <c r="H112" s="54" t="s">
        <v>474</v>
      </c>
      <c r="I112" s="1"/>
      <c r="J112" s="54" t="s">
        <v>475</v>
      </c>
      <c r="K112" s="54" t="s">
        <v>2</v>
      </c>
      <c r="L112" s="1"/>
      <c r="M112" s="1"/>
      <c r="U112" s="58" t="s">
        <v>38</v>
      </c>
      <c r="V112" s="58" t="s">
        <v>435</v>
      </c>
    </row>
    <row r="113" spans="1:22" ht="30">
      <c r="A113" s="55">
        <v>0.3</v>
      </c>
      <c r="B113" s="46">
        <f>'Whitefield Monthly Projection'!$B$6*'Whitefield Monthly Projection'!$B$7*'Whitefield Monthly Projection'!$B$8*A113</f>
        <v>288</v>
      </c>
      <c r="C113" s="46">
        <f>IF('Whitefield Monthly Projection'!$S$45=0,0,B113/'Whitefield Monthly Projection'!$S$45)</f>
        <v>62.337662337662337</v>
      </c>
      <c r="D113" s="46">
        <f>MIN(C113,'Whitefield Monthly Projection'!$Q$10)</f>
        <v>37.620000000000005</v>
      </c>
      <c r="E113" s="13">
        <f>D113*'Whitefield Monthly Projection'!$S$52</f>
        <v>79773.811919999993</v>
      </c>
      <c r="F113" s="13">
        <f>D113*'Whitefield Monthly Projection'!$Q$34</f>
        <v>56844.399258732206</v>
      </c>
      <c r="G113" s="13">
        <f t="shared" ref="G113:G119" si="2">F113-$I$20</f>
        <v>-125155.60074126779</v>
      </c>
      <c r="H113" s="13">
        <f>IF('Whitefield Monthly Projection'!$B$6=0,0,F113/'Whitefield Monthly Projection'!$B$6)</f>
        <v>14211.099814683052</v>
      </c>
      <c r="I113" s="1"/>
      <c r="J113" s="1" t="s">
        <v>476</v>
      </c>
      <c r="K113" s="46">
        <f>'Whitefield Monthly Projection'!$Q$13</f>
        <v>960</v>
      </c>
      <c r="L113" s="1"/>
      <c r="M113" s="1"/>
      <c r="U113" t="str">
        <f>'Profit Maximizer'!A15</f>
        <v>Hospital Visit</v>
      </c>
      <c r="V113" s="16">
        <f>'Profit Maximizer'!H15</f>
        <v>1132.4783898305086</v>
      </c>
    </row>
    <row r="114" spans="1:22" ht="30">
      <c r="A114" s="55">
        <v>0.4</v>
      </c>
      <c r="B114" s="46">
        <f>'Whitefield Monthly Projection'!$B$6*'Whitefield Monthly Projection'!$B$7*'Whitefield Monthly Projection'!$B$8*A114</f>
        <v>384</v>
      </c>
      <c r="C114" s="46">
        <f>IF('Whitefield Monthly Projection'!$S$45=0,0,B114/'Whitefield Monthly Projection'!$S$45)</f>
        <v>83.116883116883116</v>
      </c>
      <c r="D114" s="46">
        <f>MIN(C114,'Whitefield Monthly Projection'!$Q$10)</f>
        <v>37.620000000000005</v>
      </c>
      <c r="E114" s="13">
        <f>D114*'Whitefield Monthly Projection'!$S$52</f>
        <v>79773.811919999993</v>
      </c>
      <c r="F114" s="13">
        <f>D114*'Whitefield Monthly Projection'!$Q$34</f>
        <v>56844.399258732206</v>
      </c>
      <c r="G114" s="13">
        <f t="shared" si="2"/>
        <v>-125155.60074126779</v>
      </c>
      <c r="H114" s="13">
        <f>IF('Whitefield Monthly Projection'!$B$6=0,0,F114/'Whitefield Monthly Projection'!$B$6)</f>
        <v>14211.099814683052</v>
      </c>
      <c r="I114" s="1"/>
      <c r="J114" s="1" t="s">
        <v>477</v>
      </c>
      <c r="K114" s="46">
        <f>'Whitefield Monthly Projection'!$Q$19*'Whitefield Monthly Projection'!$S$45</f>
        <v>173.80440000000002</v>
      </c>
      <c r="L114" s="1"/>
      <c r="M114" s="1"/>
      <c r="U114" t="str">
        <f>'Profit Maximizer'!A16</f>
        <v>Hospital Visit — Concierge at Hospital</v>
      </c>
      <c r="V114" s="16">
        <f>'Profit Maximizer'!H16</f>
        <v>743.79866101694927</v>
      </c>
    </row>
    <row r="115" spans="1:22" ht="30">
      <c r="A115" s="55">
        <v>0.5</v>
      </c>
      <c r="B115" s="46">
        <f>'Whitefield Monthly Projection'!$B$6*'Whitefield Monthly Projection'!$B$7*'Whitefield Monthly Projection'!$B$8*A115</f>
        <v>480</v>
      </c>
      <c r="C115" s="46">
        <f>IF('Whitefield Monthly Projection'!$S$45=0,0,B115/'Whitefield Monthly Projection'!$S$45)</f>
        <v>103.8961038961039</v>
      </c>
      <c r="D115" s="46">
        <f>MIN(C115,'Whitefield Monthly Projection'!$Q$10)</f>
        <v>37.620000000000005</v>
      </c>
      <c r="E115" s="13">
        <f>D115*'Whitefield Monthly Projection'!$S$52</f>
        <v>79773.811919999993</v>
      </c>
      <c r="F115" s="13">
        <f>D115*'Whitefield Monthly Projection'!$Q$34</f>
        <v>56844.399258732206</v>
      </c>
      <c r="G115" s="13">
        <f t="shared" si="2"/>
        <v>-125155.60074126779</v>
      </c>
      <c r="H115" s="13">
        <f>IF('Whitefield Monthly Projection'!$B$6=0,0,F115/'Whitefield Monthly Projection'!$B$6)</f>
        <v>14211.099814683052</v>
      </c>
      <c r="I115" s="1"/>
      <c r="J115" s="1" t="s">
        <v>478</v>
      </c>
      <c r="K115" s="13">
        <f>'Whitefield Monthly Projection'!$Q$27/'Whitefield Monthly Projection'!$B$6</f>
        <v>19943.452980000002</v>
      </c>
      <c r="L115" s="1"/>
      <c r="M115" s="1"/>
      <c r="U115" t="str">
        <f>'Profit Maximizer'!A17</f>
        <v>Clinic Visit</v>
      </c>
      <c r="V115" s="16">
        <f>'Profit Maximizer'!H17</f>
        <v>598.04376271186447</v>
      </c>
    </row>
    <row r="116" spans="1:22" ht="30">
      <c r="A116" s="55">
        <v>0.6</v>
      </c>
      <c r="B116" s="46">
        <f>'Whitefield Monthly Projection'!$B$6*'Whitefield Monthly Projection'!$B$7*'Whitefield Monthly Projection'!$B$8*A116</f>
        <v>576</v>
      </c>
      <c r="C116" s="46">
        <f>IF('Whitefield Monthly Projection'!$S$45=0,0,B116/'Whitefield Monthly Projection'!$S$45)</f>
        <v>124.67532467532467</v>
      </c>
      <c r="D116" s="46">
        <f>MIN(C116,'Whitefield Monthly Projection'!$Q$10)</f>
        <v>37.620000000000005</v>
      </c>
      <c r="E116" s="13">
        <f>D116*'Whitefield Monthly Projection'!$S$52</f>
        <v>79773.811919999993</v>
      </c>
      <c r="F116" s="13">
        <f>D116*'Whitefield Monthly Projection'!$Q$34</f>
        <v>56844.399258732206</v>
      </c>
      <c r="G116" s="13">
        <f t="shared" si="2"/>
        <v>-125155.60074126779</v>
      </c>
      <c r="H116" s="13">
        <f>IF('Whitefield Monthly Projection'!$B$6=0,0,F116/'Whitefield Monthly Projection'!$B$6)</f>
        <v>14211.099814683052</v>
      </c>
      <c r="I116" s="1"/>
      <c r="J116" s="1" t="s">
        <v>479</v>
      </c>
      <c r="K116" s="13">
        <f>'Whitefield Monthly Projection'!$Q$32/'Whitefield Monthly Projection'!$B$6</f>
        <v>14211.099814683052</v>
      </c>
      <c r="L116" s="1"/>
      <c r="M116" s="1"/>
      <c r="U116" t="str">
        <f>'Profit Maximizer'!A18</f>
        <v>Diagnostic Center Visit</v>
      </c>
      <c r="V116" s="16">
        <f>'Profit Maximizer'!H18</f>
        <v>780.23738559322032</v>
      </c>
    </row>
    <row r="117" spans="1:22" ht="30">
      <c r="A117" s="55">
        <v>0.7</v>
      </c>
      <c r="B117" s="46">
        <f>'Whitefield Monthly Projection'!$B$6*'Whitefield Monthly Projection'!$B$7*'Whitefield Monthly Projection'!$B$8*A117</f>
        <v>672</v>
      </c>
      <c r="C117" s="46">
        <f>IF('Whitefield Monthly Projection'!$S$45=0,0,B117/'Whitefield Monthly Projection'!$S$45)</f>
        <v>145.45454545454544</v>
      </c>
      <c r="D117" s="46">
        <f>MIN(C117,'Whitefield Monthly Projection'!$Q$10)</f>
        <v>37.620000000000005</v>
      </c>
      <c r="E117" s="13">
        <f>D117*'Whitefield Monthly Projection'!$S$52</f>
        <v>79773.811919999993</v>
      </c>
      <c r="F117" s="13">
        <f>D117*'Whitefield Monthly Projection'!$Q$34</f>
        <v>56844.399258732206</v>
      </c>
      <c r="G117" s="13">
        <f t="shared" si="2"/>
        <v>-125155.60074126779</v>
      </c>
      <c r="H117" s="13">
        <f>IF('Whitefield Monthly Projection'!$B$6=0,0,F117/'Whitefield Monthly Projection'!$B$6)</f>
        <v>14211.099814683052</v>
      </c>
      <c r="I117" s="1"/>
      <c r="J117" s="1" t="s">
        <v>480</v>
      </c>
      <c r="K117" s="13">
        <f>'Whitefield Monthly Projection'!$Q$19/('Whitefield Monthly Projection'!$B$6*'Whitefield Monthly Projection'!$B$7)</f>
        <v>0.31350000000000006</v>
      </c>
      <c r="L117" s="1"/>
      <c r="M117" s="1"/>
      <c r="U117" t="str">
        <f>'Profit Maximizer'!A19</f>
        <v>Health Check-up Concierge</v>
      </c>
      <c r="V117" s="16">
        <f>'Profit Maximizer'!H19</f>
        <v>1253.9408050847455</v>
      </c>
    </row>
    <row r="118" spans="1:22" ht="30">
      <c r="A118" s="55">
        <v>0.8</v>
      </c>
      <c r="B118" s="46">
        <f>'Whitefield Monthly Projection'!$B$6*'Whitefield Monthly Projection'!$B$7*'Whitefield Monthly Projection'!$B$8*A118</f>
        <v>768</v>
      </c>
      <c r="C118" s="46">
        <f>IF('Whitefield Monthly Projection'!$S$45=0,0,B118/'Whitefield Monthly Projection'!$S$45)</f>
        <v>166.23376623376623</v>
      </c>
      <c r="D118" s="46">
        <f>MIN(C118,'Whitefield Monthly Projection'!$Q$10)</f>
        <v>37.620000000000005</v>
      </c>
      <c r="E118" s="13">
        <f>D118*'Whitefield Monthly Projection'!$S$52</f>
        <v>79773.811919999993</v>
      </c>
      <c r="F118" s="13">
        <f>D118*'Whitefield Monthly Projection'!$Q$34</f>
        <v>56844.399258732206</v>
      </c>
      <c r="G118" s="13">
        <f t="shared" si="2"/>
        <v>-125155.60074126779</v>
      </c>
      <c r="H118" s="13">
        <f>IF('Whitefield Monthly Projection'!$B$6=0,0,F118/'Whitefield Monthly Projection'!$B$6)</f>
        <v>14211.099814683052</v>
      </c>
      <c r="I118" s="1"/>
      <c r="J118" s="1" t="s">
        <v>481</v>
      </c>
      <c r="K118" s="13">
        <f>'Whitefield Monthly Projection'!$Q$27/('Whitefield Monthly Projection'!$Q$19*'Whitefield Monthly Projection'!$S$45)</f>
        <v>458.98614718614721</v>
      </c>
      <c r="L118" s="1"/>
      <c r="M118" s="1"/>
      <c r="U118" t="str">
        <f>'Profit Maximizer'!A20</f>
        <v>Hospital Admission Concierge</v>
      </c>
      <c r="V118" s="16">
        <f>'Profit Maximizer'!H20</f>
        <v>1278.2332881355933</v>
      </c>
    </row>
    <row r="119" spans="1:22" ht="30">
      <c r="A119" s="55">
        <v>0.9</v>
      </c>
      <c r="B119" s="46">
        <f>'Whitefield Monthly Projection'!$B$6*'Whitefield Monthly Projection'!$B$7*'Whitefield Monthly Projection'!$B$8*A119</f>
        <v>864</v>
      </c>
      <c r="C119" s="46">
        <f>IF('Whitefield Monthly Projection'!$S$45=0,0,B119/'Whitefield Monthly Projection'!$S$45)</f>
        <v>187.012987012987</v>
      </c>
      <c r="D119" s="46">
        <f>MIN(C119,'Whitefield Monthly Projection'!$Q$10)</f>
        <v>37.620000000000005</v>
      </c>
      <c r="E119" s="13">
        <f>D119*'Whitefield Monthly Projection'!$S$52</f>
        <v>79773.811919999993</v>
      </c>
      <c r="F119" s="13">
        <f>D119*'Whitefield Monthly Projection'!$Q$34</f>
        <v>56844.399258732206</v>
      </c>
      <c r="G119" s="13">
        <f t="shared" si="2"/>
        <v>-125155.60074126779</v>
      </c>
      <c r="H119" s="13">
        <f>IF('Whitefield Monthly Projection'!$B$6=0,0,F119/'Whitefield Monthly Projection'!$B$6)</f>
        <v>14211.099814683052</v>
      </c>
      <c r="I119" s="1"/>
      <c r="J119" s="1" t="s">
        <v>207</v>
      </c>
      <c r="K119" s="46">
        <f>'Whitefield Monthly Projection'!$Q$35</f>
        <v>327.05960987599968</v>
      </c>
      <c r="L119" s="1"/>
      <c r="M119" s="1"/>
      <c r="U119" t="str">
        <f>'Profit Maximizer'!A21</f>
        <v>Hospital Discharge Concierge</v>
      </c>
      <c r="V119" s="16">
        <f>'Profit Maximizer'!H21</f>
        <v>1229.6483220338985</v>
      </c>
    </row>
    <row r="120" spans="1:22" ht="30">
      <c r="A120" s="1"/>
      <c r="B120" s="1"/>
      <c r="C120" s="1"/>
      <c r="D120" s="1"/>
      <c r="E120" s="1"/>
      <c r="F120" s="1"/>
      <c r="G120" s="1"/>
      <c r="H120" s="1"/>
      <c r="I120" s="1"/>
      <c r="J120" s="1" t="s">
        <v>482</v>
      </c>
      <c r="K120" s="46">
        <f>'Whitefield Monthly Projection'!$Q$19*'Whitefield Monthly Projection'!$S$45/('Whitefield Monthly Projection'!$B$7*'Whitefield Monthly Projection'!$B$8*'Whitefield Monthly Projection'!$B$9)</f>
        <v>0.72418500000000008</v>
      </c>
      <c r="L120" s="1"/>
      <c r="M120" s="1"/>
      <c r="U120" t="str">
        <f>'Profit Maximizer'!A22</f>
        <v>Overnight Hospital Concierge</v>
      </c>
      <c r="V120" s="16">
        <f>'Profit Maximizer'!H22</f>
        <v>2881.5371694915252</v>
      </c>
    </row>
    <row r="121" spans="1:22" ht="30">
      <c r="A121" s="1"/>
      <c r="B121" s="1"/>
      <c r="C121" s="1"/>
      <c r="D121" s="1"/>
      <c r="E121" s="1"/>
      <c r="F121" s="1"/>
      <c r="G121" s="1"/>
      <c r="H121" s="1"/>
      <c r="I121" s="1"/>
      <c r="J121" s="1" t="s">
        <v>483</v>
      </c>
      <c r="K121" s="46">
        <f>MAX('Whitefield Monthly Projection'!$B$6-K120,0)</f>
        <v>3.2758149999999997</v>
      </c>
      <c r="L121" s="1"/>
      <c r="M121" s="1"/>
      <c r="U121" t="str">
        <f>'Profit Maximizer'!A23</f>
        <v>Multi-Day Hospital Concierge (per 12h shift)</v>
      </c>
      <c r="V121" s="16">
        <f>'Profit Maximizer'!H23</f>
        <v>2881.5371694915252</v>
      </c>
    </row>
    <row r="122" spans="1:22" ht="45">
      <c r="A122" s="1"/>
      <c r="B122" s="1"/>
      <c r="C122" s="1"/>
      <c r="D122" s="1"/>
      <c r="E122" s="1"/>
      <c r="F122" s="1"/>
      <c r="G122" s="1"/>
      <c r="H122" s="1"/>
      <c r="I122" s="1"/>
      <c r="J122" s="1" t="s">
        <v>484</v>
      </c>
      <c r="K122" s="14">
        <f>MIN(1,$M$11/'Whitefield Monthly Projection'!$Q$34*'Whitefield Monthly Projection'!$S$45/('Whitefield Monthly Projection'!$B$6*'Whitefield Monthly Projection'!$B$7*'Whitefield Monthly Projection'!$B$8))</f>
        <v>0.35034388188983684</v>
      </c>
      <c r="L122" s="1"/>
      <c r="M122" s="1"/>
      <c r="U122" t="str">
        <f>'Profit Maximizer'!A24</f>
        <v>Day Surgery / Procedure Concierge</v>
      </c>
      <c r="V122" s="16">
        <f>'Profit Maximizer'!H24</f>
        <v>1909.8378474576273</v>
      </c>
    </row>
    <row r="123" spans="1:22">
      <c r="A123" s="1"/>
      <c r="B123" s="1"/>
      <c r="C123" s="1"/>
      <c r="D123" s="1"/>
      <c r="E123" s="1"/>
      <c r="F123" s="1"/>
      <c r="G123" s="1"/>
      <c r="H123" s="1"/>
      <c r="I123" s="1"/>
      <c r="J123" s="1"/>
      <c r="K123" s="1"/>
      <c r="L123" s="1"/>
      <c r="M123" s="1"/>
      <c r="U123" t="str">
        <f>'Profit Maximizer'!A25</f>
        <v>Pre-Surgery Concierge</v>
      </c>
      <c r="V123" s="16">
        <f>'Profit Maximizer'!H25</f>
        <v>1229.6483220338985</v>
      </c>
    </row>
    <row r="124" spans="1:22">
      <c r="A124" s="1"/>
      <c r="B124" s="1"/>
      <c r="C124" s="1"/>
      <c r="D124" s="1"/>
      <c r="E124" s="1"/>
      <c r="F124" s="1"/>
      <c r="G124" s="1"/>
      <c r="H124" s="1"/>
      <c r="I124" s="1"/>
      <c r="J124" s="1"/>
      <c r="K124" s="1"/>
      <c r="L124" s="1"/>
      <c r="M124" s="1"/>
      <c r="U124" t="str">
        <f>'Profit Maximizer'!A26</f>
        <v>Post-Surgery Follow-up</v>
      </c>
      <c r="V124" s="16">
        <f>'Profit Maximizer'!H26</f>
        <v>889.55355932203383</v>
      </c>
    </row>
    <row r="125" spans="1:22" ht="42.75" customHeight="1">
      <c r="A125" s="456" t="s">
        <v>485</v>
      </c>
      <c r="B125" s="456"/>
      <c r="C125" s="456"/>
      <c r="D125" s="456"/>
      <c r="E125" s="456"/>
      <c r="F125" s="456" t="s">
        <v>486</v>
      </c>
      <c r="G125" s="456"/>
      <c r="H125" s="456"/>
      <c r="I125" s="456"/>
      <c r="J125" s="456"/>
      <c r="K125" s="456"/>
      <c r="L125" s="456"/>
      <c r="M125" s="456"/>
    </row>
    <row r="126" spans="1:22" ht="32">
      <c r="A126" s="54" t="s">
        <v>235</v>
      </c>
      <c r="B126" s="54" t="s">
        <v>316</v>
      </c>
      <c r="C126" s="54" t="s">
        <v>487</v>
      </c>
      <c r="D126" s="54" t="s">
        <v>488</v>
      </c>
      <c r="E126" s="1"/>
      <c r="F126" s="54" t="s">
        <v>489</v>
      </c>
      <c r="G126" s="54" t="s">
        <v>490</v>
      </c>
      <c r="H126" s="54" t="s">
        <v>491</v>
      </c>
      <c r="I126" s="54" t="s">
        <v>492</v>
      </c>
      <c r="J126" s="54" t="s">
        <v>493</v>
      </c>
      <c r="K126" s="54" t="s">
        <v>435</v>
      </c>
      <c r="L126" s="54" t="s">
        <v>306</v>
      </c>
      <c r="M126" s="54" t="s">
        <v>494</v>
      </c>
      <c r="N126" s="58" t="s">
        <v>38</v>
      </c>
      <c r="O126" s="58" t="s">
        <v>316</v>
      </c>
      <c r="P126" s="58" t="s">
        <v>487</v>
      </c>
      <c r="Q126" s="58" t="s">
        <v>488</v>
      </c>
      <c r="U126" s="58" t="s">
        <v>495</v>
      </c>
      <c r="V126" s="58" t="s">
        <v>306</v>
      </c>
    </row>
    <row r="127" spans="1:22" ht="30">
      <c r="A127" s="1" t="s">
        <v>496</v>
      </c>
      <c r="B127" s="12">
        <f>'Whitefield Monthly Projection'!$S$46</f>
        <v>1860.9159999999997</v>
      </c>
      <c r="C127" s="12">
        <f>SUMPRODUCT($P$127:$P$156,'Profit Maximizer'!$D$15:$D$44)</f>
        <v>2962.4579027593641</v>
      </c>
      <c r="D127" s="12">
        <f>SUMPRODUCT($Q$127:$Q$156,'Profit Maximizer'!$D$15:$D$44)</f>
        <v>4063.9998055187284</v>
      </c>
      <c r="E127" s="1"/>
      <c r="F127" s="1" t="s">
        <v>73</v>
      </c>
      <c r="G127" s="59">
        <v>2</v>
      </c>
      <c r="H127" s="59">
        <v>8</v>
      </c>
      <c r="I127" s="57">
        <f t="shared" ref="I127:I133" si="3">G127*H127</f>
        <v>16</v>
      </c>
      <c r="J127" s="12">
        <f>SUMIF('Profit Maximizer'!$A$15:$A$44,F127,'Profit Maximizer'!$D$15:$D$44)</f>
        <v>1544.5</v>
      </c>
      <c r="K127" s="12">
        <f>SUMIF('Profit Maximizer'!$A$15:$A$44,F127,'Profit Maximizer'!$H$15:$H$44)</f>
        <v>1253.9408050847455</v>
      </c>
      <c r="L127" s="50">
        <f t="shared" ref="L127:L133" si="4">I127*J127</f>
        <v>24712</v>
      </c>
      <c r="M127" s="50">
        <f t="shared" ref="M127:M133" si="5">I127*K127</f>
        <v>20063.052881355929</v>
      </c>
      <c r="N127" t="str">
        <f>'Profit Maximizer'!A15</f>
        <v>Hospital Visit</v>
      </c>
      <c r="O127">
        <f>'Profit Maximizer'!R15</f>
        <v>0.23</v>
      </c>
      <c r="P127">
        <f t="shared" ref="P127:P156" si="6">50%*O127+50%*Q127</f>
        <v>0.14841203440088868</v>
      </c>
      <c r="Q127">
        <f>'Profit Maximizer'!T15</f>
        <v>6.6824068801777367E-2</v>
      </c>
      <c r="U127" t="s">
        <v>497</v>
      </c>
      <c r="V127" s="16">
        <f>$L$134</f>
        <v>66699.199999999997</v>
      </c>
    </row>
    <row r="128" spans="1:22" ht="30">
      <c r="A128" s="1" t="s">
        <v>498</v>
      </c>
      <c r="B128" s="45">
        <f>'Whitefield Monthly Projection'!$S$45</f>
        <v>4.62</v>
      </c>
      <c r="C128" s="45">
        <f>SUMPRODUCT($P$127:$P$156,'Profit Maximizer'!$C$15:$C$44)</f>
        <v>5.8334198865919369</v>
      </c>
      <c r="D128" s="45">
        <f>SUMPRODUCT($Q$127:$Q$156,'Profit Maximizer'!$C$15:$C$44)</f>
        <v>7.0468397731838754</v>
      </c>
      <c r="E128" s="1"/>
      <c r="F128" s="1" t="s">
        <v>75</v>
      </c>
      <c r="G128" s="59">
        <v>2</v>
      </c>
      <c r="H128" s="59">
        <v>2</v>
      </c>
      <c r="I128" s="57">
        <f t="shared" si="3"/>
        <v>4</v>
      </c>
      <c r="J128" s="12">
        <f>SUMIF('Profit Maximizer'!$A$15:$A$44,F128,'Profit Maximizer'!$D$15:$D$44)</f>
        <v>1993</v>
      </c>
      <c r="K128" s="12">
        <f>SUMIF('Profit Maximizer'!$A$15:$A$44,F128,'Profit Maximizer'!$H$15:$H$44)</f>
        <v>1618.3280508474577</v>
      </c>
      <c r="L128" s="50">
        <f t="shared" si="4"/>
        <v>7972</v>
      </c>
      <c r="M128" s="50">
        <f t="shared" si="5"/>
        <v>6473.3122033898308</v>
      </c>
      <c r="N128" t="str">
        <f>'Profit Maximizer'!A16</f>
        <v>Hospital Visit — Concierge at Hospital</v>
      </c>
      <c r="O128">
        <f>'Profit Maximizer'!R16</f>
        <v>0.12</v>
      </c>
      <c r="P128">
        <f t="shared" si="6"/>
        <v>7.8555404376933868E-2</v>
      </c>
      <c r="Q128">
        <f>'Profit Maximizer'!T16</f>
        <v>3.7110808753867755E-2</v>
      </c>
      <c r="U128" t="s">
        <v>499</v>
      </c>
      <c r="V128" s="16">
        <f>MAX('Whitefield Monthly Projection'!$Q$27-$L$134,0)</f>
        <v>13074.61192000001</v>
      </c>
    </row>
    <row r="129" spans="1:22" ht="45">
      <c r="A129" s="1" t="s">
        <v>367</v>
      </c>
      <c r="B129" s="12">
        <f>'Whitefield Monthly Projection'!$Q$34</f>
        <v>1511.0153976271185</v>
      </c>
      <c r="C129" s="12">
        <f>SUMPRODUCT($P$127:$P$156,'Profit Maximizer'!$H$15:$H$44)</f>
        <v>2405.9715181147476</v>
      </c>
      <c r="D129" s="12">
        <f>SUMPRODUCT($Q$127:$Q$156,'Profit Maximizer'!$H$15:$H$44)</f>
        <v>3300.9276386023771</v>
      </c>
      <c r="E129" s="1"/>
      <c r="F129" s="1" t="s">
        <v>76</v>
      </c>
      <c r="G129" s="59">
        <v>1</v>
      </c>
      <c r="H129" s="59">
        <v>10</v>
      </c>
      <c r="I129" s="57">
        <f t="shared" si="3"/>
        <v>10</v>
      </c>
      <c r="J129" s="12">
        <f>SUMIF('Profit Maximizer'!$A$15:$A$44,F129,'Profit Maximizer'!$D$15:$D$44)</f>
        <v>1051.1500000000001</v>
      </c>
      <c r="K129" s="12">
        <f>SUMIF('Profit Maximizer'!$A$15:$A$44,F129,'Profit Maximizer'!$H$15:$H$44)</f>
        <v>853.11483474576289</v>
      </c>
      <c r="L129" s="50">
        <f t="shared" si="4"/>
        <v>10511.5</v>
      </c>
      <c r="M129" s="50">
        <f t="shared" si="5"/>
        <v>8531.1483474576289</v>
      </c>
      <c r="N129" t="str">
        <f>'Profit Maximizer'!A17</f>
        <v>Clinic Visit</v>
      </c>
      <c r="O129">
        <f>'Profit Maximizer'!R17</f>
        <v>0.09</v>
      </c>
      <c r="P129">
        <f t="shared" si="6"/>
        <v>6.5500215620331731E-2</v>
      </c>
      <c r="Q129">
        <f>'Profit Maximizer'!T17</f>
        <v>4.1000431240663479E-2</v>
      </c>
    </row>
    <row r="130" spans="1:22" ht="31">
      <c r="A130" s="1" t="s">
        <v>328</v>
      </c>
      <c r="B130" s="12">
        <f>'Whitefield Monthly Projection'!$Q$35</f>
        <v>327.05960987599968</v>
      </c>
      <c r="C130" s="12">
        <f>IF(C128=0,0,C129/C128)</f>
        <v>412.4461404955353</v>
      </c>
      <c r="D130" s="12">
        <f>IF(D128=0,0,D129/D128)</f>
        <v>468.42666285158987</v>
      </c>
      <c r="E130" s="1"/>
      <c r="F130" s="1" t="s">
        <v>77</v>
      </c>
      <c r="G130" s="59">
        <v>3</v>
      </c>
      <c r="H130" s="59">
        <v>4</v>
      </c>
      <c r="I130" s="57">
        <f t="shared" si="3"/>
        <v>12</v>
      </c>
      <c r="J130" s="12">
        <f>SUMIF('Profit Maximizer'!$A$15:$A$44,F130,'Profit Maximizer'!$D$15:$D$44)</f>
        <v>707.3</v>
      </c>
      <c r="K130" s="12">
        <f>SUMIF('Profit Maximizer'!$A$15:$A$44,F130,'Profit Maximizer'!$H$15:$H$44)</f>
        <v>573.75127966101695</v>
      </c>
      <c r="L130" s="50">
        <f t="shared" si="4"/>
        <v>8487.5999999999985</v>
      </c>
      <c r="M130" s="50">
        <f t="shared" si="5"/>
        <v>6885.0153559322034</v>
      </c>
      <c r="N130" t="str">
        <f>'Profit Maximizer'!A18</f>
        <v>Diagnostic Center Visit</v>
      </c>
      <c r="O130">
        <f>'Profit Maximizer'!R18</f>
        <v>0.08</v>
      </c>
      <c r="P130">
        <f t="shared" si="6"/>
        <v>5.5566823049372244E-2</v>
      </c>
      <c r="Q130">
        <f>'Profit Maximizer'!T18</f>
        <v>3.1133646098744493E-2</v>
      </c>
      <c r="U130" s="58" t="s">
        <v>243</v>
      </c>
      <c r="V130" s="58" t="s">
        <v>500</v>
      </c>
    </row>
    <row r="131" spans="1:22" ht="30">
      <c r="A131" s="1" t="s">
        <v>236</v>
      </c>
      <c r="B131" s="45">
        <f>'Whitefield Monthly Projection'!$Q$19</f>
        <v>37.620000000000005</v>
      </c>
      <c r="C131" s="45">
        <f>MIN('Whitefield Monthly Projection'!$Q$10,'Whitefield Monthly Projection'!$B$6*'Whitefield Monthly Projection'!$B$7*'Whitefield Monthly Projection'!$B$8*'Whitefield Monthly Projection'!$B$9/C128,'Whitefield Monthly Projection'!$B$6*'Whitefield Monthly Projection'!$B$10*'Whitefield Monthly Projection'!$B$7)</f>
        <v>37.620000000000005</v>
      </c>
      <c r="D131" s="45">
        <f>MIN('Whitefield Monthly Projection'!$Q$10,'Whitefield Monthly Projection'!$B$6*'Whitefield Monthly Projection'!$B$7*'Whitefield Monthly Projection'!$B$8*'Whitefield Monthly Projection'!$B$9/D128,'Whitefield Monthly Projection'!$B$6*'Whitefield Monthly Projection'!$B$10*'Whitefield Monthly Projection'!$B$7)</f>
        <v>37.620000000000005</v>
      </c>
      <c r="E131" s="1"/>
      <c r="F131" s="1" t="s">
        <v>78</v>
      </c>
      <c r="G131" s="59">
        <v>3</v>
      </c>
      <c r="H131" s="59">
        <v>1</v>
      </c>
      <c r="I131" s="57">
        <f t="shared" si="3"/>
        <v>3</v>
      </c>
      <c r="J131" s="12">
        <f>SUMIF('Profit Maximizer'!$A$15:$A$44,F131,'Profit Maximizer'!$D$15:$D$44)</f>
        <v>1006.3000000000001</v>
      </c>
      <c r="K131" s="12">
        <f>SUMIF('Profit Maximizer'!$A$15:$A$44,F131,'Profit Maximizer'!$H$15:$H$44)</f>
        <v>816.67611016949161</v>
      </c>
      <c r="L131" s="50">
        <f t="shared" si="4"/>
        <v>3018.9</v>
      </c>
      <c r="M131" s="50">
        <f t="shared" si="5"/>
        <v>2450.0283305084749</v>
      </c>
      <c r="N131" t="str">
        <f>'Profit Maximizer'!A19</f>
        <v>Health Check-up Concierge</v>
      </c>
      <c r="O131">
        <f>'Profit Maximizer'!R19</f>
        <v>0.05</v>
      </c>
      <c r="P131">
        <f t="shared" si="6"/>
        <v>3.4749153499988243E-2</v>
      </c>
      <c r="Q131">
        <f>'Profit Maximizer'!T19</f>
        <v>1.949830699997648E-2</v>
      </c>
      <c r="U131" t="s">
        <v>254</v>
      </c>
      <c r="V131" s="16">
        <f t="shared" ref="V131:V142" si="7">J176</f>
        <v>1174844.3992587323</v>
      </c>
    </row>
    <row r="132" spans="1:22" ht="45">
      <c r="A132" s="1" t="s">
        <v>327</v>
      </c>
      <c r="B132" s="12">
        <f>'Whitefield Monthly Projection'!$Q$32</f>
        <v>56844.399258732206</v>
      </c>
      <c r="C132" s="12">
        <f>C131*C129</f>
        <v>90512.648511476815</v>
      </c>
      <c r="D132" s="12">
        <f>D131*D129</f>
        <v>124180.89776422144</v>
      </c>
      <c r="E132" s="1"/>
      <c r="F132" s="1" t="s">
        <v>80</v>
      </c>
      <c r="G132" s="59">
        <v>3</v>
      </c>
      <c r="H132" s="59">
        <v>2</v>
      </c>
      <c r="I132" s="57">
        <f t="shared" si="3"/>
        <v>6</v>
      </c>
      <c r="J132" s="12">
        <f>SUMIF('Profit Maximizer'!$A$15:$A$44,F132,'Profit Maximizer'!$D$15:$D$44)</f>
        <v>1634.2</v>
      </c>
      <c r="K132" s="12">
        <f>SUMIF('Profit Maximizer'!$A$15:$A$44,F132,'Profit Maximizer'!$H$15:$H$44)</f>
        <v>1326.8182542372883</v>
      </c>
      <c r="L132" s="50">
        <f t="shared" si="4"/>
        <v>9805.2000000000007</v>
      </c>
      <c r="M132" s="50">
        <f t="shared" si="5"/>
        <v>7960.90952542373</v>
      </c>
      <c r="N132" t="str">
        <f>'Profit Maximizer'!A20</f>
        <v>Hospital Admission Concierge</v>
      </c>
      <c r="O132">
        <f>'Profit Maximizer'!R20</f>
        <v>0.05</v>
      </c>
      <c r="P132">
        <f t="shared" si="6"/>
        <v>4.0507605017534656E-2</v>
      </c>
      <c r="Q132">
        <f>'Profit Maximizer'!T20</f>
        <v>3.1015210035069317E-2</v>
      </c>
      <c r="U132" t="s">
        <v>256</v>
      </c>
      <c r="V132" s="16">
        <f t="shared" si="7"/>
        <v>1056510.1264285124</v>
      </c>
    </row>
    <row r="133" spans="1:22" ht="30">
      <c r="A133" s="1" t="s">
        <v>501</v>
      </c>
      <c r="B133" s="12">
        <f>B132-$I$20</f>
        <v>-125155.60074126779</v>
      </c>
      <c r="C133" s="12">
        <f>C132-$I$20</f>
        <v>-91487.351488523185</v>
      </c>
      <c r="D133" s="12">
        <f>D132-$I$20</f>
        <v>-57819.102235778555</v>
      </c>
      <c r="E133" s="1"/>
      <c r="F133" s="1" t="s">
        <v>72</v>
      </c>
      <c r="G133" s="59">
        <v>2</v>
      </c>
      <c r="H133" s="59">
        <v>1</v>
      </c>
      <c r="I133" s="57">
        <f t="shared" si="3"/>
        <v>2</v>
      </c>
      <c r="J133" s="12">
        <f>SUMIF('Profit Maximizer'!$A$15:$A$44,F133,'Profit Maximizer'!$D$15:$D$44)</f>
        <v>1096</v>
      </c>
      <c r="K133" s="12">
        <f>SUMIF('Profit Maximizer'!$A$15:$A$44,F133,'Profit Maximizer'!$H$15:$H$44)</f>
        <v>889.55355932203383</v>
      </c>
      <c r="L133" s="50">
        <f t="shared" si="4"/>
        <v>2192</v>
      </c>
      <c r="M133" s="50">
        <f t="shared" si="5"/>
        <v>1779.1071186440677</v>
      </c>
      <c r="N133" t="str">
        <f>'Profit Maximizer'!A21</f>
        <v>Hospital Discharge Concierge</v>
      </c>
      <c r="O133">
        <f>'Profit Maximizer'!R21</f>
        <v>0.05</v>
      </c>
      <c r="P133">
        <f t="shared" si="6"/>
        <v>3.9354404240189184E-2</v>
      </c>
      <c r="Q133">
        <f>'Profit Maximizer'!T21</f>
        <v>2.8708808480378364E-2</v>
      </c>
      <c r="U133" t="s">
        <v>258</v>
      </c>
      <c r="V133" s="16">
        <f t="shared" si="7"/>
        <v>945815.74085866613</v>
      </c>
    </row>
    <row r="134" spans="1:22" ht="16">
      <c r="A134" s="1"/>
      <c r="B134" s="1"/>
      <c r="C134" s="1"/>
      <c r="D134" s="1"/>
      <c r="E134" s="1"/>
      <c r="F134" s="65" t="s">
        <v>502</v>
      </c>
      <c r="G134" s="65"/>
      <c r="H134" s="65"/>
      <c r="I134" s="67">
        <f>SUM(I127:I133)</f>
        <v>53</v>
      </c>
      <c r="J134" s="65"/>
      <c r="K134" s="65"/>
      <c r="L134" s="66">
        <f>SUM(L127:L133)</f>
        <v>66699.199999999997</v>
      </c>
      <c r="M134" s="66">
        <f>SUM(M127:M133)</f>
        <v>54142.573762711872</v>
      </c>
      <c r="N134" t="str">
        <f>'Profit Maximizer'!A22</f>
        <v>Overnight Hospital Concierge</v>
      </c>
      <c r="O134">
        <f>'Profit Maximizer'!R22</f>
        <v>0.03</v>
      </c>
      <c r="P134">
        <f t="shared" si="6"/>
        <v>2.1647809140091671E-2</v>
      </c>
      <c r="Q134">
        <f>'Profit Maximizer'!T22</f>
        <v>1.329561828018334E-2</v>
      </c>
      <c r="U134" t="s">
        <v>259</v>
      </c>
      <c r="V134" s="16">
        <f t="shared" si="7"/>
        <v>843678.02902043832</v>
      </c>
    </row>
    <row r="135" spans="1:22">
      <c r="A135" s="1"/>
      <c r="B135" s="1"/>
      <c r="C135" s="1"/>
      <c r="D135" s="1"/>
      <c r="E135" s="1"/>
      <c r="F135" s="1"/>
      <c r="G135" s="1"/>
      <c r="H135" s="1"/>
      <c r="I135" s="1"/>
      <c r="J135" s="1"/>
      <c r="K135" s="1"/>
      <c r="L135" s="1"/>
      <c r="M135" s="1"/>
      <c r="N135" t="str">
        <f>'Profit Maximizer'!A23</f>
        <v>Multi-Day Hospital Concierge (per 12h shift)</v>
      </c>
      <c r="O135">
        <f>'Profit Maximizer'!R23</f>
        <v>0.01</v>
      </c>
      <c r="P135">
        <f t="shared" si="6"/>
        <v>9.1763236049777833E-3</v>
      </c>
      <c r="Q135">
        <f>'Profit Maximizer'!T23</f>
        <v>8.3526472099555646E-3</v>
      </c>
      <c r="U135" t="s">
        <v>260</v>
      </c>
      <c r="V135" s="16">
        <f t="shared" si="7"/>
        <v>751123.79176162311</v>
      </c>
    </row>
    <row r="136" spans="1:22" ht="16">
      <c r="A136" s="1"/>
      <c r="B136" s="1"/>
      <c r="C136" s="1"/>
      <c r="D136" s="1"/>
      <c r="E136" s="1"/>
      <c r="F136" s="54" t="s">
        <v>503</v>
      </c>
      <c r="G136" s="54" t="s">
        <v>2</v>
      </c>
      <c r="H136" s="1"/>
      <c r="I136" s="1"/>
      <c r="J136" s="1"/>
      <c r="K136" s="1"/>
      <c r="L136" s="1"/>
      <c r="M136" s="1"/>
      <c r="N136" t="str">
        <f>'Profit Maximizer'!A24</f>
        <v>Day Surgery / Procedure Concierge</v>
      </c>
      <c r="O136">
        <f>'Profit Maximizer'!R24</f>
        <v>0.04</v>
      </c>
      <c r="P136">
        <f t="shared" si="6"/>
        <v>3.4384583399655999E-2</v>
      </c>
      <c r="Q136">
        <f>'Profit Maximizer'!T24</f>
        <v>2.8769166799312001E-2</v>
      </c>
      <c r="U136" t="s">
        <v>261</v>
      </c>
      <c r="V136" s="16">
        <f t="shared" si="7"/>
        <v>669303.04603175004</v>
      </c>
    </row>
    <row r="137" spans="1:22" ht="75">
      <c r="A137" s="1"/>
      <c r="B137" s="1"/>
      <c r="C137" s="1"/>
      <c r="D137" s="1"/>
      <c r="E137" s="1"/>
      <c r="F137" s="1" t="s">
        <v>504</v>
      </c>
      <c r="G137" s="14">
        <f>IF($I$20=0,0,$M$134/$I$20)</f>
        <v>0.29748666902588938</v>
      </c>
      <c r="H137" s="1"/>
      <c r="I137" s="1"/>
      <c r="J137" s="1"/>
      <c r="K137" s="1"/>
      <c r="L137" s="1"/>
      <c r="M137" s="1"/>
      <c r="N137" t="str">
        <f>'Profit Maximizer'!A25</f>
        <v>Pre-Surgery Concierge</v>
      </c>
      <c r="O137">
        <f>'Profit Maximizer'!R25</f>
        <v>0.02</v>
      </c>
      <c r="P137">
        <f t="shared" si="6"/>
        <v>2.1718861548248501E-2</v>
      </c>
      <c r="Q137">
        <f>'Profit Maximizer'!T25</f>
        <v>2.3437723096497002E-2</v>
      </c>
      <c r="U137" t="s">
        <v>262</v>
      </c>
      <c r="V137" s="16">
        <f t="shared" si="7"/>
        <v>599503.81081429229</v>
      </c>
    </row>
    <row r="138" spans="1:22" ht="75">
      <c r="A138" s="1"/>
      <c r="B138" s="1"/>
      <c r="C138" s="1"/>
      <c r="D138" s="1"/>
      <c r="E138" s="1"/>
      <c r="F138" s="1" t="s">
        <v>505</v>
      </c>
      <c r="G138" s="14">
        <f>IF('Whitefield Monthly Projection'!$Q$19=0,0,$I$134/'Whitefield Monthly Projection'!$Q$19)</f>
        <v>1.4088250930356192</v>
      </c>
      <c r="H138" s="1"/>
      <c r="I138" s="1"/>
      <c r="J138" s="1"/>
      <c r="K138" s="1"/>
      <c r="L138" s="1"/>
      <c r="M138" s="1"/>
      <c r="N138" t="str">
        <f>'Profit Maximizer'!A26</f>
        <v>Post-Surgery Follow-up</v>
      </c>
      <c r="O138">
        <f>'Profit Maximizer'!R26</f>
        <v>0.03</v>
      </c>
      <c r="P138">
        <f t="shared" si="6"/>
        <v>2.796774898866293E-2</v>
      </c>
      <c r="Q138">
        <f>'Profit Maximizer'!T26</f>
        <v>2.5935497977325861E-2</v>
      </c>
      <c r="U138" t="s">
        <v>263</v>
      </c>
      <c r="V138" s="16">
        <f t="shared" si="7"/>
        <v>543168.66737073963</v>
      </c>
    </row>
    <row r="139" spans="1:22" ht="60">
      <c r="A139" s="1"/>
      <c r="B139" s="1"/>
      <c r="C139" s="1"/>
      <c r="D139" s="1"/>
      <c r="E139" s="1"/>
      <c r="F139" s="1" t="s">
        <v>506</v>
      </c>
      <c r="G139" s="13">
        <f>IF($I$134=0,0,$M$134/$I$134)</f>
        <v>1021.5579955228656</v>
      </c>
      <c r="H139" s="1"/>
      <c r="I139" s="1"/>
      <c r="J139" s="1"/>
      <c r="K139" s="1"/>
      <c r="L139" s="1"/>
      <c r="M139" s="1"/>
      <c r="N139" t="str">
        <f>'Profit Maximizer'!A27</f>
        <v>Dialysis Visit Concierge</v>
      </c>
      <c r="O139">
        <f>'Profit Maximizer'!R27</f>
        <v>0.04</v>
      </c>
      <c r="P139">
        <f t="shared" si="6"/>
        <v>3.3799840555531285E-2</v>
      </c>
      <c r="Q139">
        <f>'Profit Maximizer'!T27</f>
        <v>2.7599681111062577E-2</v>
      </c>
      <c r="U139" t="s">
        <v>264</v>
      </c>
      <c r="V139" s="16">
        <f t="shared" si="7"/>
        <v>501913.3067139606</v>
      </c>
    </row>
    <row r="140" spans="1:22">
      <c r="A140" s="1"/>
      <c r="B140" s="1"/>
      <c r="C140" s="1"/>
      <c r="D140" s="1"/>
      <c r="E140" s="1"/>
      <c r="F140" s="1"/>
      <c r="G140" s="1"/>
      <c r="H140" s="1"/>
      <c r="I140" s="1"/>
      <c r="J140" s="1"/>
      <c r="K140" s="1"/>
      <c r="L140" s="1"/>
      <c r="M140" s="1"/>
      <c r="N140" t="str">
        <f>'Profit Maximizer'!A28</f>
        <v>Chemotherapy Visit Concierge</v>
      </c>
      <c r="O140">
        <f>'Profit Maximizer'!R28</f>
        <v>0.02</v>
      </c>
      <c r="P140">
        <f t="shared" si="6"/>
        <v>2.2667236032862977E-2</v>
      </c>
      <c r="Q140">
        <f>'Profit Maximizer'!T28</f>
        <v>2.5334472065725953E-2</v>
      </c>
      <c r="U140" t="s">
        <v>265</v>
      </c>
      <c r="V140" s="16">
        <f t="shared" si="7"/>
        <v>477547.30277836812</v>
      </c>
    </row>
    <row r="141" spans="1:22">
      <c r="A141" s="1"/>
      <c r="B141" s="1"/>
      <c r="C141" s="1"/>
      <c r="D141" s="1"/>
      <c r="E141" s="1"/>
      <c r="F141" s="1"/>
      <c r="G141" s="1"/>
      <c r="H141" s="1"/>
      <c r="I141" s="1"/>
      <c r="J141" s="1"/>
      <c r="K141" s="1"/>
      <c r="L141" s="1"/>
      <c r="M141" s="1"/>
      <c r="N141" t="str">
        <f>'Profit Maximizer'!A29</f>
        <v>Radiation Therapy Concierge</v>
      </c>
      <c r="O141">
        <f>'Profit Maximizer'!R29</f>
        <v>0.01</v>
      </c>
      <c r="P141">
        <f t="shared" si="6"/>
        <v>2.0287512876318921E-2</v>
      </c>
      <c r="Q141">
        <f>'Profit Maximizer'!T29</f>
        <v>3.057502575263784E-2</v>
      </c>
      <c r="U141" t="s">
        <v>266</v>
      </c>
      <c r="V141" s="16">
        <f t="shared" si="7"/>
        <v>472097.37837050454</v>
      </c>
    </row>
    <row r="142" spans="1:22">
      <c r="A142" s="1"/>
      <c r="B142" s="1"/>
      <c r="C142" s="1"/>
      <c r="D142" s="1"/>
      <c r="E142" s="1"/>
      <c r="F142" s="1"/>
      <c r="G142" s="1"/>
      <c r="H142" s="1"/>
      <c r="I142" s="1"/>
      <c r="J142" s="1"/>
      <c r="K142" s="1"/>
      <c r="L142" s="1"/>
      <c r="M142" s="1"/>
      <c r="N142" t="str">
        <f>'Profit Maximizer'!A30</f>
        <v>Physiotherapy / Rehab Visit</v>
      </c>
      <c r="O142">
        <f>'Profit Maximizer'!R30</f>
        <v>0.03</v>
      </c>
      <c r="P142">
        <f t="shared" si="6"/>
        <v>3.3232435501371671E-2</v>
      </c>
      <c r="Q142">
        <f>'Profit Maximizer'!T30</f>
        <v>3.6464871002743343E-2</v>
      </c>
      <c r="U142" t="s">
        <v>267</v>
      </c>
      <c r="V142" s="16">
        <f t="shared" si="7"/>
        <v>487833.46303369734</v>
      </c>
    </row>
    <row r="143" spans="1:22">
      <c r="A143" s="1"/>
      <c r="B143" s="1"/>
      <c r="C143" s="1"/>
      <c r="D143" s="1"/>
      <c r="E143" s="1"/>
      <c r="F143" s="1"/>
      <c r="G143" s="1"/>
      <c r="H143" s="1"/>
      <c r="I143" s="1"/>
      <c r="J143" s="1"/>
      <c r="K143" s="1"/>
      <c r="L143" s="1"/>
      <c r="M143" s="1"/>
      <c r="N143" t="str">
        <f>'Profit Maximizer'!A31</f>
        <v>Chronic Care Follow-up</v>
      </c>
      <c r="O143">
        <f>'Profit Maximizer'!R31</f>
        <v>0.02</v>
      </c>
      <c r="P143">
        <f t="shared" si="6"/>
        <v>2.6100555755322961E-2</v>
      </c>
      <c r="Q143">
        <f>'Profit Maximizer'!T31</f>
        <v>3.2201111510645926E-2</v>
      </c>
    </row>
    <row r="144" spans="1:22" ht="15">
      <c r="A144" s="1"/>
      <c r="B144" s="1"/>
      <c r="C144" s="1"/>
      <c r="D144" s="1"/>
      <c r="E144" s="1"/>
      <c r="F144" s="1"/>
      <c r="G144" s="1"/>
      <c r="H144" s="1"/>
      <c r="I144" s="1"/>
      <c r="J144" s="1"/>
      <c r="K144" s="1"/>
      <c r="L144" s="1"/>
      <c r="M144" s="1"/>
      <c r="N144" t="str">
        <f>'Profit Maximizer'!A32</f>
        <v>NRI Parent Medical Concierge</v>
      </c>
      <c r="O144">
        <f>'Profit Maximizer'!R32</f>
        <v>2.5000000000000001E-2</v>
      </c>
      <c r="P144">
        <f t="shared" si="6"/>
        <v>4.1163760411884409E-2</v>
      </c>
      <c r="Q144">
        <f>'Profit Maximizer'!T32</f>
        <v>5.732752082376881E-2</v>
      </c>
      <c r="U144" s="58" t="s">
        <v>432</v>
      </c>
      <c r="V144" s="58" t="s">
        <v>436</v>
      </c>
    </row>
    <row r="145" spans="1:22">
      <c r="A145" s="1"/>
      <c r="B145" s="1"/>
      <c r="C145" s="1"/>
      <c r="D145" s="1"/>
      <c r="E145" s="1"/>
      <c r="F145" s="1"/>
      <c r="G145" s="1"/>
      <c r="H145" s="1"/>
      <c r="I145" s="1"/>
      <c r="J145" s="1"/>
      <c r="K145" s="1"/>
      <c r="L145" s="1"/>
      <c r="M145" s="1"/>
      <c r="N145" t="str">
        <f>'Profit Maximizer'!A33</f>
        <v>Second Opinion Concierge</v>
      </c>
      <c r="O145">
        <f>'Profit Maximizer'!R33</f>
        <v>0</v>
      </c>
      <c r="P145">
        <f t="shared" si="6"/>
        <v>8.2211559322923917E-3</v>
      </c>
      <c r="Q145">
        <f>'Profit Maximizer'!T33</f>
        <v>1.6442311864584783E-2</v>
      </c>
      <c r="U145" t="str">
        <f t="shared" ref="U145:U150" si="8">A58</f>
        <v>A — Lean MVP</v>
      </c>
      <c r="V145" s="16">
        <f t="shared" ref="V145:V150" si="9">F58</f>
        <v>-125155.60074126779</v>
      </c>
    </row>
    <row r="146" spans="1:22">
      <c r="A146" s="1"/>
      <c r="B146" s="1"/>
      <c r="C146" s="1"/>
      <c r="D146" s="1"/>
      <c r="E146" s="1"/>
      <c r="F146" s="1"/>
      <c r="G146" s="1"/>
      <c r="H146" s="1"/>
      <c r="I146" s="1"/>
      <c r="J146" s="1"/>
      <c r="K146" s="1"/>
      <c r="L146" s="1"/>
      <c r="M146" s="1"/>
      <c r="N146" t="str">
        <f>'Profit Maximizer'!A34</f>
        <v>Teleconsultation Concierge</v>
      </c>
      <c r="O146">
        <f>'Profit Maximizer'!R34</f>
        <v>0</v>
      </c>
      <c r="P146">
        <f t="shared" si="6"/>
        <v>1.8968680336586736E-2</v>
      </c>
      <c r="Q146">
        <f>'Profit Maximizer'!T34</f>
        <v>3.7937360673173472E-2</v>
      </c>
      <c r="U146" t="str">
        <f t="shared" si="8"/>
        <v>B — Volume Growth</v>
      </c>
      <c r="V146" s="16">
        <f t="shared" si="9"/>
        <v>0</v>
      </c>
    </row>
    <row r="147" spans="1:22">
      <c r="A147" s="1"/>
      <c r="B147" s="1"/>
      <c r="C147" s="1"/>
      <c r="D147" s="1"/>
      <c r="E147" s="1"/>
      <c r="F147" s="1"/>
      <c r="G147" s="1"/>
      <c r="H147" s="1"/>
      <c r="I147" s="1"/>
      <c r="J147" s="1"/>
      <c r="K147" s="1"/>
      <c r="L147" s="1"/>
      <c r="M147" s="1"/>
      <c r="N147" t="str">
        <f>'Profit Maximizer'!A35</f>
        <v>Medical Records Concierge</v>
      </c>
      <c r="O147">
        <f>'Profit Maximizer'!R35</f>
        <v>0</v>
      </c>
      <c r="P147">
        <f t="shared" si="6"/>
        <v>4.9745611434656948E-3</v>
      </c>
      <c r="Q147">
        <f>'Profit Maximizer'!T35</f>
        <v>9.9491222869313896E-3</v>
      </c>
      <c r="U147" t="str">
        <f t="shared" si="8"/>
        <v>C — Pricing Improvement</v>
      </c>
      <c r="V147" s="16">
        <f t="shared" si="9"/>
        <v>0</v>
      </c>
    </row>
    <row r="148" spans="1:22">
      <c r="A148" s="1"/>
      <c r="B148" s="1"/>
      <c r="C148" s="1"/>
      <c r="D148" s="1"/>
      <c r="E148" s="1"/>
      <c r="F148" s="1"/>
      <c r="G148" s="1"/>
      <c r="H148" s="1"/>
      <c r="I148" s="1"/>
      <c r="J148" s="1"/>
      <c r="K148" s="1"/>
      <c r="L148" s="1"/>
      <c r="M148" s="1"/>
      <c r="N148" t="str">
        <f>'Profit Maximizer'!A36</f>
        <v>Insurance / TPA Desk Concierge</v>
      </c>
      <c r="O148">
        <f>'Profit Maximizer'!R36</f>
        <v>0.01</v>
      </c>
      <c r="P148">
        <f t="shared" si="6"/>
        <v>1.0385410138725929E-2</v>
      </c>
      <c r="Q148">
        <f>'Profit Maximizer'!T36</f>
        <v>1.0770820277451859E-2</v>
      </c>
      <c r="U148" t="str">
        <f t="shared" si="8"/>
        <v>D — Better Service Mix</v>
      </c>
      <c r="V148" s="16">
        <f t="shared" si="9"/>
        <v>0</v>
      </c>
    </row>
    <row r="149" spans="1:22">
      <c r="A149" s="1"/>
      <c r="B149" s="1"/>
      <c r="C149" s="1"/>
      <c r="D149" s="1"/>
      <c r="E149" s="1"/>
      <c r="F149" s="1"/>
      <c r="G149" s="1"/>
      <c r="H149" s="1"/>
      <c r="I149" s="1"/>
      <c r="J149" s="1"/>
      <c r="K149" s="1"/>
      <c r="L149" s="1"/>
      <c r="M149" s="1"/>
      <c r="N149" t="str">
        <f>'Profit Maximizer'!A37</f>
        <v>Hospital Transfer Concierge</v>
      </c>
      <c r="O149">
        <f>'Profit Maximizer'!R37</f>
        <v>0.01</v>
      </c>
      <c r="P149">
        <f t="shared" si="6"/>
        <v>1.4504003854717441E-2</v>
      </c>
      <c r="Q149">
        <f>'Profit Maximizer'!T37</f>
        <v>1.9008007709434879E-2</v>
      </c>
      <c r="U149" t="str">
        <f t="shared" si="8"/>
        <v>E — Repeat Customer Engine</v>
      </c>
      <c r="V149" s="16">
        <f t="shared" si="9"/>
        <v>0</v>
      </c>
    </row>
    <row r="150" spans="1:22">
      <c r="A150" s="1"/>
      <c r="B150" s="1"/>
      <c r="C150" s="1"/>
      <c r="D150" s="1"/>
      <c r="E150" s="1"/>
      <c r="F150" s="1"/>
      <c r="G150" s="1"/>
      <c r="H150" s="1"/>
      <c r="I150" s="1"/>
      <c r="J150" s="1"/>
      <c r="K150" s="1"/>
      <c r="L150" s="1"/>
      <c r="M150" s="1"/>
      <c r="N150" t="str">
        <f>'Profit Maximizer'!A38</f>
        <v>Rehab / Nursing Facility Transfer</v>
      </c>
      <c r="O150">
        <f>'Profit Maximizer'!R38</f>
        <v>0</v>
      </c>
      <c r="P150">
        <f t="shared" si="6"/>
        <v>6.7817656583863337E-3</v>
      </c>
      <c r="Q150">
        <f>'Profit Maximizer'!T38</f>
        <v>1.3563531316772667E-2</v>
      </c>
      <c r="U150" t="str">
        <f t="shared" si="8"/>
        <v>F — Hybrid</v>
      </c>
      <c r="V150" s="16">
        <f t="shared" si="9"/>
        <v>140266.86600082525</v>
      </c>
    </row>
    <row r="151" spans="1:22">
      <c r="A151" s="1"/>
      <c r="B151" s="1"/>
      <c r="C151" s="1"/>
      <c r="D151" s="1"/>
      <c r="E151" s="1"/>
      <c r="F151" s="1"/>
      <c r="G151" s="1"/>
      <c r="H151" s="1"/>
      <c r="I151" s="1"/>
      <c r="J151" s="1"/>
      <c r="K151" s="1"/>
      <c r="L151" s="1"/>
      <c r="M151" s="1"/>
      <c r="N151" t="str">
        <f>'Profit Maximizer'!A39</f>
        <v>24×7 Urgent Care Coordination</v>
      </c>
      <c r="O151">
        <f>'Profit Maximizer'!R39</f>
        <v>5.0000000000000001E-3</v>
      </c>
      <c r="P151">
        <f t="shared" si="6"/>
        <v>3.6604016496549069E-2</v>
      </c>
      <c r="Q151">
        <f>'Profit Maximizer'!T39</f>
        <v>6.8208032993098133E-2</v>
      </c>
    </row>
    <row r="152" spans="1:22">
      <c r="A152" s="1"/>
      <c r="B152" s="1"/>
      <c r="C152" s="1"/>
      <c r="D152" s="1"/>
      <c r="E152" s="1"/>
      <c r="F152" s="1"/>
      <c r="G152" s="1"/>
      <c r="H152" s="1"/>
      <c r="I152" s="1"/>
      <c r="J152" s="1"/>
      <c r="K152" s="1"/>
      <c r="L152" s="1"/>
      <c r="M152" s="1"/>
      <c r="N152" t="str">
        <f>'Profit Maximizer'!A40</f>
        <v>Doctor-at-Home Coordination</v>
      </c>
      <c r="O152">
        <f>'Profit Maximizer'!R40</f>
        <v>0</v>
      </c>
      <c r="P152">
        <f t="shared" si="6"/>
        <v>1.015495700091445E-2</v>
      </c>
      <c r="Q152">
        <f>'Profit Maximizer'!T40</f>
        <v>2.03099140018289E-2</v>
      </c>
    </row>
    <row r="153" spans="1:22">
      <c r="A153" s="1"/>
      <c r="B153" s="1"/>
      <c r="C153" s="1"/>
      <c r="D153" s="1"/>
      <c r="E153" s="1"/>
      <c r="F153" s="1"/>
      <c r="G153" s="1"/>
      <c r="H153" s="1"/>
      <c r="I153" s="1"/>
      <c r="J153" s="1"/>
      <c r="K153" s="1"/>
      <c r="L153" s="1"/>
      <c r="M153" s="1"/>
      <c r="N153" t="str">
        <f>'Profit Maximizer'!A41</f>
        <v>Nurse-at-Home Coordination</v>
      </c>
      <c r="O153">
        <f>'Profit Maximizer'!R41</f>
        <v>0</v>
      </c>
      <c r="P153">
        <f t="shared" si="6"/>
        <v>1.1424326626028755E-2</v>
      </c>
      <c r="Q153">
        <f>'Profit Maximizer'!T41</f>
        <v>2.284865325205751E-2</v>
      </c>
    </row>
    <row r="154" spans="1:22">
      <c r="A154" s="1"/>
      <c r="B154" s="1"/>
      <c r="C154" s="1"/>
      <c r="D154" s="1"/>
      <c r="E154" s="1"/>
      <c r="F154" s="1"/>
      <c r="G154" s="1"/>
      <c r="H154" s="1"/>
      <c r="I154" s="1"/>
      <c r="J154" s="1"/>
      <c r="K154" s="1"/>
      <c r="L154" s="1"/>
      <c r="M154" s="1"/>
      <c r="N154" t="str">
        <f>'Profit Maximizer'!A42</f>
        <v>Medical Tourism — Concierge Package (24 HR Basis)</v>
      </c>
      <c r="O154">
        <f>'Profit Maximizer'!R42</f>
        <v>0.03</v>
      </c>
      <c r="P154">
        <f t="shared" si="6"/>
        <v>9.9162822404267631E-2</v>
      </c>
      <c r="Q154">
        <f>'Profit Maximizer'!T42</f>
        <v>0.16832564480853526</v>
      </c>
    </row>
    <row r="155" spans="1:22">
      <c r="A155" s="1"/>
      <c r="B155" s="1"/>
      <c r="C155" s="1"/>
      <c r="D155" s="1"/>
      <c r="E155" s="1"/>
      <c r="F155" s="1"/>
      <c r="G155" s="1"/>
      <c r="H155" s="1"/>
      <c r="I155" s="1"/>
      <c r="J155" s="1"/>
      <c r="K155" s="1"/>
      <c r="L155" s="1"/>
      <c r="M155" s="1"/>
      <c r="N155" t="str">
        <f>'Profit Maximizer'!A43</f>
        <v>Pharmacy / Prescription Coordination</v>
      </c>
      <c r="O155">
        <f>'Profit Maximizer'!R43</f>
        <v>0</v>
      </c>
      <c r="P155">
        <f t="shared" si="6"/>
        <v>1.7244254851442486E-2</v>
      </c>
      <c r="Q155">
        <f>'Profit Maximizer'!T43</f>
        <v>3.4488509702884973E-2</v>
      </c>
    </row>
    <row r="156" spans="1:22">
      <c r="A156" s="1"/>
      <c r="B156" s="1"/>
      <c r="C156" s="1"/>
      <c r="D156" s="1"/>
      <c r="E156" s="1"/>
      <c r="F156" s="1"/>
      <c r="G156" s="1"/>
      <c r="H156" s="1"/>
      <c r="I156" s="1"/>
      <c r="J156" s="1"/>
      <c r="K156" s="1"/>
      <c r="L156" s="1"/>
      <c r="M156" s="1"/>
      <c r="N156" t="str">
        <f>'Profit Maximizer'!A44</f>
        <v>Family Medical Update Concierge</v>
      </c>
      <c r="O156">
        <f>'Profit Maximizer'!R44</f>
        <v>0</v>
      </c>
      <c r="P156">
        <f t="shared" si="6"/>
        <v>6.7817375364553944E-3</v>
      </c>
      <c r="Q156">
        <f>'Profit Maximizer'!T44</f>
        <v>1.3563475072910789E-2</v>
      </c>
    </row>
    <row r="157" spans="1:22">
      <c r="A157" s="1"/>
      <c r="B157" s="1"/>
      <c r="C157" s="1"/>
      <c r="D157" s="1"/>
      <c r="E157" s="1"/>
      <c r="F157" s="1"/>
      <c r="G157" s="1"/>
      <c r="H157" s="1"/>
      <c r="I157" s="1"/>
      <c r="J157" s="1"/>
      <c r="K157" s="1"/>
      <c r="L157" s="1"/>
      <c r="M157" s="1"/>
    </row>
    <row r="158" spans="1:22">
      <c r="A158" s="1"/>
      <c r="B158" s="1"/>
      <c r="C158" s="1"/>
      <c r="D158" s="1"/>
      <c r="E158" s="1"/>
      <c r="F158" s="1"/>
      <c r="G158" s="1"/>
      <c r="H158" s="1"/>
      <c r="I158" s="1"/>
      <c r="J158" s="1"/>
      <c r="K158" s="1"/>
      <c r="L158" s="1"/>
      <c r="M158" s="1"/>
    </row>
    <row r="159" spans="1:22">
      <c r="A159" s="1"/>
      <c r="B159" s="1"/>
      <c r="C159" s="1"/>
      <c r="D159" s="1"/>
      <c r="E159" s="1"/>
      <c r="F159" s="1"/>
      <c r="G159" s="1"/>
      <c r="H159" s="1"/>
      <c r="I159" s="1"/>
      <c r="J159" s="1"/>
      <c r="K159" s="1"/>
      <c r="L159" s="1"/>
      <c r="M159" s="1"/>
    </row>
    <row r="160" spans="1:22" ht="42.75" customHeight="1">
      <c r="A160" s="456" t="s">
        <v>507</v>
      </c>
      <c r="B160" s="456"/>
      <c r="C160" s="456"/>
      <c r="D160" s="456"/>
      <c r="E160" s="456"/>
      <c r="F160" s="456" t="s">
        <v>508</v>
      </c>
      <c r="G160" s="62"/>
      <c r="H160" s="62"/>
      <c r="I160" s="62"/>
      <c r="J160" s="62"/>
      <c r="K160" s="62"/>
      <c r="L160" s="62"/>
      <c r="M160" s="62"/>
    </row>
    <row r="161" spans="1:14" ht="48">
      <c r="A161" s="54" t="s">
        <v>509</v>
      </c>
      <c r="B161" s="54" t="s">
        <v>2</v>
      </c>
      <c r="C161" s="54" t="s">
        <v>4</v>
      </c>
      <c r="D161" s="1"/>
      <c r="E161" s="1"/>
      <c r="F161" s="54" t="s">
        <v>510</v>
      </c>
      <c r="G161" s="54" t="s">
        <v>511</v>
      </c>
      <c r="H161" s="54" t="s">
        <v>433</v>
      </c>
      <c r="I161" s="54" t="s">
        <v>512</v>
      </c>
      <c r="J161" s="54" t="s">
        <v>494</v>
      </c>
      <c r="K161" s="54" t="s">
        <v>513</v>
      </c>
      <c r="L161" s="54" t="s">
        <v>462</v>
      </c>
      <c r="M161" s="1" t="s">
        <v>514</v>
      </c>
    </row>
    <row r="162" spans="1:14" ht="45">
      <c r="A162" s="1" t="s">
        <v>515</v>
      </c>
      <c r="B162" s="12">
        <f>'Global Inputs'!$B$20</f>
        <v>299</v>
      </c>
      <c r="C162" s="1" t="s">
        <v>516</v>
      </c>
      <c r="D162" s="1"/>
      <c r="E162" s="1"/>
      <c r="F162" s="56">
        <v>2500000</v>
      </c>
      <c r="G162" s="45">
        <f>IF('Whitefield Monthly Projection'!$Q$30/'Whitefield Monthly Projection'!$Q$19=0,0,F162/12/('Whitefield Monthly Projection'!$Q$30/'Whitefield Monthly Projection'!$Q$19))</f>
        <v>113.43131337926572</v>
      </c>
      <c r="H162" s="45">
        <f>G162/'Whitefield Monthly Projection'!$B$7</f>
        <v>3.7810437793088574</v>
      </c>
      <c r="I162" s="45">
        <f>G162*'Whitefield Monthly Projection'!$S$45/('Whitefield Monthly Projection'!$B$7*'Whitefield Monthly Projection'!$B$8*'Whitefield Monthly Projection'!$B$9)</f>
        <v>2.1835527825508647</v>
      </c>
      <c r="J162" s="12">
        <f>G162*'Whitefield Monthly Projection'!$Q$34</f>
        <v>171396.46108913748</v>
      </c>
      <c r="K162" s="12">
        <f>IF(G162&lt;=150,$I$20,IF(G162&lt;=400,$J$20,$J$20*(G162/400)))</f>
        <v>182000</v>
      </c>
      <c r="L162" s="12">
        <f>J162-K162</f>
        <v>-10603.538910862524</v>
      </c>
      <c r="M162" s="1" t="str">
        <f>IF(H162&gt;20,"Future expansion requirement","Potentially Whitefield-testable")</f>
        <v>Potentially Whitefield-testable</v>
      </c>
    </row>
    <row r="163" spans="1:14" ht="30">
      <c r="A163" s="1" t="s">
        <v>517</v>
      </c>
      <c r="B163" s="12">
        <f>'Whitefield Monthly Projection'!$Q$34</f>
        <v>1511.0153976271185</v>
      </c>
      <c r="C163" s="1" t="s">
        <v>518</v>
      </c>
      <c r="D163" s="1"/>
      <c r="E163" s="1"/>
      <c r="F163" s="56">
        <v>5000000</v>
      </c>
      <c r="G163" s="45">
        <f>IF('Whitefield Monthly Projection'!$Q$30/'Whitefield Monthly Projection'!$Q$19=0,0,F163/12/('Whitefield Monthly Projection'!$Q$30/'Whitefield Monthly Projection'!$Q$19))</f>
        <v>226.86262675853143</v>
      </c>
      <c r="H163" s="45">
        <f>G163/'Whitefield Monthly Projection'!$B$7</f>
        <v>7.5620875586177148</v>
      </c>
      <c r="I163" s="45">
        <f>G163*'Whitefield Monthly Projection'!$S$45/('Whitefield Monthly Projection'!$B$7*'Whitefield Monthly Projection'!$B$8*'Whitefield Monthly Projection'!$B$9)</f>
        <v>4.3671055651017294</v>
      </c>
      <c r="J163" s="12">
        <f>G163*'Whitefield Monthly Projection'!$Q$34</f>
        <v>342792.92217827495</v>
      </c>
      <c r="K163" s="12">
        <f>IF(G163&lt;=150,$I$20,IF(G163&lt;=400,$J$20,$J$20*(G163/400)))</f>
        <v>282000</v>
      </c>
      <c r="L163" s="12">
        <f>J163-K163</f>
        <v>60792.922178274952</v>
      </c>
      <c r="M163" s="1" t="str">
        <f>IF(H163&gt;20,"Future expansion requirement","Potentially Whitefield-testable")</f>
        <v>Potentially Whitefield-testable</v>
      </c>
    </row>
    <row r="164" spans="1:14" ht="30">
      <c r="A164" s="1" t="s">
        <v>519</v>
      </c>
      <c r="B164" s="56">
        <v>1.5</v>
      </c>
      <c r="C164" s="1" t="s">
        <v>520</v>
      </c>
      <c r="D164" s="1"/>
      <c r="E164" s="1"/>
      <c r="F164" s="56">
        <v>10000000</v>
      </c>
      <c r="G164" s="45">
        <f>IF('Whitefield Monthly Projection'!$Q$30/'Whitefield Monthly Projection'!$Q$19=0,0,F164/12/('Whitefield Monthly Projection'!$Q$30/'Whitefield Monthly Projection'!$Q$19))</f>
        <v>453.72525351706287</v>
      </c>
      <c r="H164" s="45">
        <f>G164/'Whitefield Monthly Projection'!$B$7</f>
        <v>15.12417511723543</v>
      </c>
      <c r="I164" s="45">
        <f>G164*'Whitefield Monthly Projection'!$S$45/('Whitefield Monthly Projection'!$B$7*'Whitefield Monthly Projection'!$B$8*'Whitefield Monthly Projection'!$B$9)</f>
        <v>8.7342111302034589</v>
      </c>
      <c r="J164" s="12">
        <f>G164*'Whitefield Monthly Projection'!$Q$34</f>
        <v>685585.8443565499</v>
      </c>
      <c r="K164" s="12">
        <f>IF(G164&lt;=150,$I$20,IF(G164&lt;=400,$J$20,$J$20*(G164/400)))</f>
        <v>319876.30372952932</v>
      </c>
      <c r="L164" s="12">
        <f>J164-K164</f>
        <v>365709.54062702059</v>
      </c>
      <c r="M164" s="1" t="str">
        <f>IF(H164&gt;20,"Future expansion requirement","Potentially Whitefield-testable")</f>
        <v>Potentially Whitefield-testable</v>
      </c>
    </row>
    <row r="165" spans="1:14" ht="30">
      <c r="A165" s="1" t="s">
        <v>521</v>
      </c>
      <c r="B165" s="13">
        <f>B163*B164</f>
        <v>2266.5230964406778</v>
      </c>
      <c r="C165" s="1" t="s">
        <v>522</v>
      </c>
      <c r="D165" s="1"/>
      <c r="E165" s="1"/>
      <c r="F165" s="56">
        <v>20000000</v>
      </c>
      <c r="G165" s="45">
        <f>IF('Whitefield Monthly Projection'!$Q$30/'Whitefield Monthly Projection'!$Q$19=0,0,F165/12/('Whitefield Monthly Projection'!$Q$30/'Whitefield Monthly Projection'!$Q$19))</f>
        <v>907.45050703412574</v>
      </c>
      <c r="H165" s="45">
        <f>G165/'Whitefield Monthly Projection'!$B$7</f>
        <v>30.248350234470859</v>
      </c>
      <c r="I165" s="45">
        <f>G165*'Whitefield Monthly Projection'!$S$45/('Whitefield Monthly Projection'!$B$7*'Whitefield Monthly Projection'!$B$8*'Whitefield Monthly Projection'!$B$9)</f>
        <v>17.468422260406918</v>
      </c>
      <c r="J165" s="12">
        <f>G165*'Whitefield Monthly Projection'!$Q$34</f>
        <v>1371171.6887130998</v>
      </c>
      <c r="K165" s="12">
        <f>IF(G165&lt;=150,$I$20,IF(G165&lt;=400,$J$20,$J$20*(G165/400)))</f>
        <v>639752.60745905864</v>
      </c>
      <c r="L165" s="12">
        <f>J165-K165</f>
        <v>731419.08125404117</v>
      </c>
      <c r="M165" s="1" t="str">
        <f>IF(H165&gt;20,"Future expansion requirement","Potentially Whitefield-testable")</f>
        <v>Future expansion requirement</v>
      </c>
    </row>
    <row r="166" spans="1:14" ht="30">
      <c r="A166" s="1" t="s">
        <v>523</v>
      </c>
      <c r="B166" s="13">
        <f>B165*3</f>
        <v>6799.569289322033</v>
      </c>
      <c r="C166" s="1" t="s">
        <v>524</v>
      </c>
      <c r="D166" s="1"/>
      <c r="E166" s="1"/>
      <c r="F166" s="56">
        <v>50000000</v>
      </c>
      <c r="G166" s="45">
        <f>IF('Whitefield Monthly Projection'!$Q$30/'Whitefield Monthly Projection'!$Q$19=0,0,F166/12/('Whitefield Monthly Projection'!$Q$30/'Whitefield Monthly Projection'!$Q$19))</f>
        <v>2268.6262675853141</v>
      </c>
      <c r="H166" s="45">
        <f>G166/'Whitefield Monthly Projection'!$B$7</f>
        <v>75.620875586177135</v>
      </c>
      <c r="I166" s="45">
        <f>G166*'Whitefield Monthly Projection'!$S$45/('Whitefield Monthly Projection'!$B$7*'Whitefield Monthly Projection'!$B$8*'Whitefield Monthly Projection'!$B$9)</f>
        <v>43.671055651017291</v>
      </c>
      <c r="J166" s="12">
        <f>G166*'Whitefield Monthly Projection'!$Q$34</f>
        <v>3427929.2217827491</v>
      </c>
      <c r="K166" s="12">
        <f>IF(G166&lt;=150,$I$20,IF(G166&lt;=400,$J$20,$J$20*(G166/400)))</f>
        <v>1599381.5186476463</v>
      </c>
      <c r="L166" s="12">
        <f>J166-K166</f>
        <v>1828547.7031351028</v>
      </c>
      <c r="M166" s="1" t="str">
        <f>IF(H166&gt;20,"Future expansion requirement","Potentially Whitefield-testable")</f>
        <v>Future expansion requirement</v>
      </c>
    </row>
    <row r="167" spans="1:14" ht="15">
      <c r="A167" s="1" t="s">
        <v>525</v>
      </c>
      <c r="B167" s="13">
        <f>B165*6</f>
        <v>13599.138578644066</v>
      </c>
      <c r="C167" s="1" t="s">
        <v>524</v>
      </c>
      <c r="D167" s="1"/>
      <c r="E167" s="1"/>
      <c r="F167" s="1"/>
      <c r="G167" s="1"/>
      <c r="H167" s="1"/>
      <c r="I167" s="1"/>
      <c r="J167" s="1"/>
      <c r="K167" s="1"/>
      <c r="L167" s="1"/>
      <c r="M167" s="1"/>
    </row>
    <row r="168" spans="1:14" ht="15">
      <c r="A168" s="1" t="s">
        <v>526</v>
      </c>
      <c r="B168" s="13">
        <f>B165*12</f>
        <v>27198.277157288132</v>
      </c>
      <c r="C168" s="1" t="s">
        <v>524</v>
      </c>
      <c r="D168" s="1"/>
      <c r="E168" s="1"/>
      <c r="F168" s="1"/>
      <c r="G168" s="1"/>
      <c r="H168" s="1"/>
      <c r="I168" s="1"/>
      <c r="J168" s="1"/>
      <c r="K168" s="1"/>
      <c r="L168" s="1"/>
      <c r="M168" s="1"/>
    </row>
    <row r="169" spans="1:14" ht="45">
      <c r="A169" s="1" t="s">
        <v>527</v>
      </c>
      <c r="B169" s="70">
        <f>IF(B162=0,0,B168/B162)</f>
        <v>90.964137649793088</v>
      </c>
      <c r="C169" s="1" t="s">
        <v>528</v>
      </c>
      <c r="D169" s="1"/>
      <c r="E169" s="1"/>
      <c r="F169" s="1"/>
      <c r="G169" s="1"/>
      <c r="H169" s="1"/>
      <c r="I169" s="1"/>
      <c r="J169" s="1"/>
      <c r="K169" s="1"/>
      <c r="L169" s="1"/>
      <c r="M169" s="1"/>
    </row>
    <row r="170" spans="1:14" ht="30">
      <c r="A170" s="1" t="s">
        <v>529</v>
      </c>
      <c r="B170" s="46">
        <f>IF(B165=0,0,B162/B165)</f>
        <v>0.1319201205006674</v>
      </c>
      <c r="C170" s="1" t="s">
        <v>530</v>
      </c>
      <c r="D170" s="1"/>
      <c r="E170" s="1"/>
      <c r="F170" s="1"/>
      <c r="G170" s="1"/>
      <c r="H170" s="1"/>
      <c r="I170" s="1"/>
      <c r="J170" s="1"/>
      <c r="K170" s="1"/>
      <c r="L170" s="1"/>
      <c r="M170" s="1"/>
    </row>
    <row r="171" spans="1:14" ht="15">
      <c r="A171" s="1" t="s">
        <v>531</v>
      </c>
      <c r="B171" s="42" t="str">
        <f>IF(B169&lt;1,"Critical",IF(B169&lt;3,"Needs improvement","Healthy"))</f>
        <v>Healthy</v>
      </c>
      <c r="C171" s="1" t="s">
        <v>532</v>
      </c>
      <c r="D171" s="1"/>
      <c r="E171" s="1"/>
      <c r="F171" s="1"/>
      <c r="G171" s="1"/>
      <c r="H171" s="1"/>
      <c r="I171" s="1"/>
      <c r="J171" s="1"/>
      <c r="K171" s="1"/>
      <c r="L171" s="1"/>
      <c r="M171" s="1"/>
    </row>
    <row r="172" spans="1:14">
      <c r="A172" s="1"/>
      <c r="B172" s="1"/>
      <c r="C172" s="1"/>
      <c r="D172" s="1"/>
      <c r="E172" s="1"/>
      <c r="F172" s="1"/>
      <c r="G172" s="1"/>
      <c r="H172" s="1"/>
      <c r="I172" s="1"/>
      <c r="J172" s="1"/>
      <c r="K172" s="1"/>
      <c r="L172" s="1"/>
      <c r="M172" s="1"/>
    </row>
    <row r="173" spans="1:14">
      <c r="A173" s="1"/>
      <c r="B173" s="1"/>
      <c r="C173" s="1"/>
      <c r="D173" s="1"/>
      <c r="E173" s="1"/>
      <c r="F173" s="1"/>
      <c r="G173" s="1"/>
      <c r="H173" s="1"/>
      <c r="I173" s="1"/>
      <c r="J173" s="1"/>
      <c r="K173" s="1"/>
      <c r="L173" s="1"/>
      <c r="M173" s="1"/>
    </row>
    <row r="174" spans="1:14" ht="42.75" customHeight="1">
      <c r="A174" s="456" t="s">
        <v>533</v>
      </c>
      <c r="B174" s="456"/>
      <c r="C174" s="456"/>
      <c r="D174" s="456"/>
      <c r="E174" s="456"/>
      <c r="F174" s="456"/>
      <c r="G174" s="456"/>
      <c r="H174" s="456"/>
      <c r="I174" s="456"/>
      <c r="J174" s="456"/>
      <c r="K174" s="456"/>
      <c r="L174" s="456"/>
      <c r="M174" s="456"/>
    </row>
    <row r="175" spans="1:14" ht="32">
      <c r="A175" s="54" t="s">
        <v>534</v>
      </c>
      <c r="B175" s="54" t="s">
        <v>2</v>
      </c>
      <c r="C175" s="54" t="s">
        <v>355</v>
      </c>
      <c r="D175" s="1"/>
      <c r="E175" s="54" t="s">
        <v>243</v>
      </c>
      <c r="F175" s="54" t="s">
        <v>535</v>
      </c>
      <c r="G175" s="54" t="s">
        <v>435</v>
      </c>
      <c r="H175" s="54" t="s">
        <v>168</v>
      </c>
      <c r="I175" s="54" t="s">
        <v>536</v>
      </c>
      <c r="J175" s="54" t="s">
        <v>500</v>
      </c>
      <c r="K175" s="1"/>
      <c r="L175" s="54" t="s">
        <v>537</v>
      </c>
      <c r="M175" s="54" t="s">
        <v>2</v>
      </c>
    </row>
    <row r="176" spans="1:14" ht="15">
      <c r="A176" s="1" t="s">
        <v>538</v>
      </c>
      <c r="B176" s="56">
        <v>1000000</v>
      </c>
      <c r="C176" s="1" t="s">
        <v>18</v>
      </c>
      <c r="D176" s="1"/>
      <c r="E176" s="1" t="s">
        <v>254</v>
      </c>
      <c r="F176" s="46">
        <f>'Whitefield Monthly Projection'!$Q$19</f>
        <v>37.620000000000005</v>
      </c>
      <c r="G176" s="13">
        <f>IF($B$179="Hybrid",$D$63,'Whitefield Monthly Projection'!$Q$34)</f>
        <v>1511.0153976271185</v>
      </c>
      <c r="H176" s="13">
        <f>IF($B$179="Current",'Whitefield Monthly Projection'!$Q$36,IF($B$179="Lean MVP",$I$20,$I$20))</f>
        <v>182000</v>
      </c>
      <c r="I176" s="13">
        <f t="shared" ref="I176:I187" si="10">F176*G176-H176</f>
        <v>-125155.60074126779</v>
      </c>
      <c r="J176" s="13">
        <f>$B$176+$B$177-$B$178+I176</f>
        <v>1174844.3992587323</v>
      </c>
      <c r="K176" s="1" t="str">
        <f t="shared" ref="K176:K187" si="11">IF(J176&lt;0,"OUT","")</f>
        <v/>
      </c>
      <c r="L176" s="1" t="s">
        <v>539</v>
      </c>
      <c r="M176" s="1" t="str">
        <f>IF(COUNTIF($K$176:$K$187,"OUT")=0,"&gt;12",MATCH("OUT",$K$176:$K$187,0)-1)</f>
        <v>&gt;12</v>
      </c>
      <c r="N176" t="str">
        <f t="shared" ref="N176:N187" si="12">IF(I176&gt;=0,"PROFIT","")</f>
        <v/>
      </c>
    </row>
    <row r="177" spans="1:14" ht="15">
      <c r="A177" s="1" t="s">
        <v>540</v>
      </c>
      <c r="B177" s="56">
        <v>500000</v>
      </c>
      <c r="C177" s="1" t="s">
        <v>18</v>
      </c>
      <c r="D177" s="1"/>
      <c r="E177" s="1" t="s">
        <v>256</v>
      </c>
      <c r="F177" s="46">
        <f t="shared" ref="F177:F187" si="13">F176*(1+$B$180)</f>
        <v>42.134400000000007</v>
      </c>
      <c r="G177" s="13">
        <f>IF($B$179="Hybrid",$D$63,'Whitefield Monthly Projection'!$Q$34)</f>
        <v>1511.0153976271185</v>
      </c>
      <c r="H177" s="13">
        <f>IF($B$179="Current",'Whitefield Monthly Projection'!$Q$36,IF($B$179="Lean MVP",$I$20,$I$20))</f>
        <v>182000</v>
      </c>
      <c r="I177" s="13">
        <f t="shared" si="10"/>
        <v>-118334.27283021992</v>
      </c>
      <c r="J177" s="13">
        <f t="shared" ref="J177:J187" si="14">J176+I177</f>
        <v>1056510.1264285124</v>
      </c>
      <c r="K177" s="1" t="str">
        <f t="shared" si="11"/>
        <v/>
      </c>
      <c r="L177" s="1" t="s">
        <v>541</v>
      </c>
      <c r="M177" s="1" t="str">
        <f>IF(COUNTIF($N$176:$N$187,"PROFIT")=0,"Not within 12 months","Month "&amp;MATCH("PROFIT",$N$176:$N$187,0))</f>
        <v>Month 12</v>
      </c>
      <c r="N177" t="str">
        <f t="shared" si="12"/>
        <v/>
      </c>
    </row>
    <row r="178" spans="1:14" ht="15">
      <c r="A178" s="1" t="s">
        <v>542</v>
      </c>
      <c r="B178" s="56">
        <v>200000</v>
      </c>
      <c r="C178" s="1" t="s">
        <v>18</v>
      </c>
      <c r="D178" s="1"/>
      <c r="E178" s="1" t="s">
        <v>258</v>
      </c>
      <c r="F178" s="46">
        <f t="shared" si="13"/>
        <v>47.190528000000015</v>
      </c>
      <c r="G178" s="13">
        <f>IF($B$179="Hybrid",$D$63,'Whitefield Monthly Projection'!$Q$34)</f>
        <v>1511.0153976271185</v>
      </c>
      <c r="H178" s="13">
        <f>IF($B$179="Current",'Whitefield Monthly Projection'!$Q$36,IF($B$179="Lean MVP",$I$20,$I$20))</f>
        <v>182000</v>
      </c>
      <c r="I178" s="13">
        <f t="shared" si="10"/>
        <v>-110694.3855698463</v>
      </c>
      <c r="J178" s="13">
        <f t="shared" si="14"/>
        <v>945815.74085866613</v>
      </c>
      <c r="K178" s="1" t="str">
        <f t="shared" si="11"/>
        <v/>
      </c>
      <c r="L178" s="1" t="s">
        <v>543</v>
      </c>
      <c r="M178" s="50">
        <f>J187</f>
        <v>487833.46303369734</v>
      </c>
      <c r="N178" t="str">
        <f t="shared" si="12"/>
        <v/>
      </c>
    </row>
    <row r="179" spans="1:14" ht="30">
      <c r="A179" s="1" t="s">
        <v>544</v>
      </c>
      <c r="B179" s="68" t="s">
        <v>353</v>
      </c>
      <c r="C179" s="1" t="s">
        <v>545</v>
      </c>
      <c r="D179" s="1"/>
      <c r="E179" s="1" t="s">
        <v>259</v>
      </c>
      <c r="F179" s="46">
        <f t="shared" si="13"/>
        <v>52.853391360000025</v>
      </c>
      <c r="G179" s="13">
        <f>IF($B$179="Hybrid",$D$63,'Whitefield Monthly Projection'!$Q$34)</f>
        <v>1511.0153976271185</v>
      </c>
      <c r="H179" s="13">
        <f>IF($B$179="Current",'Whitefield Monthly Projection'!$Q$36,IF($B$179="Lean MVP",$I$20,$I$20))</f>
        <v>182000</v>
      </c>
      <c r="I179" s="13">
        <f t="shared" si="10"/>
        <v>-102137.71183822786</v>
      </c>
      <c r="J179" s="13">
        <f t="shared" si="14"/>
        <v>843678.02902043832</v>
      </c>
      <c r="K179" s="1" t="str">
        <f t="shared" si="11"/>
        <v/>
      </c>
      <c r="L179" s="1" t="s">
        <v>546</v>
      </c>
      <c r="M179" s="1" t="str">
        <f>IF(AND(J187&gt;0,COUNTIF($N$176:$N$187,"PROFIT")&gt;0),"YES","NO")</f>
        <v>YES</v>
      </c>
      <c r="N179" t="str">
        <f t="shared" si="12"/>
        <v/>
      </c>
    </row>
    <row r="180" spans="1:14" ht="15">
      <c r="A180" s="1" t="s">
        <v>547</v>
      </c>
      <c r="B180" s="55">
        <v>0.12</v>
      </c>
      <c r="C180" s="1" t="s">
        <v>18</v>
      </c>
      <c r="D180" s="1"/>
      <c r="E180" s="1" t="s">
        <v>260</v>
      </c>
      <c r="F180" s="46">
        <f t="shared" si="13"/>
        <v>59.19579832320003</v>
      </c>
      <c r="G180" s="13">
        <f>IF($B$179="Hybrid",$D$63,'Whitefield Monthly Projection'!$Q$34)</f>
        <v>1511.0153976271185</v>
      </c>
      <c r="H180" s="13">
        <f>IF($B$179="Current",'Whitefield Monthly Projection'!$Q$36,IF($B$179="Lean MVP",$I$20,$I$20))</f>
        <v>182000</v>
      </c>
      <c r="I180" s="13">
        <f t="shared" si="10"/>
        <v>-92554.237258815192</v>
      </c>
      <c r="J180" s="13">
        <f t="shared" si="14"/>
        <v>751123.79176162311</v>
      </c>
      <c r="K180" s="1" t="str">
        <f t="shared" si="11"/>
        <v/>
      </c>
      <c r="L180" s="1"/>
      <c r="M180" s="1"/>
      <c r="N180" t="str">
        <f t="shared" si="12"/>
        <v/>
      </c>
    </row>
    <row r="181" spans="1:14" ht="15">
      <c r="A181" s="1"/>
      <c r="B181" s="1"/>
      <c r="C181" s="1"/>
      <c r="D181" s="1"/>
      <c r="E181" s="1" t="s">
        <v>261</v>
      </c>
      <c r="F181" s="46">
        <f t="shared" si="13"/>
        <v>66.299294121984033</v>
      </c>
      <c r="G181" s="13">
        <f>IF($B$179="Hybrid",$D$63,'Whitefield Monthly Projection'!$Q$34)</f>
        <v>1511.0153976271185</v>
      </c>
      <c r="H181" s="13">
        <f>IF($B$179="Current",'Whitefield Monthly Projection'!$Q$36,IF($B$179="Lean MVP",$I$20,$I$20))</f>
        <v>182000</v>
      </c>
      <c r="I181" s="13">
        <f t="shared" si="10"/>
        <v>-81820.745729873015</v>
      </c>
      <c r="J181" s="13">
        <f t="shared" si="14"/>
        <v>669303.04603175004</v>
      </c>
      <c r="K181" s="1" t="str">
        <f t="shared" si="11"/>
        <v/>
      </c>
      <c r="L181" s="1"/>
      <c r="M181" s="1"/>
      <c r="N181" t="str">
        <f t="shared" si="12"/>
        <v/>
      </c>
    </row>
    <row r="182" spans="1:14" ht="15">
      <c r="A182" s="1"/>
      <c r="B182" s="1"/>
      <c r="C182" s="1"/>
      <c r="D182" s="1"/>
      <c r="E182" s="1" t="s">
        <v>262</v>
      </c>
      <c r="F182" s="46">
        <f t="shared" si="13"/>
        <v>74.255209416622122</v>
      </c>
      <c r="G182" s="13">
        <f>IF($B$179="Hybrid",$D$63,'Whitefield Monthly Projection'!$Q$34)</f>
        <v>1511.0153976271185</v>
      </c>
      <c r="H182" s="13">
        <f>IF($B$179="Current",'Whitefield Monthly Projection'!$Q$36,IF($B$179="Lean MVP",$I$20,$I$20))</f>
        <v>182000</v>
      </c>
      <c r="I182" s="13">
        <f t="shared" si="10"/>
        <v>-69799.235217457768</v>
      </c>
      <c r="J182" s="13">
        <f t="shared" si="14"/>
        <v>599503.81081429229</v>
      </c>
      <c r="K182" s="1" t="str">
        <f t="shared" si="11"/>
        <v/>
      </c>
      <c r="L182" s="1"/>
      <c r="M182" s="1"/>
      <c r="N182" t="str">
        <f t="shared" si="12"/>
        <v/>
      </c>
    </row>
    <row r="183" spans="1:14" ht="15">
      <c r="A183" s="1"/>
      <c r="B183" s="1"/>
      <c r="C183" s="1"/>
      <c r="D183" s="1"/>
      <c r="E183" s="1" t="s">
        <v>263</v>
      </c>
      <c r="F183" s="46">
        <f t="shared" si="13"/>
        <v>83.165834546616779</v>
      </c>
      <c r="G183" s="13">
        <f>IF($B$179="Hybrid",$D$63,'Whitefield Monthly Projection'!$Q$34)</f>
        <v>1511.0153976271185</v>
      </c>
      <c r="H183" s="13">
        <f>IF($B$179="Current",'Whitefield Monthly Projection'!$Q$36,IF($B$179="Lean MVP",$I$20,$I$20))</f>
        <v>182000</v>
      </c>
      <c r="I183" s="13">
        <f t="shared" si="10"/>
        <v>-56335.14344355269</v>
      </c>
      <c r="J183" s="13">
        <f t="shared" si="14"/>
        <v>543168.66737073963</v>
      </c>
      <c r="K183" s="1" t="str">
        <f t="shared" si="11"/>
        <v/>
      </c>
      <c r="L183" s="1"/>
      <c r="M183" s="1"/>
      <c r="N183" t="str">
        <f t="shared" si="12"/>
        <v/>
      </c>
    </row>
    <row r="184" spans="1:14" ht="15">
      <c r="A184" s="1"/>
      <c r="B184" s="1"/>
      <c r="C184" s="1"/>
      <c r="D184" s="1"/>
      <c r="E184" s="1" t="s">
        <v>264</v>
      </c>
      <c r="F184" s="46">
        <f t="shared" si="13"/>
        <v>93.145734692210794</v>
      </c>
      <c r="G184" s="13">
        <f>IF($B$179="Hybrid",$D$63,'Whitefield Monthly Projection'!$Q$34)</f>
        <v>1511.0153976271185</v>
      </c>
      <c r="H184" s="13">
        <f>IF($B$179="Current",'Whitefield Monthly Projection'!$Q$36,IF($B$179="Lean MVP",$I$20,$I$20))</f>
        <v>182000</v>
      </c>
      <c r="I184" s="13">
        <f t="shared" si="10"/>
        <v>-41255.360656779027</v>
      </c>
      <c r="J184" s="13">
        <f t="shared" si="14"/>
        <v>501913.3067139606</v>
      </c>
      <c r="K184" s="1" t="str">
        <f t="shared" si="11"/>
        <v/>
      </c>
      <c r="L184" s="1"/>
      <c r="M184" s="1"/>
      <c r="N184" t="str">
        <f t="shared" si="12"/>
        <v/>
      </c>
    </row>
    <row r="185" spans="1:14" ht="15">
      <c r="A185" s="1"/>
      <c r="B185" s="1"/>
      <c r="C185" s="1"/>
      <c r="D185" s="1"/>
      <c r="E185" s="1" t="s">
        <v>265</v>
      </c>
      <c r="F185" s="46">
        <f t="shared" si="13"/>
        <v>104.3232228552761</v>
      </c>
      <c r="G185" s="13">
        <f>IF($B$179="Hybrid",$D$63,'Whitefield Monthly Projection'!$Q$34)</f>
        <v>1511.0153976271185</v>
      </c>
      <c r="H185" s="13">
        <f>IF($B$179="Current",'Whitefield Monthly Projection'!$Q$36,IF($B$179="Lean MVP",$I$20,$I$20))</f>
        <v>182000</v>
      </c>
      <c r="I185" s="13">
        <f t="shared" si="10"/>
        <v>-24366.003935592482</v>
      </c>
      <c r="J185" s="13">
        <f t="shared" si="14"/>
        <v>477547.30277836812</v>
      </c>
      <c r="K185" s="1" t="str">
        <f t="shared" si="11"/>
        <v/>
      </c>
      <c r="L185" s="1"/>
      <c r="M185" s="1"/>
      <c r="N185" t="str">
        <f t="shared" si="12"/>
        <v/>
      </c>
    </row>
    <row r="186" spans="1:14" ht="15">
      <c r="A186" s="1"/>
      <c r="B186" s="1"/>
      <c r="C186" s="1"/>
      <c r="D186" s="1"/>
      <c r="E186" s="1" t="s">
        <v>266</v>
      </c>
      <c r="F186" s="46">
        <f t="shared" si="13"/>
        <v>116.84200959790924</v>
      </c>
      <c r="G186" s="13">
        <f>IF($B$179="Hybrid",$D$63,'Whitefield Monthly Projection'!$Q$34)</f>
        <v>1511.0153976271185</v>
      </c>
      <c r="H186" s="13">
        <f>IF($B$179="Current",'Whitefield Monthly Projection'!$Q$36,IF($B$179="Lean MVP",$I$20,$I$20))</f>
        <v>182000</v>
      </c>
      <c r="I186" s="13">
        <f t="shared" si="10"/>
        <v>-5449.924407863582</v>
      </c>
      <c r="J186" s="13">
        <f t="shared" si="14"/>
        <v>472097.37837050454</v>
      </c>
      <c r="K186" s="1" t="str">
        <f t="shared" si="11"/>
        <v/>
      </c>
      <c r="L186" s="1"/>
      <c r="M186" s="1"/>
      <c r="N186" t="str">
        <f t="shared" si="12"/>
        <v/>
      </c>
    </row>
    <row r="187" spans="1:14" ht="15">
      <c r="A187" s="1"/>
      <c r="B187" s="1"/>
      <c r="C187" s="1"/>
      <c r="D187" s="1"/>
      <c r="E187" s="1" t="s">
        <v>267</v>
      </c>
      <c r="F187" s="46">
        <f t="shared" si="13"/>
        <v>130.86305074965836</v>
      </c>
      <c r="G187" s="13">
        <f>IF($B$179="Hybrid",$D$63,'Whitefield Monthly Projection'!$Q$34)</f>
        <v>1511.0153976271185</v>
      </c>
      <c r="H187" s="13">
        <f>IF($B$179="Current",'Whitefield Monthly Projection'!$Q$36,IF($B$179="Lean MVP",$I$20,$I$20))</f>
        <v>182000</v>
      </c>
      <c r="I187" s="13">
        <f t="shared" si="10"/>
        <v>15736.084663192829</v>
      </c>
      <c r="J187" s="13">
        <f t="shared" si="14"/>
        <v>487833.46303369734</v>
      </c>
      <c r="K187" s="1" t="str">
        <f t="shared" si="11"/>
        <v/>
      </c>
      <c r="L187" s="1"/>
      <c r="M187" s="1"/>
      <c r="N187" t="str">
        <f t="shared" si="12"/>
        <v>PROFIT</v>
      </c>
    </row>
    <row r="188" spans="1:14">
      <c r="A188" s="1"/>
      <c r="B188" s="1"/>
      <c r="C188" s="1"/>
      <c r="D188" s="1"/>
      <c r="E188" s="1"/>
      <c r="F188" s="1"/>
      <c r="G188" s="1"/>
      <c r="H188" s="1"/>
      <c r="I188" s="1"/>
      <c r="J188" s="1"/>
      <c r="K188" s="1"/>
      <c r="L188" s="1"/>
      <c r="M188" s="1"/>
    </row>
    <row r="189" spans="1:14">
      <c r="A189" s="1"/>
      <c r="B189" s="1"/>
      <c r="C189" s="1"/>
      <c r="D189" s="1"/>
      <c r="E189" s="1"/>
      <c r="F189" s="1"/>
      <c r="G189" s="1"/>
      <c r="H189" s="1"/>
      <c r="I189" s="1"/>
      <c r="J189" s="1"/>
      <c r="K189" s="1"/>
      <c r="L189" s="1"/>
      <c r="M189" s="1"/>
    </row>
    <row r="190" spans="1:14">
      <c r="A190" s="1"/>
      <c r="B190" s="1"/>
      <c r="C190" s="1"/>
      <c r="D190" s="1"/>
      <c r="E190" s="1"/>
      <c r="F190" s="1"/>
      <c r="G190" s="1"/>
      <c r="H190" s="1"/>
      <c r="I190" s="1"/>
      <c r="J190" s="1"/>
      <c r="K190" s="1"/>
      <c r="L190" s="1"/>
      <c r="M190" s="1"/>
    </row>
    <row r="191" spans="1:14" ht="42.75" customHeight="1">
      <c r="A191" s="456" t="s">
        <v>548</v>
      </c>
      <c r="B191" s="456"/>
      <c r="C191" s="456"/>
      <c r="D191" s="456"/>
      <c r="E191" s="456"/>
      <c r="F191" s="456"/>
      <c r="G191" s="1"/>
      <c r="H191" s="456" t="s">
        <v>549</v>
      </c>
      <c r="I191" s="456"/>
      <c r="J191" s="456"/>
      <c r="K191" s="456"/>
      <c r="L191" s="456"/>
      <c r="M191" s="456"/>
    </row>
    <row r="192" spans="1:14" ht="32">
      <c r="A192" s="54" t="s">
        <v>550</v>
      </c>
      <c r="B192" s="54" t="s">
        <v>551</v>
      </c>
      <c r="C192" s="54" t="s">
        <v>552</v>
      </c>
      <c r="D192" s="54" t="s">
        <v>553</v>
      </c>
      <c r="E192" s="54" t="s">
        <v>554</v>
      </c>
      <c r="F192" s="54" t="s">
        <v>386</v>
      </c>
      <c r="G192" s="1"/>
      <c r="H192" s="54" t="s">
        <v>555</v>
      </c>
      <c r="I192" s="54" t="s">
        <v>556</v>
      </c>
      <c r="J192" s="54" t="s">
        <v>557</v>
      </c>
      <c r="K192" s="54" t="s">
        <v>558</v>
      </c>
      <c r="L192" s="54" t="s">
        <v>559</v>
      </c>
      <c r="M192" s="54" t="s">
        <v>560</v>
      </c>
    </row>
    <row r="193" spans="1:13" ht="60">
      <c r="A193" s="1" t="s">
        <v>561</v>
      </c>
      <c r="B193" s="59">
        <v>75</v>
      </c>
      <c r="C193" s="57">
        <f>'Whitefield Monthly Projection'!$Q$19</f>
        <v>37.620000000000005</v>
      </c>
      <c r="D193" s="1" t="str">
        <f>IF(C193&gt;=B193,"Hiring trigger reached","WAIT — keep variable / founder-led")</f>
        <v>WAIT — keep variable / founder-led</v>
      </c>
      <c r="E193" s="50">
        <v>45000</v>
      </c>
      <c r="F193" s="1" t="s">
        <v>562</v>
      </c>
      <c r="G193" s="1"/>
      <c r="H193" s="1" t="s">
        <v>563</v>
      </c>
      <c r="I193" s="1" t="s">
        <v>564</v>
      </c>
      <c r="J193" s="1" t="s">
        <v>565</v>
      </c>
      <c r="K193" s="1" t="str">
        <f>IF('Whitefield Monthly Projection'!$Q$19&lt;25,"CURRENT",IF('Whitefield Monthly Projection'!$Q$19&gt;=25,"COMPLETED",""))</f>
        <v>COMPLETED</v>
      </c>
      <c r="L193" s="1" t="s">
        <v>566</v>
      </c>
      <c r="M193" s="1" t="s">
        <v>567</v>
      </c>
    </row>
    <row r="194" spans="1:13" ht="75">
      <c r="A194" s="1" t="s">
        <v>568</v>
      </c>
      <c r="B194" s="59">
        <v>120</v>
      </c>
      <c r="C194" s="57">
        <f>'Whitefield Monthly Projection'!$Q$19</f>
        <v>37.620000000000005</v>
      </c>
      <c r="D194" s="1" t="str">
        <f>IF(C194&gt;=B194,"Hiring trigger reached","WAIT — keep variable / founder-led")</f>
        <v>WAIT — keep variable / founder-led</v>
      </c>
      <c r="E194" s="50">
        <v>35000</v>
      </c>
      <c r="F194" s="1" t="s">
        <v>569</v>
      </c>
      <c r="G194" s="1"/>
      <c r="H194" s="1" t="s">
        <v>570</v>
      </c>
      <c r="I194" s="1" t="s">
        <v>571</v>
      </c>
      <c r="J194" s="1" t="s">
        <v>572</v>
      </c>
      <c r="K194" s="1" t="str">
        <f>IF('Whitefield Monthly Projection'!$Q$19&lt;25,"NEXT",IF('Whitefield Monthly Projection'!$Q$19&lt;=50,"CURRENT","COMPLETED"))</f>
        <v>CURRENT</v>
      </c>
      <c r="L194" s="1" t="s">
        <v>573</v>
      </c>
      <c r="M194" s="1" t="s">
        <v>574</v>
      </c>
    </row>
    <row r="195" spans="1:13" ht="75">
      <c r="A195" s="1" t="s">
        <v>575</v>
      </c>
      <c r="B195" s="55">
        <v>0.75</v>
      </c>
      <c r="C195" s="49">
        <f>'Whitefield Monthly Projection'!$Q$21</f>
        <v>0.18104625000000002</v>
      </c>
      <c r="D195" s="1" t="str">
        <f>IF(C195&gt;=B195,"Add capacity / recruit standby Angels","No additional Angel capacity yet")</f>
        <v>No additional Angel capacity yet</v>
      </c>
      <c r="E195" s="50">
        <v>0</v>
      </c>
      <c r="F195" s="1" t="s">
        <v>576</v>
      </c>
      <c r="G195" s="1"/>
      <c r="H195" s="1" t="s">
        <v>577</v>
      </c>
      <c r="I195" s="1" t="s">
        <v>578</v>
      </c>
      <c r="J195" s="1" t="s">
        <v>579</v>
      </c>
      <c r="K195" s="1" t="str">
        <f>IF('Whitefield Monthly Projection'!$Q$19&lt;=50,"NEXT",IF('Whitefield Monthly Projection'!$Q$19&lt;=100,"CURRENT","COMPLETED"))</f>
        <v>NEXT</v>
      </c>
      <c r="L195" s="1" t="s">
        <v>580</v>
      </c>
      <c r="M195" s="1" t="s">
        <v>581</v>
      </c>
    </row>
    <row r="196" spans="1:13" ht="90">
      <c r="A196" s="1" t="s">
        <v>582</v>
      </c>
      <c r="B196" s="59">
        <v>250</v>
      </c>
      <c r="C196" s="57">
        <f>'Whitefield Monthly Projection'!$Q$19</f>
        <v>37.620000000000005</v>
      </c>
      <c r="D196" s="1" t="str">
        <f>IF(C196&gt;=B196,"Hiring trigger reached","WAIT — keep variable / founder-led")</f>
        <v>WAIT — keep variable / founder-led</v>
      </c>
      <c r="E196" s="50">
        <v>100000</v>
      </c>
      <c r="F196" s="1" t="s">
        <v>583</v>
      </c>
      <c r="G196" s="1"/>
      <c r="H196" s="1" t="s">
        <v>584</v>
      </c>
      <c r="I196" s="1" t="s">
        <v>585</v>
      </c>
      <c r="J196" s="1" t="s">
        <v>586</v>
      </c>
      <c r="K196" s="1" t="str">
        <f>IF('Whitefield Monthly Projection'!$Q$19&lt;=100,"NEXT",IF('Whitefield Monthly Projection'!$Q$19&lt;=150,"CURRENT","COMPLETED"))</f>
        <v>NEXT</v>
      </c>
      <c r="L196" s="1" t="s">
        <v>587</v>
      </c>
      <c r="M196" s="1" t="s">
        <v>588</v>
      </c>
    </row>
    <row r="197" spans="1:13" ht="45">
      <c r="A197" s="1"/>
      <c r="B197" s="1"/>
      <c r="C197" s="1"/>
      <c r="D197" s="1"/>
      <c r="E197" s="1"/>
      <c r="F197" s="1"/>
      <c r="G197" s="1"/>
      <c r="H197" s="1" t="s">
        <v>589</v>
      </c>
      <c r="I197" s="1" t="s">
        <v>590</v>
      </c>
      <c r="J197" s="1" t="s">
        <v>591</v>
      </c>
      <c r="K197" s="1" t="str">
        <f>IF('Whitefield Monthly Projection'!$Q$19&lt;=150,"NEXT","CURRENT")</f>
        <v>NEXT</v>
      </c>
      <c r="L197" s="1" t="s">
        <v>592</v>
      </c>
      <c r="M197" s="1" t="s">
        <v>593</v>
      </c>
    </row>
    <row r="198" spans="1:13">
      <c r="A198" s="1"/>
      <c r="B198" s="1"/>
      <c r="C198" s="1"/>
      <c r="D198" s="1"/>
      <c r="E198" s="1"/>
      <c r="F198" s="1"/>
      <c r="G198" s="1"/>
      <c r="H198" s="1"/>
      <c r="I198" s="1"/>
      <c r="J198" s="1"/>
      <c r="K198" s="1"/>
      <c r="L198" s="1"/>
      <c r="M198" s="1"/>
    </row>
    <row r="199" spans="1:13">
      <c r="A199" s="1"/>
      <c r="B199" s="1"/>
      <c r="C199" s="1"/>
      <c r="D199" s="1"/>
      <c r="E199" s="1"/>
      <c r="F199" s="1"/>
      <c r="G199" s="1"/>
      <c r="H199" s="1"/>
      <c r="I199" s="1"/>
      <c r="J199" s="1"/>
      <c r="K199" s="1"/>
      <c r="L199" s="1"/>
      <c r="M199" s="1"/>
    </row>
    <row r="200" spans="1:13">
      <c r="A200" s="1"/>
      <c r="B200" s="1"/>
      <c r="C200" s="1"/>
      <c r="D200" s="1"/>
      <c r="E200" s="1"/>
      <c r="F200" s="1"/>
      <c r="G200" s="1"/>
      <c r="H200" s="1"/>
      <c r="I200" s="1"/>
      <c r="J200" s="1"/>
      <c r="K200" s="1"/>
      <c r="L200" s="1"/>
      <c r="M200" s="1"/>
    </row>
    <row r="201" spans="1:13" ht="42.75" customHeight="1">
      <c r="A201" s="456" t="s">
        <v>594</v>
      </c>
      <c r="B201" s="456"/>
      <c r="C201" s="456"/>
      <c r="D201" s="456"/>
      <c r="E201" s="456"/>
      <c r="F201" s="456"/>
      <c r="G201" s="1"/>
      <c r="H201" s="456" t="s">
        <v>595</v>
      </c>
      <c r="I201" s="456"/>
      <c r="J201" s="456"/>
      <c r="K201" s="456"/>
      <c r="L201" s="456"/>
      <c r="M201" s="456"/>
    </row>
    <row r="202" spans="1:13" ht="32">
      <c r="A202" s="54" t="s">
        <v>235</v>
      </c>
      <c r="B202" s="54" t="s">
        <v>2</v>
      </c>
      <c r="C202" s="1"/>
      <c r="D202" s="54" t="s">
        <v>596</v>
      </c>
      <c r="E202" s="54" t="s">
        <v>597</v>
      </c>
      <c r="F202" s="1"/>
      <c r="G202" s="1"/>
      <c r="H202" s="54" t="s">
        <v>598</v>
      </c>
      <c r="I202" s="54" t="s">
        <v>168</v>
      </c>
      <c r="J202" s="54" t="s">
        <v>435</v>
      </c>
      <c r="K202" s="54" t="s">
        <v>599</v>
      </c>
      <c r="L202" s="54" t="s">
        <v>600</v>
      </c>
      <c r="M202" s="1"/>
    </row>
    <row r="203" spans="1:13" ht="15">
      <c r="A203" s="1" t="s">
        <v>601</v>
      </c>
      <c r="B203" s="13">
        <f>$J$20</f>
        <v>282000</v>
      </c>
      <c r="C203" s="42"/>
      <c r="D203" s="42" t="s">
        <v>602</v>
      </c>
      <c r="E203" s="13">
        <f>$B$205*6</f>
        <v>600000</v>
      </c>
      <c r="F203" s="1"/>
      <c r="G203" s="1"/>
      <c r="H203" s="1" t="s">
        <v>603</v>
      </c>
      <c r="I203" s="13">
        <f>$H$20</f>
        <v>110000</v>
      </c>
      <c r="J203" s="13">
        <f>'Whitefield Monthly Projection'!$Q$34</f>
        <v>1511.0153976271185</v>
      </c>
      <c r="K203" s="46">
        <f>IF(J203&lt;=0,0,I203/J203)</f>
        <v>72.798728704381674</v>
      </c>
      <c r="L203" s="46">
        <f>IF('Whitefield Monthly Projection'!$B$7=0,0,K203/'Whitefield Monthly Projection'!$B$7)</f>
        <v>2.426624290146056</v>
      </c>
      <c r="M203" s="1"/>
    </row>
    <row r="204" spans="1:13" ht="15">
      <c r="A204" s="1" t="s">
        <v>604</v>
      </c>
      <c r="B204" s="13">
        <f>$I$20</f>
        <v>182000</v>
      </c>
      <c r="C204" s="42"/>
      <c r="D204" s="42" t="s">
        <v>605</v>
      </c>
      <c r="E204" s="13">
        <f>$B$205*12</f>
        <v>1200000</v>
      </c>
      <c r="F204" s="1"/>
      <c r="G204" s="1"/>
      <c r="H204" s="1" t="s">
        <v>353</v>
      </c>
      <c r="I204" s="13">
        <f>$I$20</f>
        <v>182000</v>
      </c>
      <c r="J204" s="13">
        <f>'Whitefield Monthly Projection'!$Q$34</f>
        <v>1511.0153976271185</v>
      </c>
      <c r="K204" s="46">
        <f>IF(J204&lt;=0,0,I204/J204)</f>
        <v>120.4488056745224</v>
      </c>
      <c r="L204" s="46">
        <f>IF('Whitefield Monthly Projection'!$B$7=0,0,K204/'Whitefield Monthly Projection'!$B$7)</f>
        <v>4.0149601891507469</v>
      </c>
      <c r="M204" s="1"/>
    </row>
    <row r="205" spans="1:13" ht="30">
      <c r="A205" s="1" t="s">
        <v>606</v>
      </c>
      <c r="B205" s="13">
        <f>MAX(B203-B204,0)</f>
        <v>100000</v>
      </c>
      <c r="C205" s="42"/>
      <c r="D205" s="42" t="s">
        <v>607</v>
      </c>
      <c r="E205" s="13">
        <f>MAX($I$20-$H$20,0)</f>
        <v>72000</v>
      </c>
      <c r="F205" s="1"/>
      <c r="G205" s="1"/>
      <c r="H205" s="1" t="s">
        <v>354</v>
      </c>
      <c r="I205" s="13">
        <f>$J$20</f>
        <v>282000</v>
      </c>
      <c r="J205" s="13">
        <f>'Whitefield Monthly Projection'!$Q$34</f>
        <v>1511.0153976271185</v>
      </c>
      <c r="K205" s="46">
        <f>IF(J205&lt;=0,0,I205/J205)</f>
        <v>186.6294681330512</v>
      </c>
      <c r="L205" s="46">
        <f>IF('Whitefield Monthly Projection'!$B$7=0,0,K205/'Whitefield Monthly Projection'!$B$7)</f>
        <v>6.2209822711017067</v>
      </c>
      <c r="M205" s="1"/>
    </row>
    <row r="206" spans="1:13" ht="15">
      <c r="A206" s="1" t="s">
        <v>608</v>
      </c>
      <c r="B206" s="50">
        <f>B205*3</f>
        <v>300000</v>
      </c>
      <c r="C206" s="1"/>
      <c r="D206" s="1"/>
      <c r="E206" s="1"/>
      <c r="F206" s="1"/>
      <c r="G206" s="1"/>
      <c r="H206" s="1"/>
      <c r="I206" s="1"/>
      <c r="J206" s="1"/>
      <c r="K206" s="1"/>
      <c r="L206" s="1"/>
      <c r="M206" s="1"/>
    </row>
    <row r="207" spans="1:13">
      <c r="A207" s="1"/>
      <c r="B207" s="1"/>
      <c r="C207" s="1"/>
      <c r="D207" s="1"/>
      <c r="E207" s="1"/>
      <c r="F207" s="1"/>
      <c r="G207" s="1"/>
      <c r="H207" s="1"/>
      <c r="I207" s="1"/>
      <c r="J207" s="1"/>
      <c r="K207" s="1"/>
      <c r="L207" s="1"/>
      <c r="M207" s="1"/>
    </row>
    <row r="208" spans="1:13">
      <c r="A208" s="1"/>
      <c r="B208" s="1"/>
      <c r="C208" s="1"/>
      <c r="D208" s="1"/>
      <c r="E208" s="1"/>
      <c r="F208" s="1"/>
      <c r="G208" s="1"/>
      <c r="H208" s="1"/>
      <c r="I208" s="1"/>
      <c r="J208" s="1"/>
      <c r="K208" s="1"/>
      <c r="L208" s="1"/>
      <c r="M208" s="1"/>
    </row>
    <row r="209" spans="1:32">
      <c r="A209" s="1"/>
      <c r="B209" s="1"/>
      <c r="C209" s="1"/>
      <c r="D209" s="1"/>
      <c r="E209" s="1"/>
      <c r="F209" s="1"/>
      <c r="G209" s="1"/>
      <c r="H209" s="1"/>
      <c r="I209" s="1"/>
      <c r="J209" s="1"/>
      <c r="K209" s="1"/>
      <c r="L209" s="1"/>
      <c r="M209" s="1"/>
    </row>
    <row r="210" spans="1:32" ht="42.75" customHeight="1">
      <c r="A210" s="456" t="s">
        <v>609</v>
      </c>
      <c r="B210" s="456"/>
      <c r="C210" s="456"/>
      <c r="D210" s="456"/>
      <c r="E210" s="456"/>
      <c r="F210" s="456"/>
      <c r="G210" s="456"/>
      <c r="H210" s="456"/>
      <c r="I210" s="456"/>
      <c r="J210" s="456"/>
      <c r="K210" s="456"/>
      <c r="L210" s="456"/>
      <c r="M210" s="456"/>
      <c r="AA210" s="58" t="s">
        <v>303</v>
      </c>
      <c r="AB210" s="58" t="s">
        <v>610</v>
      </c>
      <c r="AC210" s="58" t="s">
        <v>611</v>
      </c>
      <c r="AD210" s="58" t="s">
        <v>612</v>
      </c>
      <c r="AE210" s="58" t="s">
        <v>613</v>
      </c>
      <c r="AF210" s="58" t="s">
        <v>614</v>
      </c>
    </row>
    <row r="211" spans="1:32" ht="32">
      <c r="A211" s="54" t="s">
        <v>383</v>
      </c>
      <c r="B211" s="54" t="s">
        <v>615</v>
      </c>
      <c r="C211" s="54" t="s">
        <v>610</v>
      </c>
      <c r="D211" s="54" t="s">
        <v>616</v>
      </c>
      <c r="E211" s="54" t="s">
        <v>613</v>
      </c>
      <c r="F211" s="54" t="s">
        <v>617</v>
      </c>
      <c r="G211" s="1"/>
      <c r="H211" s="1"/>
      <c r="I211" s="1"/>
      <c r="J211" s="1"/>
      <c r="K211" s="1"/>
      <c r="L211" s="1"/>
      <c r="M211" s="1"/>
      <c r="AA211" t="str">
        <f>'Profit Maximizer'!A51</f>
        <v>Base price / hour</v>
      </c>
      <c r="AB211">
        <f>MAX('Profit Maximizer'!I51,0)</f>
        <v>31842.258550169499</v>
      </c>
      <c r="AC211">
        <v>4</v>
      </c>
      <c r="AD211">
        <v>2</v>
      </c>
      <c r="AE211" t="s">
        <v>618</v>
      </c>
      <c r="AF211">
        <f t="shared" ref="AF211:AF223" si="15">IF(AD211=0,0,AB211*AC211/AD211)</f>
        <v>63684.517100338999</v>
      </c>
    </row>
    <row r="212" spans="1:32" ht="15">
      <c r="A212" s="1">
        <v>1</v>
      </c>
      <c r="B212" s="42" t="str">
        <f>INDEX($AA$211:$AA$223,MATCH(LARGE($AF$211:$AF$223,A212),$AF$211:$AF$223,0))</f>
        <v>Customer leads / day</v>
      </c>
      <c r="C212" s="13">
        <f>INDEX($AB$211:$AB$223,MATCH(LARGE($AF$211:$AF$223,A212),$AF$211:$AF$223,0))</f>
        <v>132636.93160370845</v>
      </c>
      <c r="D212" s="42" t="str">
        <f>IF(INDEX($AC$211:$AC$223,MATCH(LARGE($AF$211:$AF$223,A212),$AF$211:$AF$223,0))&gt;=4,"High",IF(INDEX($AC$211:$AC$223,MATCH(LARGE($AF$211:$AF$223,A212),$AF$211:$AF$223,0))&gt;=3,"Medium","Low"))</f>
        <v>Medium</v>
      </c>
      <c r="E212" s="42" t="str">
        <f>INDEX($AE$211:$AE$223,MATCH(LARGE($AF$211:$AF$223,A212),$AF$211:$AF$223,0))</f>
        <v>90 days</v>
      </c>
      <c r="F212" s="42" t="str">
        <f>IF(INDEX($AD$211:$AD$223,MATCH(LARGE($AF$211:$AF$223,A212),$AF$211:$AF$223,0))=1,"Low",IF(INDEX($AD$211:$AD$223,MATCH(LARGE($AF$211:$AF$223,A212),$AF$211:$AF$223,0))=2,"Medium","High"))</f>
        <v>Medium</v>
      </c>
      <c r="G212" s="1"/>
      <c r="H212" s="1"/>
      <c r="I212" s="1"/>
      <c r="J212" s="1"/>
      <c r="K212" s="1"/>
      <c r="L212" s="1"/>
      <c r="M212" s="1"/>
      <c r="AA212" t="str">
        <f>'Profit Maximizer'!A52</f>
        <v>Angel cost / hour</v>
      </c>
      <c r="AB212">
        <f>MAX('Profit Maximizer'!I52,0)</f>
        <v>0</v>
      </c>
      <c r="AC212">
        <v>3</v>
      </c>
      <c r="AD212">
        <v>2</v>
      </c>
      <c r="AE212" t="s">
        <v>618</v>
      </c>
      <c r="AF212">
        <f t="shared" si="15"/>
        <v>0</v>
      </c>
    </row>
    <row r="213" spans="1:32" ht="15">
      <c r="A213" s="1">
        <v>2</v>
      </c>
      <c r="B213" s="42" t="str">
        <f>INDEX($AA$211:$AA$223,MATCH(LARGE($AF$211:$AF$223,A213),$AF$211:$AF$223,0))</f>
        <v>Service mix</v>
      </c>
      <c r="C213" s="13">
        <f>INDEX($AB$211:$AB$223,MATCH(LARGE($AF$211:$AF$223,A213),$AF$211:$AF$223,0))</f>
        <v>67336.498505489231</v>
      </c>
      <c r="D213" s="42" t="str">
        <f>IF(INDEX($AC$211:$AC$223,MATCH(LARGE($AF$211:$AF$223,A213),$AF$211:$AF$223,0))&gt;=4,"High",IF(INDEX($AC$211:$AC$223,MATCH(LARGE($AF$211:$AF$223,A213),$AF$211:$AF$223,0))&gt;=3,"Medium","Low"))</f>
        <v>Medium</v>
      </c>
      <c r="E213" s="42" t="str">
        <f>INDEX($AE$211:$AE$223,MATCH(LARGE($AF$211:$AF$223,A213),$AF$211:$AF$223,0))</f>
        <v>90 days</v>
      </c>
      <c r="F213" s="42" t="str">
        <f>IF(INDEX($AD$211:$AD$223,MATCH(LARGE($AF$211:$AF$223,A213),$AF$211:$AF$223,0))=1,"Low",IF(INDEX($AD$211:$AD$223,MATCH(LARGE($AF$211:$AF$223,A213),$AF$211:$AF$223,0))=2,"Medium","High"))</f>
        <v>Medium</v>
      </c>
      <c r="G213" s="1"/>
      <c r="H213" s="1"/>
      <c r="I213" s="1"/>
      <c r="J213" s="1"/>
      <c r="K213" s="1"/>
      <c r="L213" s="1"/>
      <c r="M213" s="1"/>
      <c r="AA213" t="str">
        <f>'Profit Maximizer'!A53</f>
        <v>Minimum booking hours</v>
      </c>
      <c r="AB213">
        <f>MAX('Profit Maximizer'!I53,0)</f>
        <v>0</v>
      </c>
      <c r="AC213">
        <v>4</v>
      </c>
      <c r="AD213">
        <v>2</v>
      </c>
      <c r="AE213" t="s">
        <v>619</v>
      </c>
      <c r="AF213">
        <f t="shared" si="15"/>
        <v>0</v>
      </c>
    </row>
    <row r="214" spans="1:32" ht="15">
      <c r="A214" s="1">
        <v>3</v>
      </c>
      <c r="B214" s="42" t="str">
        <f>INDEX($AA$211:$AA$223,MATCH(LARGE($AF$211:$AF$223,A214),$AF$211:$AF$223,0))</f>
        <v>Base price / hour</v>
      </c>
      <c r="C214" s="13">
        <f>INDEX($AB$211:$AB$223,MATCH(LARGE($AF$211:$AF$223,A214),$AF$211:$AF$223,0))</f>
        <v>31842.258550169499</v>
      </c>
      <c r="D214" s="42" t="str">
        <f>IF(INDEX($AC$211:$AC$223,MATCH(LARGE($AF$211:$AF$223,A214),$AF$211:$AF$223,0))&gt;=4,"High",IF(INDEX($AC$211:$AC$223,MATCH(LARGE($AF$211:$AF$223,A214),$AF$211:$AF$223,0))&gt;=3,"Medium","Low"))</f>
        <v>High</v>
      </c>
      <c r="E214" s="42" t="str">
        <f>INDEX($AE$211:$AE$223,MATCH(LARGE($AF$211:$AF$223,A214),$AF$211:$AF$223,0))</f>
        <v>30 days</v>
      </c>
      <c r="F214" s="42" t="str">
        <f>IF(INDEX($AD$211:$AD$223,MATCH(LARGE($AF$211:$AF$223,A214),$AF$211:$AF$223,0))=1,"Low",IF(INDEX($AD$211:$AD$223,MATCH(LARGE($AF$211:$AF$223,A214),$AF$211:$AF$223,0))=2,"Medium","High"))</f>
        <v>Medium</v>
      </c>
      <c r="G214" s="1"/>
      <c r="H214" s="1"/>
      <c r="I214" s="1"/>
      <c r="J214" s="1"/>
      <c r="K214" s="1"/>
      <c r="L214" s="1"/>
      <c r="M214" s="1"/>
      <c r="AA214" t="str">
        <f>'Profit Maximizer'!A54</f>
        <v>Portfolio multiplier factor</v>
      </c>
      <c r="AB214">
        <f>MAX('Profit Maximizer'!I54,0)</f>
        <v>0</v>
      </c>
      <c r="AC214">
        <v>5</v>
      </c>
      <c r="AD214">
        <v>1</v>
      </c>
      <c r="AE214" t="s">
        <v>619</v>
      </c>
      <c r="AF214">
        <f t="shared" si="15"/>
        <v>0</v>
      </c>
    </row>
    <row r="215" spans="1:32" ht="15">
      <c r="A215" s="1">
        <v>4</v>
      </c>
      <c r="B215" s="42" t="str">
        <f>INDEX($AA$211:$AA$223,MATCH(LARGE($AF$211:$AF$223,A215),$AF$211:$AF$223,0))</f>
        <v>Cancellation rate</v>
      </c>
      <c r="C215" s="13">
        <f>INDEX($AB$211:$AB$223,MATCH(LARGE($AF$211:$AF$223,A215),$AF$211:$AF$223,0))</f>
        <v>4521.7135773991322</v>
      </c>
      <c r="D215" s="42" t="str">
        <f>IF(INDEX($AC$211:$AC$223,MATCH(LARGE($AF$211:$AF$223,A215),$AF$211:$AF$223,0))&gt;=4,"High",IF(INDEX($AC$211:$AC$223,MATCH(LARGE($AF$211:$AF$223,A215),$AF$211:$AF$223,0))&gt;=3,"Medium","Low"))</f>
        <v>High</v>
      </c>
      <c r="E215" s="42" t="str">
        <f>INDEX($AE$211:$AE$223,MATCH(LARGE($AF$211:$AF$223,A215),$AF$211:$AF$223,0))</f>
        <v>30 days</v>
      </c>
      <c r="F215" s="42" t="str">
        <f>IF(INDEX($AD$211:$AD$223,MATCH(LARGE($AF$211:$AF$223,A215),$AF$211:$AF$223,0))=1,"Low",IF(INDEX($AD$211:$AD$223,MATCH(LARGE($AF$211:$AF$223,A215),$AF$211:$AF$223,0))=2,"Medium","High"))</f>
        <v>Low</v>
      </c>
      <c r="G215" s="1"/>
      <c r="H215" s="1"/>
      <c r="I215" s="1"/>
      <c r="J215" s="1"/>
      <c r="K215" s="1"/>
      <c r="L215" s="1"/>
      <c r="M215" s="1"/>
      <c r="AA215" t="str">
        <f>'Profit Maximizer'!A55</f>
        <v>Transport coordination fee</v>
      </c>
      <c r="AB215">
        <f>MAX('Profit Maximizer'!I55,0)</f>
        <v>752.39999999999418</v>
      </c>
      <c r="AC215">
        <v>5</v>
      </c>
      <c r="AD215">
        <v>1</v>
      </c>
      <c r="AE215" t="s">
        <v>619</v>
      </c>
      <c r="AF215">
        <f t="shared" si="15"/>
        <v>3761.9999999999709</v>
      </c>
    </row>
    <row r="216" spans="1:32" ht="30">
      <c r="A216" s="1">
        <v>5</v>
      </c>
      <c r="B216" s="42" t="str">
        <f>INDEX($AA$211:$AA$223,MATCH(LARGE($AF$211:$AF$223,A216),$AF$211:$AF$223,0))</f>
        <v>Repeat booking rate</v>
      </c>
      <c r="C216" s="13">
        <f>INDEX($AB$211:$AB$223,MATCH(LARGE($AF$211:$AF$223,A216),$AF$211:$AF$223,0))</f>
        <v>2249.6760000000068</v>
      </c>
      <c r="D216" s="42" t="str">
        <f>IF(INDEX($AC$211:$AC$223,MATCH(LARGE($AF$211:$AF$223,A216),$AF$211:$AF$223,0))&gt;=4,"High",IF(INDEX($AC$211:$AC$223,MATCH(LARGE($AF$211:$AF$223,A216),$AF$211:$AF$223,0))&gt;=3,"Medium","Low"))</f>
        <v>High</v>
      </c>
      <c r="E216" s="42" t="str">
        <f>INDEX($AE$211:$AE$223,MATCH(LARGE($AF$211:$AF$223,A216),$AF$211:$AF$223,0))</f>
        <v>90 days</v>
      </c>
      <c r="F216" s="42" t="str">
        <f>IF(INDEX($AD$211:$AD$223,MATCH(LARGE($AF$211:$AF$223,A216),$AF$211:$AF$223,0))=1,"Low",IF(INDEX($AD$211:$AD$223,MATCH(LARGE($AF$211:$AF$223,A216),$AF$211:$AF$223,0))=2,"Medium","High"))</f>
        <v>Medium</v>
      </c>
      <c r="G216" s="1"/>
      <c r="H216" s="1"/>
      <c r="I216" s="1"/>
      <c r="J216" s="1"/>
      <c r="K216" s="1"/>
      <c r="L216" s="1"/>
      <c r="M216" s="1"/>
      <c r="AA216" t="str">
        <f>'Profit Maximizer'!A56</f>
        <v>Cab cost</v>
      </c>
      <c r="AB216">
        <f>MAX('Profit Maximizer'!I56,0)</f>
        <v>0</v>
      </c>
      <c r="AC216">
        <v>3</v>
      </c>
      <c r="AD216">
        <v>2</v>
      </c>
      <c r="AE216" t="s">
        <v>620</v>
      </c>
      <c r="AF216">
        <f t="shared" si="15"/>
        <v>0</v>
      </c>
    </row>
    <row r="217" spans="1:32">
      <c r="A217" s="1"/>
      <c r="B217" s="1"/>
      <c r="C217" s="1"/>
      <c r="D217" s="1"/>
      <c r="E217" s="1"/>
      <c r="F217" s="1"/>
      <c r="G217" s="1"/>
      <c r="H217" s="1"/>
      <c r="I217" s="1"/>
      <c r="J217" s="1"/>
      <c r="K217" s="1"/>
      <c r="L217" s="1"/>
      <c r="M217" s="1"/>
      <c r="AA217" t="str">
        <f>'Profit Maximizer'!A57</f>
        <v>Payment platform fee</v>
      </c>
      <c r="AB217">
        <f>MAX('Profit Maximizer'!I57,0)</f>
        <v>0</v>
      </c>
      <c r="AC217">
        <v>4</v>
      </c>
      <c r="AD217">
        <v>1</v>
      </c>
      <c r="AE217" t="s">
        <v>618</v>
      </c>
      <c r="AF217">
        <f t="shared" si="15"/>
        <v>0</v>
      </c>
    </row>
    <row r="218" spans="1:32">
      <c r="A218" s="1"/>
      <c r="B218" s="1"/>
      <c r="C218" s="1"/>
      <c r="D218" s="1"/>
      <c r="E218" s="1"/>
      <c r="F218" s="1"/>
      <c r="G218" s="1"/>
      <c r="H218" s="1"/>
      <c r="I218" s="1"/>
      <c r="J218" s="1"/>
      <c r="K218" s="1"/>
      <c r="L218" s="1"/>
      <c r="M218" s="1"/>
      <c r="AA218" t="str">
        <f>'Profit Maximizer'!A58</f>
        <v>Angel utilization</v>
      </c>
      <c r="AB218">
        <f>MAX('Profit Maximizer'!I58,0)</f>
        <v>0</v>
      </c>
      <c r="AC218">
        <v>2</v>
      </c>
      <c r="AD218">
        <v>2</v>
      </c>
      <c r="AE218" t="s">
        <v>620</v>
      </c>
      <c r="AF218">
        <f t="shared" si="15"/>
        <v>0</v>
      </c>
    </row>
    <row r="219" spans="1:32">
      <c r="A219" s="1"/>
      <c r="B219" s="1"/>
      <c r="C219" s="1"/>
      <c r="D219" s="1"/>
      <c r="E219" s="1"/>
      <c r="F219" s="1"/>
      <c r="G219" s="1"/>
      <c r="H219" s="1"/>
      <c r="I219" s="1"/>
      <c r="J219" s="1"/>
      <c r="K219" s="1"/>
      <c r="L219" s="1"/>
      <c r="M219" s="1"/>
      <c r="AA219" t="str">
        <f>'Profit Maximizer'!A59</f>
        <v>Service mix</v>
      </c>
      <c r="AB219">
        <f>MAX('Profit Maximizer'!I59,0)</f>
        <v>67336.498505489231</v>
      </c>
      <c r="AC219">
        <v>3</v>
      </c>
      <c r="AD219">
        <v>2</v>
      </c>
      <c r="AE219" t="s">
        <v>620</v>
      </c>
      <c r="AF219">
        <f t="shared" si="15"/>
        <v>101004.74775823385</v>
      </c>
    </row>
    <row r="220" spans="1:32" ht="42.75" customHeight="1">
      <c r="A220" s="456" t="s">
        <v>621</v>
      </c>
      <c r="B220" s="456"/>
      <c r="C220" s="456"/>
      <c r="D220" s="456"/>
      <c r="E220" s="456"/>
      <c r="F220" s="456"/>
      <c r="G220" s="456"/>
      <c r="H220" s="456"/>
      <c r="I220" s="456"/>
      <c r="J220" s="456"/>
      <c r="K220" s="456"/>
      <c r="L220" s="456"/>
      <c r="M220" s="456"/>
      <c r="AA220" t="str">
        <f>'Profit Maximizer'!A60</f>
        <v>Repeat booking rate</v>
      </c>
      <c r="AB220">
        <f>MAX('Profit Maximizer'!I60,0)</f>
        <v>2249.6760000000068</v>
      </c>
      <c r="AC220">
        <v>4</v>
      </c>
      <c r="AD220">
        <v>2</v>
      </c>
      <c r="AE220" t="s">
        <v>620</v>
      </c>
      <c r="AF220">
        <f t="shared" si="15"/>
        <v>4499.3520000000135</v>
      </c>
    </row>
    <row r="221" spans="1:32">
      <c r="A221" s="453" t="s">
        <v>622</v>
      </c>
      <c r="B221" s="453"/>
      <c r="C221" s="453"/>
      <c r="D221" s="453"/>
      <c r="E221" s="453"/>
      <c r="F221" s="453"/>
      <c r="G221" s="453"/>
      <c r="H221" s="453"/>
      <c r="I221" s="453"/>
      <c r="J221" s="453"/>
      <c r="K221" s="453"/>
      <c r="L221" s="453"/>
      <c r="M221" s="453"/>
      <c r="AA221" t="str">
        <f>'Profit Maximizer'!A61</f>
        <v>Cancellation rate</v>
      </c>
      <c r="AB221">
        <f>MAX('Profit Maximizer'!I61,0)</f>
        <v>4521.7135773991322</v>
      </c>
      <c r="AC221">
        <v>5</v>
      </c>
      <c r="AD221">
        <v>1</v>
      </c>
      <c r="AE221" t="s">
        <v>618</v>
      </c>
      <c r="AF221">
        <f t="shared" si="15"/>
        <v>22608.567886995661</v>
      </c>
    </row>
    <row r="222" spans="1:32">
      <c r="A222" s="453" t="s">
        <v>623</v>
      </c>
      <c r="B222" s="453"/>
      <c r="C222" s="453"/>
      <c r="D222" s="453"/>
      <c r="E222" s="453"/>
      <c r="F222" s="453"/>
      <c r="G222" s="453"/>
      <c r="H222" s="453"/>
      <c r="I222" s="453"/>
      <c r="J222" s="453"/>
      <c r="K222" s="453"/>
      <c r="L222" s="453"/>
      <c r="M222" s="453"/>
      <c r="AA222" t="str">
        <f>'Profit Maximizer'!A62</f>
        <v>Customer leads / day</v>
      </c>
      <c r="AB222">
        <f>MAX('Profit Maximizer'!I62,0)</f>
        <v>132636.93160370845</v>
      </c>
      <c r="AC222">
        <v>3</v>
      </c>
      <c r="AD222">
        <v>2</v>
      </c>
      <c r="AE222" t="s">
        <v>620</v>
      </c>
      <c r="AF222">
        <f t="shared" si="15"/>
        <v>198955.39740556269</v>
      </c>
    </row>
    <row r="223" spans="1:32">
      <c r="A223" s="453" t="s">
        <v>624</v>
      </c>
      <c r="B223" s="453"/>
      <c r="C223" s="453"/>
      <c r="D223" s="453"/>
      <c r="E223" s="453"/>
      <c r="F223" s="453"/>
      <c r="G223" s="453"/>
      <c r="H223" s="453"/>
      <c r="I223" s="453"/>
      <c r="J223" s="453"/>
      <c r="K223" s="453"/>
      <c r="L223" s="453"/>
      <c r="M223" s="453"/>
      <c r="AA223" t="str">
        <f>'Profit Maximizer'!A63</f>
        <v>Fixed monthly cost</v>
      </c>
      <c r="AB223">
        <f>MAX('Profit Maximizer'!I63,0)</f>
        <v>0</v>
      </c>
      <c r="AC223">
        <v>4</v>
      </c>
      <c r="AD223">
        <v>1</v>
      </c>
      <c r="AE223" t="s">
        <v>619</v>
      </c>
      <c r="AF223">
        <f t="shared" si="15"/>
        <v>0</v>
      </c>
    </row>
    <row r="224" spans="1:32">
      <c r="A224" s="453" t="s">
        <v>625</v>
      </c>
      <c r="B224" s="453"/>
      <c r="C224" s="453"/>
      <c r="D224" s="453"/>
      <c r="E224" s="453"/>
      <c r="F224" s="453"/>
      <c r="G224" s="453"/>
      <c r="H224" s="453"/>
      <c r="I224" s="453"/>
      <c r="J224" s="453"/>
      <c r="K224" s="453"/>
      <c r="L224" s="453"/>
      <c r="M224" s="453"/>
    </row>
    <row r="225" spans="1:13">
      <c r="A225" s="453" t="s">
        <v>626</v>
      </c>
      <c r="B225" s="453"/>
      <c r="C225" s="453"/>
      <c r="D225" s="453"/>
      <c r="E225" s="453"/>
      <c r="F225" s="453"/>
      <c r="G225" s="453"/>
      <c r="H225" s="453"/>
      <c r="I225" s="453"/>
      <c r="J225" s="453"/>
      <c r="K225" s="453"/>
      <c r="L225" s="453"/>
      <c r="M225" s="453"/>
    </row>
    <row r="226" spans="1:13">
      <c r="A226" s="453" t="s">
        <v>627</v>
      </c>
      <c r="B226" s="453"/>
      <c r="C226" s="453"/>
      <c r="D226" s="453"/>
      <c r="E226" s="453"/>
      <c r="F226" s="453"/>
      <c r="G226" s="453"/>
      <c r="H226" s="453"/>
      <c r="I226" s="453"/>
      <c r="J226" s="453"/>
      <c r="K226" s="453"/>
      <c r="L226" s="453"/>
      <c r="M226" s="453"/>
    </row>
    <row r="227" spans="1:13">
      <c r="A227" s="453" t="s">
        <v>628</v>
      </c>
      <c r="B227" s="453"/>
      <c r="C227" s="453"/>
      <c r="D227" s="453"/>
      <c r="E227" s="453"/>
      <c r="F227" s="453"/>
      <c r="G227" s="453"/>
      <c r="H227" s="453"/>
      <c r="I227" s="453"/>
      <c r="J227" s="453"/>
      <c r="K227" s="453"/>
      <c r="L227" s="453"/>
      <c r="M227" s="453"/>
    </row>
    <row r="228" spans="1:13">
      <c r="A228" s="1"/>
      <c r="B228" s="1"/>
      <c r="C228" s="1"/>
      <c r="D228" s="1"/>
      <c r="E228" s="1"/>
      <c r="F228" s="1"/>
      <c r="G228" s="1"/>
      <c r="H228" s="1"/>
      <c r="I228" s="1"/>
      <c r="J228" s="1"/>
      <c r="K228" s="1"/>
      <c r="L228" s="1"/>
      <c r="M228" s="1"/>
    </row>
    <row r="229" spans="1:13">
      <c r="A229" s="1"/>
      <c r="B229" s="1"/>
      <c r="C229" s="1"/>
      <c r="D229" s="1"/>
      <c r="E229" s="1"/>
      <c r="F229" s="1"/>
      <c r="G229" s="1"/>
      <c r="H229" s="1"/>
      <c r="I229" s="1"/>
      <c r="J229" s="1"/>
      <c r="K229" s="1"/>
      <c r="L229" s="1"/>
      <c r="M229" s="1"/>
    </row>
    <row r="230" spans="1:13">
      <c r="A230" s="454" t="str">
        <f>"CFO conclusion: NivrāaCare currently produces positive contribution per journey of approximately ₹"&amp;ROUND('Whitefield Monthly Projection'!$Q$34,0)&amp;", while current Whitefield monthly contribution is approximately ₹"&amp;ROUND('Whitefield Monthly Projection'!$Q$32,0)&amp;". The auto-recommended structure is "&amp;$H$4&amp;". The lowest-risk modeled path is "&amp;$B$65&amp;". Keep fixed cost below what current contribution can absorb, then grow recurring journey density and contribution per Angel hour before adding permanent overhead."</f>
        <v>CFO conclusion: NivrāaCare currently produces positive contribution per journey of approximately ₹1511, while current Whitefield monthly contribution is approximately ₹56844. The auto-recommended structure is Ultra-Lean Pilot. The lowest-risk modeled path is F — Hybrid. Keep fixed cost below what current contribution can absorb, then grow recurring journey density and contribution per Angel hour before adding permanent overhead.</v>
      </c>
      <c r="B230" s="454"/>
      <c r="C230" s="454"/>
      <c r="D230" s="454"/>
      <c r="E230" s="454"/>
      <c r="F230" s="454"/>
      <c r="G230" s="454"/>
      <c r="H230" s="454"/>
      <c r="I230" s="454"/>
      <c r="J230" s="454"/>
      <c r="K230" s="454"/>
      <c r="L230" s="454"/>
      <c r="M230" s="454"/>
    </row>
    <row r="231" spans="1:13">
      <c r="A231" s="454"/>
      <c r="B231" s="454"/>
      <c r="C231" s="454"/>
      <c r="D231" s="454"/>
      <c r="E231" s="454"/>
      <c r="F231" s="454"/>
      <c r="G231" s="454"/>
      <c r="H231" s="454"/>
      <c r="I231" s="454"/>
      <c r="J231" s="454"/>
      <c r="K231" s="454"/>
      <c r="L231" s="454"/>
      <c r="M231" s="454"/>
    </row>
    <row r="232" spans="1:13">
      <c r="A232" s="454"/>
      <c r="B232" s="454"/>
      <c r="C232" s="454"/>
      <c r="D232" s="454"/>
      <c r="E232" s="454"/>
      <c r="F232" s="454"/>
      <c r="G232" s="454"/>
      <c r="H232" s="454"/>
      <c r="I232" s="454"/>
      <c r="J232" s="454"/>
      <c r="K232" s="454"/>
      <c r="L232" s="454"/>
      <c r="M232" s="454"/>
    </row>
    <row r="233" spans="1:13">
      <c r="A233" s="454"/>
      <c r="B233" s="454"/>
      <c r="C233" s="454"/>
      <c r="D233" s="454"/>
      <c r="E233" s="454"/>
      <c r="F233" s="454"/>
      <c r="G233" s="454"/>
      <c r="H233" s="454"/>
      <c r="I233" s="454"/>
      <c r="J233" s="454"/>
      <c r="K233" s="454"/>
      <c r="L233" s="454"/>
      <c r="M233" s="454"/>
    </row>
    <row r="234" spans="1:13">
      <c r="A234" s="454"/>
      <c r="B234" s="454"/>
      <c r="C234" s="454"/>
      <c r="D234" s="454"/>
      <c r="E234" s="454"/>
      <c r="F234" s="454"/>
      <c r="G234" s="454"/>
      <c r="H234" s="454"/>
      <c r="I234" s="454"/>
      <c r="J234" s="454"/>
      <c r="K234" s="454"/>
      <c r="L234" s="454"/>
      <c r="M234" s="454"/>
    </row>
    <row r="236" spans="1:13">
      <c r="A236" s="455" t="s">
        <v>629</v>
      </c>
      <c r="B236" s="455"/>
      <c r="C236" s="455"/>
      <c r="D236" s="455"/>
      <c r="E236" s="455"/>
      <c r="F236" s="455"/>
      <c r="G236" s="455"/>
      <c r="H236" s="455"/>
      <c r="I236" s="455"/>
      <c r="J236" s="455"/>
      <c r="K236" s="455"/>
      <c r="L236" s="455"/>
      <c r="M236" s="455"/>
    </row>
    <row r="237" spans="1:13">
      <c r="A237" s="455" t="s">
        <v>1345</v>
      </c>
      <c r="B237" s="455"/>
      <c r="C237" s="455"/>
      <c r="D237" s="455"/>
      <c r="E237" s="455"/>
      <c r="F237" s="455"/>
      <c r="G237" s="455"/>
      <c r="H237" s="455"/>
      <c r="I237" s="455"/>
      <c r="J237" s="455"/>
      <c r="K237" s="455"/>
      <c r="L237" s="455"/>
      <c r="M237" s="455"/>
    </row>
    <row r="238" spans="1:13">
      <c r="A238" s="455"/>
      <c r="B238" s="455"/>
      <c r="C238" s="455"/>
      <c r="D238" s="455"/>
      <c r="E238" s="455"/>
      <c r="F238" s="455"/>
      <c r="G238" s="455"/>
      <c r="H238" s="455"/>
      <c r="I238" s="455"/>
      <c r="J238" s="455"/>
      <c r="K238" s="455"/>
      <c r="L238" s="455"/>
      <c r="M238" s="455"/>
    </row>
    <row r="239" spans="1:13">
      <c r="A239" s="455"/>
      <c r="B239" s="455"/>
      <c r="C239" s="455"/>
      <c r="D239" s="455"/>
      <c r="E239" s="455"/>
      <c r="F239" s="455"/>
      <c r="G239" s="455"/>
      <c r="H239" s="455"/>
      <c r="I239" s="455"/>
      <c r="J239" s="455"/>
      <c r="K239" s="455"/>
      <c r="L239" s="455"/>
      <c r="M239" s="455"/>
    </row>
    <row r="240" spans="1:13">
      <c r="A240" s="455"/>
      <c r="B240" s="455"/>
      <c r="C240" s="455"/>
      <c r="D240" s="455"/>
      <c r="E240" s="455"/>
      <c r="F240" s="455"/>
      <c r="G240" s="455"/>
      <c r="H240" s="455"/>
      <c r="I240" s="455"/>
      <c r="J240" s="455"/>
      <c r="K240" s="455"/>
      <c r="L240" s="455"/>
      <c r="M240" s="455"/>
    </row>
  </sheetData>
  <mergeCells count="30">
    <mergeCell ref="A1:M1"/>
    <mergeCell ref="A2:M2"/>
    <mergeCell ref="A6:D6"/>
    <mergeCell ref="G6:M6"/>
    <mergeCell ref="L18:M20"/>
    <mergeCell ref="G23:M23"/>
    <mergeCell ref="A24:E24"/>
    <mergeCell ref="A35:M35"/>
    <mergeCell ref="A56:M56"/>
    <mergeCell ref="A76:M76"/>
    <mergeCell ref="I86:M86"/>
    <mergeCell ref="A111:M111"/>
    <mergeCell ref="A125:M125"/>
    <mergeCell ref="A160:F160"/>
    <mergeCell ref="A174:M174"/>
    <mergeCell ref="A191:F191"/>
    <mergeCell ref="H191:M191"/>
    <mergeCell ref="A201:F201"/>
    <mergeCell ref="H201:M201"/>
    <mergeCell ref="A210:M210"/>
    <mergeCell ref="A220:M220"/>
    <mergeCell ref="A221:M221"/>
    <mergeCell ref="A222:M222"/>
    <mergeCell ref="A223:M223"/>
    <mergeCell ref="A224:M224"/>
    <mergeCell ref="A225:M225"/>
    <mergeCell ref="A226:M226"/>
    <mergeCell ref="A227:M227"/>
    <mergeCell ref="A230:M234"/>
    <mergeCell ref="A236:M240"/>
  </mergeCells>
  <conditionalFormatting sqref="B133:D133">
    <cfRule type="expression" dxfId="69" priority="7">
      <formula>B133&lt;0</formula>
    </cfRule>
    <cfRule type="colorScale" priority="12">
      <colorScale>
        <cfvo type="min"/>
        <cfvo type="percentile" val="50"/>
        <cfvo type="max"/>
        <color rgb="FFF4CCCC"/>
        <color rgb="FFFFF2CC"/>
        <color rgb="FFD9EAD3"/>
      </colorScale>
    </cfRule>
  </conditionalFormatting>
  <conditionalFormatting sqref="D37:D53">
    <cfRule type="dataBar" priority="1">
      <dataBar>
        <cfvo type="min"/>
        <cfvo type="max"/>
        <color rgb="FFA02B93"/>
      </dataBar>
    </cfRule>
    <cfRule type="dataBar" priority="14">
      <dataBar>
        <cfvo type="min"/>
        <cfvo type="max"/>
        <color rgb="FFA02B93"/>
      </dataBar>
    </cfRule>
    <cfRule type="dataBar" priority="15">
      <dataBar>
        <cfvo type="min"/>
        <cfvo type="max"/>
        <color rgb="FFA02B93"/>
      </dataBar>
      <extLst>
        <ext xmlns:x14="http://schemas.microsoft.com/office/spreadsheetml/2009/9/main" uri="{B025F937-C7B1-47D3-B67F-A62EFF666E3E}">
          <x14:id>{FA98BD18-551C-C6F2-F9AF-A7DDF6D9C00D}</x14:id>
        </ext>
      </extLst>
    </cfRule>
  </conditionalFormatting>
  <conditionalFormatting sqref="F58:F63">
    <cfRule type="expression" dxfId="68" priority="6">
      <formula>F58&lt;0</formula>
    </cfRule>
    <cfRule type="colorScale" priority="11">
      <colorScale>
        <cfvo type="min"/>
        <cfvo type="percentile" val="50"/>
        <cfvo type="max"/>
        <color rgb="FFF4CCCC"/>
        <color rgb="FFFFF2CC"/>
        <color rgb="FFD9EAD3"/>
      </colorScale>
    </cfRule>
  </conditionalFormatting>
  <conditionalFormatting sqref="G113:G119">
    <cfRule type="colorScale" priority="4">
      <colorScale>
        <cfvo type="min"/>
        <cfvo type="percentile" val="50"/>
        <cfvo type="max"/>
        <color rgb="FFF4CCCC"/>
        <color rgb="FFFFF2CC"/>
        <color rgb="FFD9EAD3"/>
      </colorScale>
    </cfRule>
  </conditionalFormatting>
  <conditionalFormatting sqref="I176:J187">
    <cfRule type="expression" dxfId="67" priority="5">
      <formula>I176&lt;0</formula>
    </cfRule>
  </conditionalFormatting>
  <conditionalFormatting sqref="J88:P94">
    <cfRule type="colorScale" priority="3">
      <colorScale>
        <cfvo type="min"/>
        <cfvo type="percentile" val="50"/>
        <cfvo type="max"/>
        <color rgb="FFF4CCCC"/>
        <color rgb="FFFFF2CC"/>
        <color rgb="FFD9EAD3"/>
      </colorScale>
    </cfRule>
  </conditionalFormatting>
  <conditionalFormatting sqref="J78:Q83">
    <cfRule type="colorScale" priority="2">
      <colorScale>
        <cfvo type="min"/>
        <cfvo type="percentile" val="50"/>
        <cfvo type="max"/>
        <color rgb="FFF4CCCC"/>
        <color rgb="FFFFF2CC"/>
        <color rgb="FFD9EAD3"/>
      </colorScale>
    </cfRule>
  </conditionalFormatting>
  <conditionalFormatting sqref="L162:L166">
    <cfRule type="expression" dxfId="66" priority="9">
      <formula>L162&lt;0</formula>
    </cfRule>
    <cfRule type="colorScale" priority="13">
      <colorScale>
        <cfvo type="min"/>
        <cfvo type="percentile" val="50"/>
        <cfvo type="max"/>
        <color rgb="FFF4CCCC"/>
        <color rgb="FFFFF2CC"/>
        <color rgb="FFD9EAD3"/>
      </colorScale>
    </cfRule>
  </conditionalFormatting>
  <conditionalFormatting sqref="V77:V150">
    <cfRule type="expression" dxfId="65" priority="10">
      <formula>V77&lt;0</formula>
    </cfRule>
  </conditionalFormatting>
  <dataValidations count="2">
    <dataValidation type="list" sqref="B4" xr:uid="{00000000-0002-0000-0600-000000000000}">
      <formula1>"0,50000,100000,200000,300000,500000"</formula1>
    </dataValidation>
    <dataValidation type="list" sqref="B179" xr:uid="{00000000-0002-0000-0600-000001000000}">
      <formula1>"Current,Lean MVP,Hybrid"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A98BD18-551C-C6F2-F9AF-A7DDF6D9C00D}">
            <x14:dataBar>
              <x14:cfvo type="min"/>
              <x14:cfvo type="max"/>
              <x14:negativeFillColor auto="1"/>
              <x14:axisColor auto="1"/>
            </x14:dataBar>
          </x14:cfRule>
          <xm:sqref>D37:D53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320"/>
  <sheetViews>
    <sheetView workbookViewId="0"/>
  </sheetViews>
  <sheetFormatPr baseColWidth="10" defaultColWidth="8.83203125" defaultRowHeight="14"/>
  <cols>
    <col min="1" max="1" width="30" customWidth="1"/>
    <col min="2" max="2" width="18" customWidth="1"/>
    <col min="3" max="3" width="28" customWidth="1"/>
    <col min="4" max="4" width="18" customWidth="1"/>
    <col min="5" max="5" width="28" customWidth="1"/>
    <col min="6" max="11" width="20" customWidth="1"/>
    <col min="12" max="12" width="22" customWidth="1"/>
    <col min="13" max="13" width="28" customWidth="1"/>
    <col min="14" max="14" width="3" customWidth="1"/>
    <col min="15" max="22" width="13" customWidth="1"/>
    <col min="27" max="28" width="24" customWidth="1"/>
    <col min="41" max="51" width="18" customWidth="1"/>
  </cols>
  <sheetData>
    <row r="1" spans="1:51" ht="49.75" customHeight="1">
      <c r="A1" s="463" t="s">
        <v>1346</v>
      </c>
      <c r="B1" s="463"/>
      <c r="C1" s="463"/>
      <c r="D1" s="463"/>
      <c r="E1" s="463"/>
      <c r="F1" s="463"/>
      <c r="G1" s="463"/>
      <c r="H1" s="463"/>
      <c r="I1" s="463"/>
      <c r="J1" s="463"/>
      <c r="K1" s="463"/>
      <c r="L1" s="463"/>
      <c r="M1" s="463"/>
    </row>
    <row r="2" spans="1:51" ht="57" customHeight="1">
      <c r="A2" s="464" t="s">
        <v>1347</v>
      </c>
      <c r="B2" s="464"/>
      <c r="C2" s="464"/>
      <c r="D2" s="464"/>
      <c r="E2" s="464"/>
      <c r="F2" s="464"/>
      <c r="G2" s="464"/>
      <c r="H2" s="464"/>
      <c r="I2" s="464"/>
      <c r="J2" s="464"/>
      <c r="K2" s="464"/>
      <c r="L2" s="464"/>
      <c r="M2" s="464"/>
      <c r="AO2" s="72" t="s">
        <v>630</v>
      </c>
      <c r="AP2" s="72" t="s">
        <v>436</v>
      </c>
      <c r="AR2" s="72" t="s">
        <v>630</v>
      </c>
      <c r="AS2" s="72" t="s">
        <v>631</v>
      </c>
      <c r="AU2" s="72" t="s">
        <v>433</v>
      </c>
      <c r="AV2" s="72" t="s">
        <v>436</v>
      </c>
      <c r="AX2" s="72" t="s">
        <v>250</v>
      </c>
      <c r="AY2" s="72" t="s">
        <v>436</v>
      </c>
    </row>
    <row r="3" spans="1:51">
      <c r="A3" s="1"/>
      <c r="B3" s="1"/>
      <c r="C3" s="1"/>
      <c r="D3" s="1"/>
      <c r="E3" s="1"/>
      <c r="F3" s="1"/>
      <c r="G3" s="1"/>
      <c r="H3" s="1"/>
      <c r="I3" s="1"/>
      <c r="J3" s="1"/>
      <c r="K3" s="1"/>
      <c r="L3" s="1"/>
      <c r="M3" s="1"/>
      <c r="AO3" s="16">
        <v>249</v>
      </c>
      <c r="AP3" s="16">
        <f>H64</f>
        <v>-17650.927864113241</v>
      </c>
      <c r="AR3" s="16">
        <v>249</v>
      </c>
      <c r="AS3" s="17">
        <f>B64</f>
        <v>0.5</v>
      </c>
      <c r="AU3">
        <v>3</v>
      </c>
      <c r="AV3" s="16">
        <f t="shared" ref="AV3:AV9" si="0">AU3*$B$7*$AB$11-$B$27</f>
        <v>-79750.440789830493</v>
      </c>
      <c r="AX3" s="17">
        <v>0.3</v>
      </c>
      <c r="AY3" s="16">
        <f t="shared" ref="AY3:AY9" si="1">H95</f>
        <v>-93472.243108078357</v>
      </c>
    </row>
    <row r="4" spans="1:51" ht="16">
      <c r="A4" s="73" t="s">
        <v>632</v>
      </c>
      <c r="B4" s="73" t="s">
        <v>633</v>
      </c>
      <c r="C4" s="73" t="s">
        <v>634</v>
      </c>
      <c r="D4" s="1"/>
      <c r="E4" s="461" t="s">
        <v>635</v>
      </c>
      <c r="F4" s="461"/>
      <c r="G4" s="461"/>
      <c r="H4" s="461"/>
      <c r="I4" s="461"/>
      <c r="J4" s="461"/>
      <c r="K4" s="461"/>
      <c r="L4" s="461"/>
      <c r="M4" s="461"/>
      <c r="AA4" s="72" t="s">
        <v>636</v>
      </c>
      <c r="AB4" s="72" t="s">
        <v>633</v>
      </c>
      <c r="AO4" s="16">
        <v>299</v>
      </c>
      <c r="AP4" s="16">
        <f>H65</f>
        <v>-4067.362053647259</v>
      </c>
      <c r="AR4" s="16">
        <v>299</v>
      </c>
      <c r="AS4" s="17">
        <f>B65</f>
        <v>0.45</v>
      </c>
      <c r="AU4">
        <v>5</v>
      </c>
      <c r="AV4" s="16">
        <f t="shared" si="0"/>
        <v>-11584.067983050831</v>
      </c>
      <c r="AX4" s="17">
        <v>0.4</v>
      </c>
      <c r="AY4" s="16">
        <f t="shared" si="1"/>
        <v>-63962.990810771138</v>
      </c>
    </row>
    <row r="5" spans="1:51" ht="32">
      <c r="A5" s="1" t="s">
        <v>637</v>
      </c>
      <c r="B5" s="75">
        <v>0</v>
      </c>
      <c r="C5" s="1" t="s">
        <v>638</v>
      </c>
      <c r="D5" s="1"/>
      <c r="E5" s="1" t="s">
        <v>1348</v>
      </c>
      <c r="F5" s="12">
        <f>$B$16</f>
        <v>299</v>
      </c>
      <c r="G5" s="1"/>
      <c r="H5" s="73" t="s">
        <v>639</v>
      </c>
      <c r="I5" s="73" t="s">
        <v>633</v>
      </c>
      <c r="J5" s="1"/>
      <c r="K5" s="1"/>
      <c r="L5" s="1"/>
      <c r="M5" s="1"/>
      <c r="AA5" t="s">
        <v>640</v>
      </c>
      <c r="AB5">
        <f>$B$17+MAX($B$11,$B$18)*$B$16+$B$20</f>
        <v>1580.38</v>
      </c>
      <c r="AO5" s="16">
        <v>349</v>
      </c>
      <c r="AP5" s="16">
        <f>H66</f>
        <v>-1193.8737816314388</v>
      </c>
      <c r="AR5" s="16">
        <v>349</v>
      </c>
      <c r="AS5" s="17">
        <f>B66</f>
        <v>0.4</v>
      </c>
      <c r="AU5">
        <v>8</v>
      </c>
      <c r="AV5" s="16">
        <f t="shared" si="0"/>
        <v>90665.491227118648</v>
      </c>
      <c r="AX5" s="17">
        <v>0.5</v>
      </c>
      <c r="AY5" s="16">
        <f t="shared" si="1"/>
        <v>-34453.738513463933</v>
      </c>
    </row>
    <row r="6" spans="1:51" ht="30">
      <c r="A6" s="1" t="s">
        <v>641</v>
      </c>
      <c r="B6" s="76">
        <v>10</v>
      </c>
      <c r="C6" s="1" t="s">
        <v>642</v>
      </c>
      <c r="D6" s="1"/>
      <c r="E6" s="1" t="s">
        <v>1219</v>
      </c>
      <c r="F6" s="12">
        <f>$B$19</f>
        <v>269</v>
      </c>
      <c r="G6" s="1"/>
      <c r="H6" s="1" t="s">
        <v>643</v>
      </c>
      <c r="I6" s="13">
        <f>$B$5</f>
        <v>0</v>
      </c>
      <c r="J6" s="1"/>
      <c r="K6" s="1"/>
      <c r="L6" s="1"/>
      <c r="M6" s="1"/>
      <c r="AA6" t="s">
        <v>644</v>
      </c>
      <c r="AB6">
        <f>AB5/(1+$B$23)</f>
        <v>1339.3050847457628</v>
      </c>
      <c r="AO6" s="16">
        <v>399</v>
      </c>
      <c r="AP6" s="16">
        <f>H67</f>
        <v>6191.1645258695935</v>
      </c>
      <c r="AR6" s="16">
        <v>399</v>
      </c>
      <c r="AS6" s="17">
        <f>B67</f>
        <v>0.37</v>
      </c>
      <c r="AU6">
        <v>10</v>
      </c>
      <c r="AV6" s="16">
        <f t="shared" si="0"/>
        <v>158831.86403389834</v>
      </c>
      <c r="AX6" s="17">
        <v>0.6</v>
      </c>
      <c r="AY6" s="16">
        <f t="shared" si="1"/>
        <v>-4944.4862161567144</v>
      </c>
    </row>
    <row r="7" spans="1:51" ht="30">
      <c r="A7" s="1" t="s">
        <v>126</v>
      </c>
      <c r="B7" s="76">
        <v>26</v>
      </c>
      <c r="C7" s="1" t="s">
        <v>645</v>
      </c>
      <c r="D7" s="1"/>
      <c r="E7" s="1" t="s">
        <v>312</v>
      </c>
      <c r="F7" s="45">
        <f>$B$18</f>
        <v>2</v>
      </c>
      <c r="G7" s="1"/>
      <c r="H7" s="1" t="s">
        <v>348</v>
      </c>
      <c r="I7" s="13">
        <f>$B$27+$B$5</f>
        <v>182000</v>
      </c>
      <c r="J7" s="1"/>
      <c r="K7" s="1"/>
      <c r="L7" s="1"/>
      <c r="M7" s="1"/>
      <c r="AA7" t="s">
        <v>646</v>
      </c>
      <c r="AB7">
        <f>$B$11*$B$21</f>
        <v>0</v>
      </c>
      <c r="AO7" s="16">
        <v>449</v>
      </c>
      <c r="AP7" s="16">
        <f>H68</f>
        <v>15831.977851113188</v>
      </c>
      <c r="AR7" s="16">
        <v>449</v>
      </c>
      <c r="AS7" s="17">
        <f>B68</f>
        <v>0.35</v>
      </c>
      <c r="AU7">
        <v>12</v>
      </c>
      <c r="AV7" s="16">
        <f t="shared" si="0"/>
        <v>226998.23684067803</v>
      </c>
      <c r="AX7" s="17">
        <v>0.7</v>
      </c>
      <c r="AY7" s="16">
        <f t="shared" si="1"/>
        <v>-4067.362053647259</v>
      </c>
    </row>
    <row r="8" spans="1:51" ht="30">
      <c r="A8" s="1" t="s">
        <v>117</v>
      </c>
      <c r="B8" s="76">
        <v>5</v>
      </c>
      <c r="C8" s="1" t="s">
        <v>647</v>
      </c>
      <c r="D8" s="1"/>
      <c r="E8" s="1" t="s">
        <v>1349</v>
      </c>
      <c r="F8" s="12">
        <f>$B$17</f>
        <v>199</v>
      </c>
      <c r="G8" s="1"/>
      <c r="H8" s="1" t="s">
        <v>648</v>
      </c>
      <c r="I8" s="46">
        <f>IF($AB$11&lt;=0,0,I7/$AB$11)</f>
        <v>138.8367843309793</v>
      </c>
      <c r="J8" s="1"/>
      <c r="K8" s="1"/>
      <c r="L8" s="1"/>
      <c r="M8" s="1"/>
      <c r="AA8" t="s">
        <v>649</v>
      </c>
      <c r="AB8">
        <f>$B$22+AB5*$B$24+AB6*'NC Credits'!$B$15</f>
        <v>111.8133</v>
      </c>
      <c r="AU8">
        <v>15</v>
      </c>
      <c r="AV8" s="16">
        <f t="shared" si="0"/>
        <v>329247.79605084751</v>
      </c>
      <c r="AX8" s="17">
        <v>0.8</v>
      </c>
      <c r="AY8" s="16">
        <f t="shared" si="1"/>
        <v>-4067.362053647259</v>
      </c>
    </row>
    <row r="9" spans="1:51" ht="15">
      <c r="A9" s="1" t="s">
        <v>650</v>
      </c>
      <c r="B9" s="76">
        <v>8</v>
      </c>
      <c r="C9" s="1" t="s">
        <v>651</v>
      </c>
      <c r="D9" s="1"/>
      <c r="E9" s="1" t="s">
        <v>652</v>
      </c>
      <c r="F9" s="13">
        <f>$AB$23</f>
        <v>1969.7800000000002</v>
      </c>
      <c r="G9" s="1"/>
      <c r="H9" s="1" t="s">
        <v>364</v>
      </c>
      <c r="I9" s="46">
        <f>I8/$B$7</f>
        <v>5.339876320422281</v>
      </c>
      <c r="J9" s="1"/>
      <c r="K9" s="1"/>
      <c r="L9" s="1"/>
      <c r="M9" s="1"/>
      <c r="AA9" t="s">
        <v>653</v>
      </c>
      <c r="AB9">
        <f>AB6-AB7-AB8</f>
        <v>1227.4917847457627</v>
      </c>
      <c r="AU9">
        <v>20</v>
      </c>
      <c r="AV9" s="16">
        <f t="shared" si="0"/>
        <v>499663.72806779668</v>
      </c>
      <c r="AX9" s="17">
        <v>0.9</v>
      </c>
      <c r="AY9" s="16">
        <f t="shared" si="1"/>
        <v>-4067.362053647259</v>
      </c>
    </row>
    <row r="10" spans="1:51" ht="30">
      <c r="A10" s="1" t="s">
        <v>135</v>
      </c>
      <c r="B10" s="77">
        <v>0.65</v>
      </c>
      <c r="C10" s="1" t="s">
        <v>654</v>
      </c>
      <c r="D10" s="1"/>
      <c r="E10" s="1" t="s">
        <v>367</v>
      </c>
      <c r="F10" s="13">
        <f>$AB$11</f>
        <v>1310.8917847457628</v>
      </c>
      <c r="G10" s="1"/>
      <c r="H10" s="1" t="s">
        <v>655</v>
      </c>
      <c r="I10" s="46">
        <f>I8*$B$11/($B$7*$B$9*$B$10)</f>
        <v>4.7442747308367181</v>
      </c>
      <c r="J10" s="1"/>
      <c r="K10" s="1"/>
      <c r="L10" s="1"/>
      <c r="M10" s="1"/>
      <c r="AA10" t="s">
        <v>656</v>
      </c>
      <c r="AB10">
        <f>$B$25*$B$26</f>
        <v>83.399999999999991</v>
      </c>
    </row>
    <row r="11" spans="1:51" ht="30">
      <c r="A11" s="1" t="s">
        <v>657</v>
      </c>
      <c r="B11" s="45">
        <f>'Whitefield Monthly Projection'!$S$45</f>
        <v>4.62</v>
      </c>
      <c r="C11" s="1" t="s">
        <v>658</v>
      </c>
      <c r="D11" s="1"/>
      <c r="E11" s="1" t="s">
        <v>328</v>
      </c>
      <c r="F11" s="13">
        <f>$AB$12</f>
        <v>283.74281055103091</v>
      </c>
      <c r="G11" s="1"/>
      <c r="H11" s="1" t="s">
        <v>659</v>
      </c>
      <c r="I11" s="46">
        <f>IF($AB$13*$B$14*(1-$B$12)*(1-$B$13)=0,0,I8/($B$7*$AB$13*$B$14*(1-$B$12)*(1-$B$13)))</f>
        <v>10.22858999341501</v>
      </c>
      <c r="J11" s="1"/>
      <c r="K11" s="1"/>
      <c r="L11" s="1"/>
      <c r="M11" s="1"/>
      <c r="AA11" t="s">
        <v>660</v>
      </c>
      <c r="AB11">
        <f>AB9+AB10</f>
        <v>1310.8917847457628</v>
      </c>
    </row>
    <row r="12" spans="1:51" ht="31">
      <c r="A12" s="1" t="s">
        <v>147</v>
      </c>
      <c r="B12" s="77">
        <v>0.08</v>
      </c>
      <c r="C12" s="1" t="s">
        <v>642</v>
      </c>
      <c r="D12" s="1"/>
      <c r="E12" s="1" t="s">
        <v>661</v>
      </c>
      <c r="F12" s="13">
        <f>$AB$22</f>
        <v>300</v>
      </c>
      <c r="G12" s="1"/>
      <c r="H12" s="1" t="s">
        <v>662</v>
      </c>
      <c r="I12" s="13">
        <f>$AB$18-$B$5</f>
        <v>177932.63794635274</v>
      </c>
      <c r="J12" s="1"/>
      <c r="K12" s="1"/>
      <c r="L12" s="1"/>
      <c r="M12" s="1"/>
      <c r="AA12" t="s">
        <v>328</v>
      </c>
      <c r="AB12">
        <f>IF($B$11=0,0,AB11/$B$11)</f>
        <v>283.74281055103091</v>
      </c>
      <c r="AO12" s="72" t="s">
        <v>468</v>
      </c>
      <c r="AP12" s="72" t="s">
        <v>436</v>
      </c>
      <c r="AR12" s="72" t="s">
        <v>663</v>
      </c>
      <c r="AS12" s="72" t="s">
        <v>664</v>
      </c>
      <c r="AT12" s="72" t="s">
        <v>665</v>
      </c>
      <c r="AU12" s="72" t="s">
        <v>489</v>
      </c>
      <c r="AV12" s="72" t="s">
        <v>306</v>
      </c>
      <c r="AX12" s="72" t="s">
        <v>38</v>
      </c>
      <c r="AY12" s="72" t="s">
        <v>435</v>
      </c>
    </row>
    <row r="13" spans="1:51" ht="30">
      <c r="A13" s="1" t="s">
        <v>151</v>
      </c>
      <c r="B13" s="77">
        <v>0.03</v>
      </c>
      <c r="C13" s="1" t="s">
        <v>642</v>
      </c>
      <c r="D13" s="1"/>
      <c r="E13" s="1" t="s">
        <v>666</v>
      </c>
      <c r="F13" s="14">
        <f>$B$15</f>
        <v>0.3</v>
      </c>
      <c r="G13" s="1"/>
      <c r="H13" s="1" t="s">
        <v>667</v>
      </c>
      <c r="I13" s="13">
        <f>MAX($B$5-$AB$19,0)</f>
        <v>4067.362053647259</v>
      </c>
      <c r="J13" s="1"/>
      <c r="K13" s="1"/>
      <c r="L13" s="1"/>
      <c r="M13" s="1"/>
      <c r="AA13" t="s">
        <v>668</v>
      </c>
      <c r="AB13">
        <f>INDEX($B$64:$B$68,MATCH($B$16,$A$64:$A$68,0))</f>
        <v>0.45</v>
      </c>
      <c r="AO13" s="16">
        <v>68000</v>
      </c>
      <c r="AP13" s="16">
        <f t="shared" ref="AP13:AP19" si="2">$AB$18-AO13</f>
        <v>109932.63794635274</v>
      </c>
      <c r="AR13">
        <v>1</v>
      </c>
      <c r="AS13" s="16">
        <f>D125</f>
        <v>393.26753542372882</v>
      </c>
      <c r="AT13" s="16">
        <f>B125</f>
        <v>1310.8917847457628</v>
      </c>
      <c r="AU13" t="s">
        <v>73</v>
      </c>
      <c r="AV13" s="16">
        <f t="shared" ref="AV13:AV19" si="3">H144</f>
        <v>23416</v>
      </c>
      <c r="AX13" t="str">
        <f t="shared" ref="AX13:AX24" si="4">A177</f>
        <v>Hospital Visit</v>
      </c>
      <c r="AY13" s="16">
        <f t="shared" ref="AY13:AY24" si="5">E177</f>
        <v>1111.53093220339</v>
      </c>
    </row>
    <row r="14" spans="1:51" ht="30">
      <c r="A14" s="1" t="s">
        <v>669</v>
      </c>
      <c r="B14" s="76">
        <v>1.3</v>
      </c>
      <c r="C14" s="1" t="s">
        <v>670</v>
      </c>
      <c r="D14" s="1"/>
      <c r="E14" s="1" t="s">
        <v>314</v>
      </c>
      <c r="F14" s="14">
        <f>IF($B$8*$B$7*$B$9=0,0,$AB$16*$B$11/($B$8*$B$7*$B$9))</f>
        <v>0.60297236999999992</v>
      </c>
      <c r="G14" s="1"/>
      <c r="H14" s="1"/>
      <c r="I14" s="1"/>
      <c r="J14" s="1"/>
      <c r="K14" s="1"/>
      <c r="L14" s="1"/>
      <c r="M14" s="1"/>
      <c r="AA14" t="s">
        <v>671</v>
      </c>
      <c r="AB14">
        <f>$B$6*$B$7*AB13*$B$14*(1-$B$12)*(1-$B$13)</f>
        <v>135.73403999999999</v>
      </c>
      <c r="AO14" s="16">
        <v>100000</v>
      </c>
      <c r="AP14" s="16">
        <f t="shared" si="2"/>
        <v>77932.637946352741</v>
      </c>
      <c r="AR14">
        <v>2</v>
      </c>
      <c r="AS14" s="16">
        <f>D126</f>
        <v>786.53507084745763</v>
      </c>
      <c r="AT14" s="16">
        <f>B126</f>
        <v>2621.7835694915257</v>
      </c>
      <c r="AU14" t="s">
        <v>75</v>
      </c>
      <c r="AV14" s="16">
        <f t="shared" si="3"/>
        <v>7492</v>
      </c>
      <c r="AX14" t="str">
        <f t="shared" si="4"/>
        <v>Hospital Visit — Concierge at Hospital</v>
      </c>
      <c r="AY14" s="16">
        <f t="shared" si="5"/>
        <v>752.09967796610181</v>
      </c>
    </row>
    <row r="15" spans="1:51" ht="15">
      <c r="A15" s="1" t="s">
        <v>666</v>
      </c>
      <c r="B15" s="77">
        <v>0.3</v>
      </c>
      <c r="C15" s="1" t="s">
        <v>642</v>
      </c>
      <c r="D15" s="1"/>
      <c r="E15" s="1" t="s">
        <v>347</v>
      </c>
      <c r="F15" s="46">
        <f>$AB$17</f>
        <v>5.2205399999999997</v>
      </c>
      <c r="G15" s="1"/>
      <c r="H15" s="1"/>
      <c r="I15" s="1"/>
      <c r="J15" s="1"/>
      <c r="K15" s="1"/>
      <c r="L15" s="1"/>
      <c r="M15" s="1"/>
      <c r="AA15" t="s">
        <v>672</v>
      </c>
      <c r="AB15">
        <f>$B$8*$B$7*$B$9*$B$10/$B$11</f>
        <v>146.32034632034632</v>
      </c>
      <c r="AO15" s="16">
        <v>140000</v>
      </c>
      <c r="AP15" s="16">
        <f t="shared" si="2"/>
        <v>37932.637946352741</v>
      </c>
      <c r="AR15">
        <v>4</v>
      </c>
      <c r="AS15" s="16">
        <f>D127</f>
        <v>1573.0701416949153</v>
      </c>
      <c r="AT15" s="16">
        <f>B127</f>
        <v>5243.5671389830513</v>
      </c>
      <c r="AU15" t="s">
        <v>76</v>
      </c>
      <c r="AV15" s="16">
        <f t="shared" si="3"/>
        <v>10226.5</v>
      </c>
      <c r="AX15" t="str">
        <f t="shared" si="4"/>
        <v>Clinic Visit</v>
      </c>
      <c r="AY15" s="16">
        <f t="shared" si="5"/>
        <v>625.84376271186443</v>
      </c>
    </row>
    <row r="16" spans="1:51" ht="30">
      <c r="A16" s="1" t="s">
        <v>1348</v>
      </c>
      <c r="B16" s="161">
        <f>'MVP1 Pricing &amp; SKU'!$B$7</f>
        <v>299</v>
      </c>
      <c r="C16" s="1" t="s">
        <v>1350</v>
      </c>
      <c r="D16" s="1"/>
      <c r="E16" s="1" t="s">
        <v>673</v>
      </c>
      <c r="F16" s="13">
        <f>$B$27</f>
        <v>182000</v>
      </c>
      <c r="G16" s="1"/>
      <c r="H16" s="1"/>
      <c r="I16" s="1"/>
      <c r="J16" s="1"/>
      <c r="K16" s="1"/>
      <c r="L16" s="1"/>
      <c r="M16" s="1"/>
      <c r="AA16" t="s">
        <v>342</v>
      </c>
      <c r="AB16">
        <f>MIN(AB14,AB15)</f>
        <v>135.73403999999999</v>
      </c>
      <c r="AO16" s="16">
        <v>180000</v>
      </c>
      <c r="AP16" s="16">
        <f t="shared" si="2"/>
        <v>-2067.362053647259</v>
      </c>
      <c r="AR16">
        <v>8</v>
      </c>
      <c r="AS16" s="16">
        <f>D128</f>
        <v>3146.1402833898305</v>
      </c>
      <c r="AT16" s="16">
        <f>B128</f>
        <v>10487.134277966103</v>
      </c>
      <c r="AU16" t="s">
        <v>77</v>
      </c>
      <c r="AV16" s="16">
        <f t="shared" si="3"/>
        <v>8487.5999999999985</v>
      </c>
      <c r="AX16" t="str">
        <f t="shared" si="4"/>
        <v>Diagnostic Center Visit</v>
      </c>
      <c r="AY16" s="16">
        <f t="shared" si="5"/>
        <v>787.31971610169489</v>
      </c>
    </row>
    <row r="17" spans="1:51" ht="30">
      <c r="A17" s="1" t="s">
        <v>1349</v>
      </c>
      <c r="B17" s="161">
        <f>'MVP1 Pricing &amp; SKU'!$B$9</f>
        <v>199</v>
      </c>
      <c r="C17" s="1" t="s">
        <v>1351</v>
      </c>
      <c r="D17" s="1"/>
      <c r="E17" s="1" t="s">
        <v>327</v>
      </c>
      <c r="F17" s="13">
        <f>$AB$18</f>
        <v>177932.63794635274</v>
      </c>
      <c r="G17" s="1"/>
      <c r="H17" s="1"/>
      <c r="I17" s="1"/>
      <c r="J17" s="1"/>
      <c r="K17" s="1"/>
      <c r="L17" s="1"/>
      <c r="M17" s="1"/>
      <c r="AA17" t="s">
        <v>674</v>
      </c>
      <c r="AB17">
        <f>AB16/$B$7</f>
        <v>5.2205399999999997</v>
      </c>
      <c r="AO17" s="16">
        <v>200000</v>
      </c>
      <c r="AP17" s="16">
        <f t="shared" si="2"/>
        <v>-22067.362053647259</v>
      </c>
      <c r="AR17">
        <v>12</v>
      </c>
      <c r="AS17" s="16">
        <f>D129</f>
        <v>4719.210425084746</v>
      </c>
      <c r="AT17" s="16">
        <f>B129</f>
        <v>15730.701416949154</v>
      </c>
      <c r="AU17" t="s">
        <v>78</v>
      </c>
      <c r="AV17" s="16">
        <f t="shared" si="3"/>
        <v>2937.9</v>
      </c>
      <c r="AX17" t="str">
        <f t="shared" si="4"/>
        <v>Health Check-up Concierge</v>
      </c>
      <c r="AY17" s="16">
        <f t="shared" si="5"/>
        <v>1215.9317372881358</v>
      </c>
    </row>
    <row r="18" spans="1:51" ht="15">
      <c r="A18" s="1" t="s">
        <v>1352</v>
      </c>
      <c r="B18" s="162">
        <f>'MVP1 Pricing &amp; SKU'!$B$5</f>
        <v>2</v>
      </c>
      <c r="C18" s="1" t="s">
        <v>1353</v>
      </c>
      <c r="D18" s="1"/>
      <c r="E18" s="1" t="s">
        <v>329</v>
      </c>
      <c r="F18" s="13">
        <f>$AB$19</f>
        <v>-4067.362053647259</v>
      </c>
      <c r="G18" s="1"/>
      <c r="H18" s="1"/>
      <c r="I18" s="1"/>
      <c r="J18" s="1"/>
      <c r="K18" s="1"/>
      <c r="L18" s="1"/>
      <c r="M18" s="1"/>
      <c r="AA18" t="s">
        <v>327</v>
      </c>
      <c r="AB18">
        <f>AB16*AB11</f>
        <v>177932.63794635274</v>
      </c>
      <c r="AO18" s="16">
        <v>240000</v>
      </c>
      <c r="AP18" s="16">
        <f t="shared" si="2"/>
        <v>-62067.362053647259</v>
      </c>
      <c r="AU18" t="s">
        <v>80</v>
      </c>
      <c r="AV18" s="16">
        <f t="shared" si="3"/>
        <v>9373.2000000000007</v>
      </c>
      <c r="AX18" t="str">
        <f t="shared" si="4"/>
        <v>Hospital Admission Concierge</v>
      </c>
      <c r="AY18" s="16">
        <f t="shared" si="5"/>
        <v>1249.9737118644068</v>
      </c>
    </row>
    <row r="19" spans="1:51" ht="30">
      <c r="A19" s="290" t="s">
        <v>1219</v>
      </c>
      <c r="B19" s="291">
        <f>'MVP1 Pricing &amp; SKU'!$B$8</f>
        <v>269</v>
      </c>
      <c r="C19" s="1" t="s">
        <v>1354</v>
      </c>
      <c r="D19" s="1"/>
      <c r="E19" s="1" t="s">
        <v>222</v>
      </c>
      <c r="F19" s="46">
        <f>$AB$21</f>
        <v>5.339876320422281</v>
      </c>
      <c r="G19" s="1"/>
      <c r="H19" s="1"/>
      <c r="I19" s="1"/>
      <c r="J19" s="1"/>
      <c r="K19" s="1"/>
      <c r="L19" s="1"/>
      <c r="M19" s="1"/>
      <c r="AA19" t="s">
        <v>329</v>
      </c>
      <c r="AB19">
        <f>AB18-$B$27</f>
        <v>-4067.362053647259</v>
      </c>
      <c r="AO19" s="16">
        <v>300000</v>
      </c>
      <c r="AP19" s="16">
        <f t="shared" si="2"/>
        <v>-122067.36205364726</v>
      </c>
      <c r="AU19" t="s">
        <v>72</v>
      </c>
      <c r="AV19" s="16">
        <f t="shared" si="3"/>
        <v>2132</v>
      </c>
      <c r="AX19" t="str">
        <f t="shared" si="4"/>
        <v>Hospital Discharge Concierge</v>
      </c>
      <c r="AY19" s="16">
        <f t="shared" si="5"/>
        <v>1203.8261186440679</v>
      </c>
    </row>
    <row r="20" spans="1:51" ht="30">
      <c r="A20" s="1" t="s">
        <v>675</v>
      </c>
      <c r="B20" s="75">
        <v>0</v>
      </c>
      <c r="C20" s="1" t="s">
        <v>676</v>
      </c>
      <c r="D20" s="1"/>
      <c r="E20" s="1" t="s">
        <v>677</v>
      </c>
      <c r="F20" s="42" t="str">
        <f>IF(COUNTIF($H$287:$H$298,"CASH OUT")=0,"&gt;12 months",MATCH("CASH OUT",$H$287:$H$298,0)-1)</f>
        <v>&gt;12 months</v>
      </c>
      <c r="G20" s="1"/>
      <c r="H20" s="1"/>
      <c r="I20" s="1"/>
      <c r="J20" s="1"/>
      <c r="K20" s="1"/>
      <c r="L20" s="1"/>
      <c r="M20" s="1"/>
      <c r="AA20" t="s">
        <v>221</v>
      </c>
      <c r="AB20">
        <f>IF(AB11&lt;=0,0,$B$27/AB11)</f>
        <v>138.8367843309793</v>
      </c>
      <c r="AX20" t="str">
        <f t="shared" si="4"/>
        <v>Overnight Hospital Concierge</v>
      </c>
      <c r="AY20" s="16">
        <f t="shared" si="5"/>
        <v>2702.1604745762716</v>
      </c>
    </row>
    <row r="21" spans="1:51" ht="48">
      <c r="A21" s="1" t="s">
        <v>678</v>
      </c>
      <c r="B21" s="12">
        <f>'Global Inputs'!$B$6</f>
        <v>0</v>
      </c>
      <c r="C21" s="1" t="s">
        <v>679</v>
      </c>
      <c r="D21" s="1"/>
      <c r="E21" s="1" t="s">
        <v>680</v>
      </c>
      <c r="F21" s="82" t="str">
        <f>IF($AB$11&lt;=0,"RED — economics unsustainable",IF($AB$19&gt;=0,"GREEN — profitable and scalable","AMBER — contribution positive but insufficient scale"))</f>
        <v>AMBER — contribution positive but insufficient scale</v>
      </c>
      <c r="G21" s="1"/>
      <c r="H21" s="1"/>
      <c r="I21" s="1"/>
      <c r="J21" s="1"/>
      <c r="K21" s="1"/>
      <c r="L21" s="1"/>
      <c r="M21" s="1"/>
      <c r="AA21" t="s">
        <v>222</v>
      </c>
      <c r="AB21">
        <f>AB20/$B$7</f>
        <v>5.339876320422281</v>
      </c>
      <c r="AX21" t="str">
        <f t="shared" si="4"/>
        <v>Multi-Day Hospital Concierge (per 12h shift)</v>
      </c>
      <c r="AY21" s="16">
        <f t="shared" si="5"/>
        <v>2702.1604745762716</v>
      </c>
    </row>
    <row r="22" spans="1:51" ht="31">
      <c r="A22" s="1" t="s">
        <v>681</v>
      </c>
      <c r="B22" s="12">
        <f>SUM('Global Inputs'!$B$10:$B$14)</f>
        <v>56.5</v>
      </c>
      <c r="C22" s="1" t="s">
        <v>682</v>
      </c>
      <c r="D22" s="1"/>
      <c r="E22" s="1" t="s">
        <v>349</v>
      </c>
      <c r="F22" s="82" t="str">
        <f>IF($AB$16&lt;=50,"Ultra-Lean Pilot",IF($AB$16&lt;=150,"Lean MVP","Scale / Full Team"))</f>
        <v>Lean MVP</v>
      </c>
      <c r="G22" s="1"/>
      <c r="H22" s="1"/>
      <c r="I22" s="1"/>
      <c r="J22" s="1"/>
      <c r="K22" s="1"/>
      <c r="L22" s="1"/>
      <c r="M22" s="1"/>
      <c r="AA22" t="s">
        <v>661</v>
      </c>
      <c r="AB22">
        <f>$B$28+$B$29+$B$30+$B$120+$B$121</f>
        <v>300</v>
      </c>
      <c r="AO22" s="72" t="s">
        <v>38</v>
      </c>
      <c r="AP22" s="72" t="s">
        <v>280</v>
      </c>
      <c r="AR22" s="72" t="s">
        <v>243</v>
      </c>
      <c r="AS22" s="72" t="s">
        <v>500</v>
      </c>
      <c r="AU22" s="72" t="s">
        <v>243</v>
      </c>
      <c r="AV22" s="72" t="s">
        <v>492</v>
      </c>
      <c r="AX22" t="str">
        <f t="shared" si="4"/>
        <v>Day Surgery / Procedure Concierge</v>
      </c>
      <c r="AY22" s="16">
        <f t="shared" si="5"/>
        <v>1820.6439491525427</v>
      </c>
    </row>
    <row r="23" spans="1:51" ht="16">
      <c r="A23" s="1" t="s">
        <v>10</v>
      </c>
      <c r="B23" s="64">
        <f>'Global Inputs'!$B$7</f>
        <v>0.18</v>
      </c>
      <c r="C23" s="1" t="s">
        <v>683</v>
      </c>
      <c r="D23" s="1"/>
      <c r="E23" s="129" t="s">
        <v>1355</v>
      </c>
      <c r="F23" s="130">
        <f>'NC Credits'!$B$6</f>
        <v>0.05</v>
      </c>
      <c r="G23" s="1"/>
      <c r="H23" s="1"/>
      <c r="I23" s="1"/>
      <c r="J23" s="1"/>
      <c r="K23" s="1"/>
      <c r="L23" s="1"/>
      <c r="M23" s="1"/>
      <c r="AA23" t="s">
        <v>684</v>
      </c>
      <c r="AB23">
        <f>AB5+$B$25*('Global Inputs'!$B$15+'Global Inputs'!$B$16)</f>
        <v>1969.7800000000002</v>
      </c>
      <c r="AO23" t="str">
        <f t="shared" ref="AO23:AO34" si="6">A177</f>
        <v>Hospital Visit</v>
      </c>
      <c r="AP23" s="16">
        <f t="shared" ref="AP23:AP34" si="7">G177</f>
        <v>277.88273305084749</v>
      </c>
      <c r="AR23" t="s">
        <v>254</v>
      </c>
      <c r="AS23" s="16">
        <f t="shared" ref="AS23:AS34" si="8">G287</f>
        <v>1295932.6379463528</v>
      </c>
      <c r="AU23" t="s">
        <v>254</v>
      </c>
      <c r="AV23" s="15">
        <f t="shared" ref="AV23:AV34" si="9">B287</f>
        <v>135.73403999999999</v>
      </c>
      <c r="AX23" t="str">
        <f t="shared" si="4"/>
        <v>Pre-Surgery Concierge</v>
      </c>
      <c r="AY23" s="16">
        <f t="shared" si="5"/>
        <v>1203.8261186440679</v>
      </c>
    </row>
    <row r="24" spans="1:51" ht="16">
      <c r="A24" s="1" t="s">
        <v>13</v>
      </c>
      <c r="B24" s="64">
        <f>'Global Inputs'!$B$8</f>
        <v>0</v>
      </c>
      <c r="C24" s="1" t="s">
        <v>685</v>
      </c>
      <c r="D24" s="1"/>
      <c r="E24" s="129" t="s">
        <v>1356</v>
      </c>
      <c r="F24" s="131">
        <f>'NC Credits'!$B$23</f>
        <v>55.313299999999998</v>
      </c>
      <c r="G24" s="1"/>
      <c r="H24" s="1"/>
      <c r="I24" s="1"/>
      <c r="J24" s="1"/>
      <c r="K24" s="1"/>
      <c r="L24" s="1"/>
      <c r="M24" s="1"/>
      <c r="AA24" t="s">
        <v>686</v>
      </c>
      <c r="AB24">
        <f>AB16*$B$11/($B$7*$B$9*$B$10)</f>
        <v>4.6382489999999992</v>
      </c>
      <c r="AO24" t="str">
        <f t="shared" si="6"/>
        <v>Hospital Visit — Concierge at Hospital</v>
      </c>
      <c r="AP24" s="16">
        <f t="shared" si="7"/>
        <v>250.69989265536728</v>
      </c>
      <c r="AR24" t="s">
        <v>256</v>
      </c>
      <c r="AS24" s="16">
        <f t="shared" si="8"/>
        <v>1213217.1924462679</v>
      </c>
      <c r="AU24" t="s">
        <v>256</v>
      </c>
      <c r="AV24" s="15">
        <f t="shared" si="9"/>
        <v>152.0221248</v>
      </c>
      <c r="AX24" t="str">
        <f t="shared" si="4"/>
        <v>Post-Surgery Follow-up</v>
      </c>
      <c r="AY24" s="16">
        <f t="shared" si="5"/>
        <v>892.97983050847461</v>
      </c>
    </row>
    <row r="25" spans="1:51" ht="31">
      <c r="A25" s="1" t="s">
        <v>143</v>
      </c>
      <c r="B25" s="77">
        <v>0.6</v>
      </c>
      <c r="C25" s="1" t="s">
        <v>687</v>
      </c>
      <c r="D25" s="1"/>
      <c r="E25" s="129" t="s">
        <v>1357</v>
      </c>
      <c r="F25" s="131">
        <f>'NC Credits'!$B$26</f>
        <v>7507.8976747319994</v>
      </c>
      <c r="G25" s="1"/>
      <c r="H25" s="1"/>
      <c r="I25" s="1"/>
      <c r="J25" s="1"/>
      <c r="K25" s="1"/>
      <c r="L25" s="1"/>
      <c r="M25" s="1"/>
      <c r="AA25" t="s">
        <v>483</v>
      </c>
      <c r="AB25">
        <f>MAX($B$8-AB24,0)</f>
        <v>0.36175100000000082</v>
      </c>
      <c r="AO25" t="str">
        <f t="shared" si="6"/>
        <v>Clinic Visit</v>
      </c>
      <c r="AP25" s="16">
        <f t="shared" si="7"/>
        <v>312.92188135593221</v>
      </c>
      <c r="AR25" t="s">
        <v>258</v>
      </c>
      <c r="AS25" s="16">
        <f t="shared" si="8"/>
        <v>1154415.8934861729</v>
      </c>
      <c r="AU25" t="s">
        <v>258</v>
      </c>
      <c r="AV25" s="15">
        <f t="shared" si="9"/>
        <v>170.26477977600001</v>
      </c>
    </row>
    <row r="26" spans="1:51" ht="31">
      <c r="A26" s="1" t="s">
        <v>688</v>
      </c>
      <c r="B26" s="12">
        <f>'Global Inputs'!$B$16/(1+'Global Inputs'!$B$17)-('Global Inputs'!$B$15+'Global Inputs'!$B$16)*'Global Inputs'!$B$8-'Global Inputs'!$B$18</f>
        <v>139</v>
      </c>
      <c r="C26" s="1" t="s">
        <v>689</v>
      </c>
      <c r="D26" s="1"/>
      <c r="E26" s="129" t="s">
        <v>1358</v>
      </c>
      <c r="F26" s="131">
        <f>'NC Credits'!$B$27</f>
        <v>10725.56810676</v>
      </c>
      <c r="G26" s="1"/>
      <c r="H26" s="1"/>
      <c r="I26" s="1"/>
      <c r="J26" s="1"/>
      <c r="K26" s="1"/>
      <c r="L26" s="1"/>
      <c r="M26" s="1"/>
      <c r="AO26" t="str">
        <f t="shared" si="6"/>
        <v>Diagnostic Center Visit</v>
      </c>
      <c r="AP26" s="16">
        <f t="shared" si="7"/>
        <v>262.43990536723163</v>
      </c>
      <c r="AR26" t="s">
        <v>259</v>
      </c>
      <c r="AS26" s="16">
        <f t="shared" si="8"/>
        <v>1122398.4386508665</v>
      </c>
      <c r="AU26" t="s">
        <v>259</v>
      </c>
      <c r="AV26" s="15">
        <f t="shared" si="9"/>
        <v>190.69655334912002</v>
      </c>
    </row>
    <row r="27" spans="1:51" ht="31">
      <c r="A27" s="1" t="s">
        <v>690</v>
      </c>
      <c r="B27" s="12">
        <f>'Path to Profitability'!$I$20</f>
        <v>182000</v>
      </c>
      <c r="C27" s="1" t="s">
        <v>1359</v>
      </c>
      <c r="D27" s="1"/>
      <c r="E27" s="1" t="s">
        <v>1174</v>
      </c>
      <c r="F27" s="40">
        <f>$B$36</f>
        <v>4</v>
      </c>
      <c r="G27" s="1"/>
      <c r="H27" s="1"/>
      <c r="I27" s="1"/>
      <c r="J27" s="1"/>
      <c r="K27" s="1"/>
      <c r="L27" s="1"/>
      <c r="M27" s="1"/>
      <c r="AO27" t="str">
        <f t="shared" si="6"/>
        <v>Health Check-up Concierge</v>
      </c>
      <c r="AP27" s="16">
        <f t="shared" si="7"/>
        <v>243.18634745762716</v>
      </c>
      <c r="AR27" t="s">
        <v>260</v>
      </c>
      <c r="AS27" s="16">
        <f t="shared" si="8"/>
        <v>1120378.8892353233</v>
      </c>
      <c r="AU27" t="s">
        <v>260</v>
      </c>
      <c r="AV27" s="15">
        <f t="shared" si="9"/>
        <v>213.58013975101446</v>
      </c>
      <c r="AX27" s="72" t="s">
        <v>691</v>
      </c>
      <c r="AY27" s="72" t="s">
        <v>464</v>
      </c>
    </row>
    <row r="28" spans="1:51" ht="30">
      <c r="A28" s="1" t="s">
        <v>692</v>
      </c>
      <c r="B28" s="75">
        <v>300</v>
      </c>
      <c r="C28" s="1" t="s">
        <v>693</v>
      </c>
      <c r="D28" s="1"/>
      <c r="E28" s="1"/>
      <c r="F28" s="1"/>
      <c r="G28" s="1"/>
      <c r="H28" s="1"/>
      <c r="I28" s="1"/>
      <c r="J28" s="1"/>
      <c r="K28" s="1"/>
      <c r="L28" s="1"/>
      <c r="M28" s="1"/>
      <c r="AO28" t="str">
        <f t="shared" si="6"/>
        <v>Hospital Admission Concierge</v>
      </c>
      <c r="AP28" s="16">
        <f t="shared" si="7"/>
        <v>312.49342796610171</v>
      </c>
      <c r="AR28" t="s">
        <v>261</v>
      </c>
      <c r="AS28" s="16">
        <f t="shared" si="8"/>
        <v>1151956.9938899148</v>
      </c>
      <c r="AU28" t="s">
        <v>261</v>
      </c>
      <c r="AV28" s="15">
        <f t="shared" si="9"/>
        <v>239.20975652113623</v>
      </c>
      <c r="AX28" t="s">
        <v>352</v>
      </c>
      <c r="AY28" s="15">
        <f>E107</f>
        <v>3.2273977760794001</v>
      </c>
    </row>
    <row r="29" spans="1:51" ht="15">
      <c r="A29" s="1" t="s">
        <v>694</v>
      </c>
      <c r="B29" s="75">
        <v>0</v>
      </c>
      <c r="C29" s="1" t="s">
        <v>695</v>
      </c>
      <c r="D29" s="1"/>
      <c r="E29" s="1"/>
      <c r="F29" s="1"/>
      <c r="G29" s="1"/>
      <c r="H29" s="1"/>
      <c r="I29" s="1"/>
      <c r="J29" s="1"/>
      <c r="K29" s="1"/>
      <c r="L29" s="1"/>
      <c r="M29" s="1"/>
      <c r="AO29" t="str">
        <f t="shared" si="6"/>
        <v>Hospital Discharge Concierge</v>
      </c>
      <c r="AP29" s="16">
        <f t="shared" si="7"/>
        <v>300.95652966101699</v>
      </c>
      <c r="AR29" t="s">
        <v>262</v>
      </c>
      <c r="AS29" s="16">
        <f t="shared" si="8"/>
        <v>1221164.4711030575</v>
      </c>
      <c r="AU29" t="s">
        <v>262</v>
      </c>
      <c r="AV29" s="15">
        <f t="shared" si="9"/>
        <v>267.91492730367258</v>
      </c>
      <c r="AX29" t="s">
        <v>353</v>
      </c>
      <c r="AY29" s="15">
        <f>E108</f>
        <v>5.339876320422281</v>
      </c>
    </row>
    <row r="30" spans="1:51" ht="15">
      <c r="A30" s="1" t="s">
        <v>696</v>
      </c>
      <c r="B30" s="75">
        <v>0</v>
      </c>
      <c r="C30" s="1" t="s">
        <v>695</v>
      </c>
      <c r="D30" s="1"/>
      <c r="E30" s="1"/>
      <c r="F30" s="1"/>
      <c r="G30" s="1"/>
      <c r="H30" s="1"/>
      <c r="I30" s="1"/>
      <c r="J30" s="1"/>
      <c r="K30" s="1"/>
      <c r="L30" s="1"/>
      <c r="M30" s="1"/>
      <c r="AO30" t="str">
        <f t="shared" si="6"/>
        <v>Overnight Hospital Concierge</v>
      </c>
      <c r="AP30" s="16">
        <f t="shared" si="7"/>
        <v>225.18003954802262</v>
      </c>
      <c r="AR30" t="s">
        <v>263</v>
      </c>
      <c r="AS30" s="16">
        <f t="shared" si="8"/>
        <v>1332516.8455817774</v>
      </c>
      <c r="AU30" t="s">
        <v>263</v>
      </c>
      <c r="AV30" s="15">
        <f t="shared" si="9"/>
        <v>300.06471858011332</v>
      </c>
      <c r="AX30" t="s">
        <v>697</v>
      </c>
      <c r="AY30" s="15">
        <f>E109</f>
        <v>8.2738742986762794</v>
      </c>
    </row>
    <row r="31" spans="1:51" ht="15">
      <c r="A31" s="1" t="s">
        <v>698</v>
      </c>
      <c r="B31" s="77">
        <v>0.3</v>
      </c>
      <c r="C31" s="1" t="s">
        <v>699</v>
      </c>
      <c r="D31" s="1"/>
      <c r="E31" s="1"/>
      <c r="F31" s="1"/>
      <c r="G31" s="1"/>
      <c r="H31" s="1"/>
      <c r="I31" s="1"/>
      <c r="J31" s="1"/>
      <c r="K31" s="1"/>
      <c r="L31" s="1"/>
      <c r="M31" s="1"/>
      <c r="AO31" t="str">
        <f t="shared" si="6"/>
        <v>Multi-Day Hospital Concierge (per 12h shift)</v>
      </c>
      <c r="AP31" s="16">
        <f t="shared" si="7"/>
        <v>225.18003954802262</v>
      </c>
      <c r="AR31" t="s">
        <v>264</v>
      </c>
      <c r="AS31" s="16">
        <f t="shared" si="8"/>
        <v>1491071.5049979435</v>
      </c>
      <c r="AU31" t="s">
        <v>264</v>
      </c>
      <c r="AV31" s="15">
        <f t="shared" si="9"/>
        <v>336.07248480972697</v>
      </c>
    </row>
    <row r="32" spans="1:51" ht="15">
      <c r="A32" s="1" t="s">
        <v>538</v>
      </c>
      <c r="B32" s="75">
        <v>1000000</v>
      </c>
      <c r="C32" s="1" t="s">
        <v>700</v>
      </c>
      <c r="D32" s="1"/>
      <c r="E32" s="1"/>
      <c r="F32" s="1"/>
      <c r="G32" s="1"/>
      <c r="H32" s="1"/>
      <c r="I32" s="1"/>
      <c r="J32" s="1"/>
      <c r="K32" s="1"/>
      <c r="L32" s="1"/>
      <c r="M32" s="1"/>
      <c r="AO32" t="str">
        <f t="shared" si="6"/>
        <v>Day Surgery / Procedure Concierge</v>
      </c>
      <c r="AP32" s="16">
        <f t="shared" si="7"/>
        <v>303.44065819209044</v>
      </c>
      <c r="AR32" t="s">
        <v>265</v>
      </c>
      <c r="AS32" s="16">
        <f t="shared" si="8"/>
        <v>1702492.7235440498</v>
      </c>
      <c r="AU32" t="s">
        <v>265</v>
      </c>
      <c r="AV32" s="15">
        <f t="shared" si="9"/>
        <v>376.40118298689424</v>
      </c>
    </row>
    <row r="33" spans="1:48" ht="15">
      <c r="A33" s="1" t="s">
        <v>701</v>
      </c>
      <c r="B33" s="75">
        <v>500000</v>
      </c>
      <c r="C33" s="1" t="s">
        <v>700</v>
      </c>
      <c r="D33" s="1"/>
      <c r="E33" s="1"/>
      <c r="F33" s="1"/>
      <c r="G33" s="1"/>
      <c r="H33" s="1"/>
      <c r="I33" s="1"/>
      <c r="J33" s="1"/>
      <c r="K33" s="1"/>
      <c r="L33" s="1"/>
      <c r="M33" s="1"/>
      <c r="AO33" t="str">
        <f t="shared" si="6"/>
        <v>Pre-Surgery Concierge</v>
      </c>
      <c r="AP33" s="16">
        <f t="shared" si="7"/>
        <v>300.95652966101699</v>
      </c>
      <c r="AR33" t="s">
        <v>266</v>
      </c>
      <c r="AS33" s="16">
        <f t="shared" si="8"/>
        <v>1957918.1142292372</v>
      </c>
      <c r="AU33" t="s">
        <v>266</v>
      </c>
      <c r="AV33" s="15">
        <f t="shared" si="9"/>
        <v>421.56932494532157</v>
      </c>
    </row>
    <row r="34" spans="1:48" ht="15">
      <c r="A34" s="1" t="s">
        <v>702</v>
      </c>
      <c r="B34" s="75">
        <v>200000</v>
      </c>
      <c r="C34" s="1" t="s">
        <v>700</v>
      </c>
      <c r="D34" s="1"/>
      <c r="E34" s="1"/>
      <c r="F34" s="1"/>
      <c r="G34" s="1"/>
      <c r="H34" s="1"/>
      <c r="I34" s="1"/>
      <c r="J34" s="1"/>
      <c r="K34" s="1"/>
      <c r="L34" s="1"/>
      <c r="M34" s="1"/>
      <c r="AO34" t="str">
        <f t="shared" si="6"/>
        <v>Post-Surgery Follow-up</v>
      </c>
      <c r="AP34" s="16">
        <f t="shared" si="7"/>
        <v>297.65994350282489</v>
      </c>
      <c r="AR34" t="s">
        <v>267</v>
      </c>
      <c r="AS34" s="16">
        <f t="shared" si="8"/>
        <v>2243994.5517966473</v>
      </c>
      <c r="AU34" t="s">
        <v>267</v>
      </c>
      <c r="AV34" s="15">
        <f t="shared" si="9"/>
        <v>472.1576439387602</v>
      </c>
    </row>
    <row r="35" spans="1:48" ht="15">
      <c r="A35" s="1" t="s">
        <v>547</v>
      </c>
      <c r="B35" s="77">
        <v>0.12</v>
      </c>
      <c r="C35" s="1" t="s">
        <v>703</v>
      </c>
      <c r="D35" s="1"/>
      <c r="E35" s="1"/>
      <c r="F35" s="1"/>
      <c r="G35" s="1"/>
      <c r="H35" s="1"/>
      <c r="I35" s="1"/>
      <c r="J35" s="1"/>
      <c r="K35" s="1"/>
      <c r="L35" s="1"/>
      <c r="M35" s="1"/>
    </row>
    <row r="36" spans="1:48" ht="45">
      <c r="A36" s="1" t="s">
        <v>1174</v>
      </c>
      <c r="B36" s="163">
        <f>'MVP1 Pricing &amp; SKU'!$B$6</f>
        <v>4</v>
      </c>
      <c r="C36" s="1" t="s">
        <v>1360</v>
      </c>
      <c r="D36" s="1"/>
      <c r="E36" s="1"/>
      <c r="F36" s="1"/>
      <c r="G36" s="1"/>
      <c r="H36" s="1"/>
      <c r="I36" s="1"/>
      <c r="J36" s="1"/>
      <c r="K36" s="1"/>
      <c r="L36" s="1"/>
      <c r="M36" s="1"/>
    </row>
    <row r="37" spans="1:48">
      <c r="A37" s="1"/>
      <c r="B37" s="1"/>
      <c r="C37" s="1"/>
      <c r="D37" s="1"/>
      <c r="E37" s="1"/>
      <c r="F37" s="1"/>
      <c r="G37" s="1"/>
      <c r="H37" s="1"/>
      <c r="I37" s="1"/>
      <c r="J37" s="1"/>
      <c r="K37" s="1"/>
      <c r="L37" s="1"/>
      <c r="M37" s="1"/>
    </row>
    <row r="38" spans="1:48" ht="42.75" customHeight="1">
      <c r="A38" s="461" t="s">
        <v>1361</v>
      </c>
      <c r="B38" s="461"/>
      <c r="C38" s="461"/>
      <c r="D38" s="461"/>
      <c r="E38" s="461"/>
      <c r="F38" s="461"/>
      <c r="G38" s="461"/>
      <c r="H38" s="461"/>
      <c r="I38" s="461"/>
      <c r="J38" s="461"/>
      <c r="K38" s="461"/>
      <c r="L38" s="461"/>
      <c r="M38" s="461"/>
    </row>
    <row r="39" spans="1:48" ht="32">
      <c r="A39" s="73" t="s">
        <v>704</v>
      </c>
      <c r="B39" s="73" t="s">
        <v>705</v>
      </c>
      <c r="C39" s="73" t="s">
        <v>706</v>
      </c>
      <c r="D39" s="73" t="s">
        <v>49</v>
      </c>
      <c r="E39" s="73" t="s">
        <v>707</v>
      </c>
      <c r="F39" s="73" t="s">
        <v>708</v>
      </c>
      <c r="G39" s="73" t="s">
        <v>1362</v>
      </c>
      <c r="H39" s="73" t="s">
        <v>709</v>
      </c>
      <c r="I39" s="1"/>
      <c r="J39" s="73" t="s">
        <v>710</v>
      </c>
      <c r="K39" s="73" t="s">
        <v>633</v>
      </c>
      <c r="L39" s="1"/>
      <c r="M39" s="1"/>
    </row>
    <row r="40" spans="1:48" ht="15">
      <c r="A40" s="57">
        <v>2</v>
      </c>
      <c r="B40" s="13">
        <f t="shared" ref="B40:B48" si="10">$B$17+MAX(A40,$B$18)*$B$16+$B$20</f>
        <v>797</v>
      </c>
      <c r="C40" s="13">
        <f t="shared" ref="C40:C48" si="11">B40/(1+$B$23)</f>
        <v>675.42372881355936</v>
      </c>
      <c r="D40" s="13">
        <f t="shared" ref="D40:D48" si="12">A40*$B$21</f>
        <v>0</v>
      </c>
      <c r="E40" s="13">
        <v>84.394999999999996</v>
      </c>
      <c r="F40" s="13">
        <f t="shared" ref="F40:F48" si="13">C40-D40-E40+$B$25*$B$26</f>
        <v>674.42872881355936</v>
      </c>
      <c r="G40" s="14">
        <v>0.88180936783927177</v>
      </c>
      <c r="H40" s="13">
        <f t="shared" ref="H40:H48" si="14">IF(A40=0,0,F40/A40)</f>
        <v>337.21436440677968</v>
      </c>
      <c r="I40" s="1"/>
      <c r="J40" s="1" t="s">
        <v>711</v>
      </c>
      <c r="K40" s="13">
        <f>$B$21+$B$22+($B$17+$B$16)*$B$24+(($B$17+$B$16)/(1+$B$23))*'NC Credits'!$B$15</f>
        <v>73.930000000000007</v>
      </c>
      <c r="L40" s="1"/>
      <c r="M40" s="1"/>
    </row>
    <row r="41" spans="1:48" ht="30">
      <c r="A41" s="57">
        <v>3</v>
      </c>
      <c r="B41" s="13">
        <f t="shared" si="10"/>
        <v>1096</v>
      </c>
      <c r="C41" s="13">
        <f t="shared" si="11"/>
        <v>928.81355932203394</v>
      </c>
      <c r="D41" s="13">
        <f t="shared" si="12"/>
        <v>0</v>
      </c>
      <c r="E41" s="13">
        <v>94.86</v>
      </c>
      <c r="F41" s="13">
        <f t="shared" si="13"/>
        <v>917.3535593220339</v>
      </c>
      <c r="G41" s="14">
        <v>0.90094415942844397</v>
      </c>
      <c r="H41" s="13">
        <f t="shared" si="14"/>
        <v>305.7845197740113</v>
      </c>
      <c r="I41" s="1"/>
      <c r="J41" s="1" t="s">
        <v>712</v>
      </c>
      <c r="K41" s="13">
        <f>$B$21+$B$19*$B$24+($B$19/(1+$B$23))*'NC Credits'!$B$15</f>
        <v>9.4149999999999991</v>
      </c>
      <c r="L41" s="1"/>
      <c r="M41" s="1"/>
    </row>
    <row r="42" spans="1:48" ht="45">
      <c r="A42" s="57">
        <v>4</v>
      </c>
      <c r="B42" s="13">
        <f t="shared" si="10"/>
        <v>1395</v>
      </c>
      <c r="C42" s="13">
        <f t="shared" si="11"/>
        <v>1182.2033898305085</v>
      </c>
      <c r="D42" s="13">
        <f t="shared" si="12"/>
        <v>0</v>
      </c>
      <c r="E42" s="13">
        <v>105.32499999999999</v>
      </c>
      <c r="F42" s="13">
        <f t="shared" si="13"/>
        <v>1160.2783898305086</v>
      </c>
      <c r="G42" s="14">
        <v>0.91245304873334876</v>
      </c>
      <c r="H42" s="13">
        <f t="shared" si="14"/>
        <v>290.06959745762714</v>
      </c>
      <c r="I42" s="1"/>
      <c r="J42" s="1" t="s">
        <v>713</v>
      </c>
      <c r="K42" s="13">
        <f>IF($B$11=0,0,($B$11*$B$21+$B$22+$AB$5*$B$24+$AB$6*'NC Credits'!$B$15)/$B$11)</f>
        <v>24.202012987012985</v>
      </c>
      <c r="L42" s="1"/>
      <c r="M42" s="1"/>
    </row>
    <row r="43" spans="1:48" ht="45">
      <c r="A43" s="57">
        <v>5</v>
      </c>
      <c r="B43" s="13">
        <f t="shared" si="10"/>
        <v>1694</v>
      </c>
      <c r="C43" s="13">
        <f t="shared" si="11"/>
        <v>1435.5932203389832</v>
      </c>
      <c r="D43" s="13">
        <f t="shared" si="12"/>
        <v>0</v>
      </c>
      <c r="E43" s="13">
        <v>115.78999999999999</v>
      </c>
      <c r="F43" s="13">
        <f t="shared" si="13"/>
        <v>1403.2032203389833</v>
      </c>
      <c r="G43" s="14">
        <v>0.92013734987429785</v>
      </c>
      <c r="H43" s="13">
        <f t="shared" si="14"/>
        <v>280.64064406779664</v>
      </c>
      <c r="I43" s="1"/>
      <c r="J43" s="1" t="s">
        <v>714</v>
      </c>
      <c r="K43" s="13">
        <f>IF($B$11=0,0,(($B$11*$B$21+$B$22+$AB$5*$B$24+$AB$6*'NC Credits'!$B$15)-$B$17*(1/(1+$B$23)-$B$24-'NC Credits'!$B$15/(1+$B$23)))/((1/(1+$B$23)-$B$24-'NC Credits'!$B$15/(1+$B$23))*$B$11))</f>
        <v>-13.284946651693291</v>
      </c>
      <c r="L43" s="1"/>
      <c r="M43" s="1"/>
    </row>
    <row r="44" spans="1:48" ht="30">
      <c r="A44" s="57">
        <v>6</v>
      </c>
      <c r="B44" s="13">
        <f t="shared" si="10"/>
        <v>1993</v>
      </c>
      <c r="C44" s="13">
        <f t="shared" si="11"/>
        <v>1688.9830508474577</v>
      </c>
      <c r="D44" s="13">
        <f t="shared" si="12"/>
        <v>0</v>
      </c>
      <c r="E44" s="13">
        <v>126.255</v>
      </c>
      <c r="F44" s="13">
        <f t="shared" si="13"/>
        <v>1646.1280508474579</v>
      </c>
      <c r="G44" s="14">
        <v>0.92563188232311588</v>
      </c>
      <c r="H44" s="13">
        <f t="shared" si="14"/>
        <v>274.35467514124298</v>
      </c>
      <c r="I44" s="1"/>
      <c r="J44" s="1" t="s">
        <v>715</v>
      </c>
      <c r="K44" s="75">
        <v>150</v>
      </c>
      <c r="L44" s="1"/>
      <c r="M44" s="1"/>
    </row>
    <row r="45" spans="1:48" ht="30">
      <c r="A45" s="57">
        <v>7</v>
      </c>
      <c r="B45" s="13">
        <f t="shared" si="10"/>
        <v>2292</v>
      </c>
      <c r="C45" s="13">
        <f t="shared" si="11"/>
        <v>1942.3728813559323</v>
      </c>
      <c r="D45" s="13">
        <f t="shared" si="12"/>
        <v>0</v>
      </c>
      <c r="E45" s="13">
        <v>136.72</v>
      </c>
      <c r="F45" s="13">
        <f t="shared" si="13"/>
        <v>1889.0528813559324</v>
      </c>
      <c r="G45" s="14">
        <v>0.92975592827838427</v>
      </c>
      <c r="H45" s="13">
        <f t="shared" si="14"/>
        <v>269.86469733656179</v>
      </c>
      <c r="I45" s="1"/>
      <c r="J45" s="1" t="s">
        <v>716</v>
      </c>
      <c r="K45" s="13">
        <f>IF($B$11=0,0,(($B$11*$B$21+$B$22+$K$44*$B$11-$B$25*$B$26)-$B$17*(1/(1+$B$23)-$B$24-'NC Credits'!$B$15/(1+$B$23)))/((1/(1+$B$23)-$B$24-'NC Credits'!$B$15/(1+$B$23))*$B$11))</f>
        <v>134.38487905474449</v>
      </c>
      <c r="L45" s="1"/>
      <c r="M45" s="1"/>
    </row>
    <row r="46" spans="1:48" ht="30">
      <c r="A46" s="57">
        <v>8</v>
      </c>
      <c r="B46" s="13">
        <f t="shared" si="10"/>
        <v>2591</v>
      </c>
      <c r="C46" s="13">
        <f t="shared" si="11"/>
        <v>2195.7627118644068</v>
      </c>
      <c r="D46" s="13">
        <f t="shared" si="12"/>
        <v>0</v>
      </c>
      <c r="E46" s="13">
        <v>147.185</v>
      </c>
      <c r="F46" s="13">
        <f t="shared" si="13"/>
        <v>2131.977711864407</v>
      </c>
      <c r="G46" s="14">
        <v>0.93296538613873137</v>
      </c>
      <c r="H46" s="13">
        <f t="shared" si="14"/>
        <v>266.49721398305087</v>
      </c>
      <c r="I46" s="1"/>
      <c r="J46" s="1" t="s">
        <v>717</v>
      </c>
      <c r="K46" s="46" t="str">
        <f>IFERROR(INDEX($A$40:$A$48,MATCH(TRUE,$F$40:$F$48&gt;0,0)),"&gt;12 hrs")</f>
        <v>&gt;12 hrs</v>
      </c>
      <c r="L46" s="1"/>
      <c r="M46" s="1"/>
    </row>
    <row r="47" spans="1:48">
      <c r="A47" s="57">
        <v>10</v>
      </c>
      <c r="B47" s="13">
        <f t="shared" si="10"/>
        <v>3189</v>
      </c>
      <c r="C47" s="13">
        <f t="shared" si="11"/>
        <v>2702.5423728813562</v>
      </c>
      <c r="D47" s="13">
        <f t="shared" si="12"/>
        <v>0</v>
      </c>
      <c r="E47" s="13">
        <v>168.11500000000001</v>
      </c>
      <c r="F47" s="13">
        <f t="shared" si="13"/>
        <v>2617.827372881356</v>
      </c>
      <c r="G47" s="14">
        <v>0.93763660679704175</v>
      </c>
      <c r="H47" s="13">
        <f t="shared" si="14"/>
        <v>261.78273728813559</v>
      </c>
      <c r="I47" s="1"/>
      <c r="J47" s="1"/>
      <c r="K47" s="1"/>
      <c r="L47" s="1"/>
      <c r="M47" s="1"/>
    </row>
    <row r="48" spans="1:48">
      <c r="A48" s="57">
        <v>12</v>
      </c>
      <c r="B48" s="13">
        <f t="shared" si="10"/>
        <v>3787</v>
      </c>
      <c r="C48" s="13">
        <f t="shared" si="11"/>
        <v>3209.3220338983051</v>
      </c>
      <c r="D48" s="13">
        <f t="shared" si="12"/>
        <v>0</v>
      </c>
      <c r="E48" s="13">
        <v>189.04499999999999</v>
      </c>
      <c r="F48" s="13">
        <f t="shared" si="13"/>
        <v>3103.6770338983051</v>
      </c>
      <c r="G48" s="14">
        <v>0.94087255670660341</v>
      </c>
      <c r="H48" s="13">
        <f t="shared" si="14"/>
        <v>258.63975282485876</v>
      </c>
      <c r="I48" s="1"/>
      <c r="J48" s="1"/>
      <c r="K48" s="1"/>
      <c r="L48" s="1"/>
      <c r="M48" s="1"/>
    </row>
    <row r="49" spans="1:13">
      <c r="A49" s="1"/>
      <c r="B49" s="1"/>
      <c r="C49" s="1"/>
      <c r="D49" s="1"/>
      <c r="E49" s="1"/>
      <c r="F49" s="1"/>
      <c r="G49" s="1"/>
      <c r="H49" s="1"/>
      <c r="I49" s="1"/>
      <c r="J49" s="1"/>
      <c r="K49" s="1"/>
      <c r="L49" s="1"/>
      <c r="M49" s="1"/>
    </row>
    <row r="50" spans="1:13">
      <c r="A50" s="1"/>
      <c r="B50" s="1"/>
      <c r="C50" s="1"/>
      <c r="D50" s="1"/>
      <c r="E50" s="1"/>
      <c r="F50" s="1"/>
      <c r="G50" s="1"/>
      <c r="H50" s="1"/>
      <c r="I50" s="1"/>
      <c r="J50" s="1"/>
      <c r="K50" s="1"/>
      <c r="L50" s="1"/>
      <c r="M50" s="1"/>
    </row>
    <row r="51" spans="1:13" ht="42.75" customHeight="1">
      <c r="A51" s="461" t="s">
        <v>1363</v>
      </c>
      <c r="B51" s="461"/>
      <c r="C51" s="461"/>
      <c r="D51" s="461"/>
      <c r="E51" s="461"/>
      <c r="F51" s="461"/>
      <c r="G51" s="461"/>
      <c r="H51" s="461"/>
      <c r="I51" s="461"/>
      <c r="J51" s="461"/>
      <c r="K51" s="461"/>
      <c r="L51" s="461"/>
      <c r="M51" s="461"/>
    </row>
    <row r="52" spans="1:13" ht="32">
      <c r="A52" s="160" t="s">
        <v>1364</v>
      </c>
      <c r="B52" s="160" t="s">
        <v>1179</v>
      </c>
      <c r="C52" s="160" t="s">
        <v>1365</v>
      </c>
      <c r="D52" s="160" t="s">
        <v>941</v>
      </c>
      <c r="E52" s="160" t="s">
        <v>1366</v>
      </c>
      <c r="F52" s="160" t="s">
        <v>1367</v>
      </c>
      <c r="G52" s="160" t="s">
        <v>435</v>
      </c>
      <c r="H52" s="160" t="s">
        <v>280</v>
      </c>
      <c r="I52" s="160" t="s">
        <v>463</v>
      </c>
      <c r="J52" s="160" t="s">
        <v>600</v>
      </c>
      <c r="K52" s="160" t="s">
        <v>1368</v>
      </c>
      <c r="L52" s="160" t="s">
        <v>1369</v>
      </c>
      <c r="M52" s="160" t="s">
        <v>633</v>
      </c>
    </row>
    <row r="53" spans="1:13" ht="15">
      <c r="A53" s="1" t="s">
        <v>1370</v>
      </c>
      <c r="B53" s="164">
        <v>249</v>
      </c>
      <c r="C53" s="164">
        <v>249</v>
      </c>
      <c r="D53" s="164">
        <f t="shared" ref="D53:D59" si="15">C53+$B$18*B53+MAX($B$11-$B$18,0)*B53+$B$20</f>
        <v>1399.38</v>
      </c>
      <c r="E53" s="165">
        <v>1163.8369542372884</v>
      </c>
      <c r="F53" s="166">
        <f t="shared" ref="F53:F59" si="16">$D53+MAX($B$11,$B$18)*$B53+$B$20</f>
        <v>2549.7600000000002</v>
      </c>
      <c r="G53" s="166">
        <v>2098.4719593220339</v>
      </c>
      <c r="H53" s="166">
        <f t="shared" ref="H53:H59" si="17">IF($B$11=0,0,G53/$B$11)</f>
        <v>454.21470980996401</v>
      </c>
      <c r="I53" s="168">
        <f t="shared" ref="I53:I59" si="18">IF(G53&lt;=0,0,$B$27/G53)</f>
        <v>86.729774582644339</v>
      </c>
      <c r="J53" s="168">
        <f t="shared" ref="J53:J59" si="19">IF($B$7=0,0,I53/$B$7)</f>
        <v>3.335760560870936</v>
      </c>
      <c r="K53" s="167">
        <f>MIN($B$6*$B$7*E53*$B$14*(1-$B$12)*(1-$B$13),$B$8*$B$7*$B$9*$B$10/$B$11)*G53-$B$27</f>
        <v>125049.14383153571</v>
      </c>
      <c r="L53" s="1" t="s">
        <v>1371</v>
      </c>
      <c r="M53" s="167">
        <f>$B$16</f>
        <v>299</v>
      </c>
    </row>
    <row r="54" spans="1:13" ht="30">
      <c r="A54" s="1" t="s">
        <v>1372</v>
      </c>
      <c r="B54" s="164">
        <v>299</v>
      </c>
      <c r="C54" s="164">
        <v>299</v>
      </c>
      <c r="D54" s="164">
        <f t="shared" si="15"/>
        <v>1680.38</v>
      </c>
      <c r="E54" s="165">
        <v>0.45</v>
      </c>
      <c r="F54" s="166">
        <f t="shared" si="16"/>
        <v>3061.76</v>
      </c>
      <c r="G54" s="166">
        <v>1310.8917847457628</v>
      </c>
      <c r="H54" s="166">
        <f t="shared" si="17"/>
        <v>283.74281055103091</v>
      </c>
      <c r="I54" s="168">
        <f t="shared" si="18"/>
        <v>138.8367843309793</v>
      </c>
      <c r="J54" s="168">
        <f t="shared" si="19"/>
        <v>5.339876320422281</v>
      </c>
      <c r="K54" s="167">
        <f>MIN($B$6*$B$7*E54*$B$14*(1-$B$12)*(1-$B$13),$B$8*$B$7*$B$9*$B$10/$B$11)*G54-$B$27</f>
        <v>-4067.362053647259</v>
      </c>
      <c r="L54" s="1" t="s">
        <v>1373</v>
      </c>
      <c r="M54" s="167">
        <f>$B$16</f>
        <v>299</v>
      </c>
    </row>
    <row r="55" spans="1:13" ht="15">
      <c r="A55" s="1" t="s">
        <v>1374</v>
      </c>
      <c r="B55" s="164">
        <v>349</v>
      </c>
      <c r="C55" s="164">
        <v>349</v>
      </c>
      <c r="D55" s="164">
        <f t="shared" si="15"/>
        <v>1961.38</v>
      </c>
      <c r="E55" s="165">
        <v>0.4</v>
      </c>
      <c r="F55" s="166">
        <f t="shared" si="16"/>
        <v>3573.76</v>
      </c>
      <c r="G55" s="166">
        <v>1498.5694966101696</v>
      </c>
      <c r="H55" s="166">
        <f t="shared" si="17"/>
        <v>324.36569190696309</v>
      </c>
      <c r="I55" s="168">
        <f t="shared" si="18"/>
        <v>121.44915561920354</v>
      </c>
      <c r="J55" s="168">
        <f t="shared" si="19"/>
        <v>4.6711213699693666</v>
      </c>
      <c r="K55" s="167">
        <f>MIN($B$6*$B$7*E55*$B$14*(1-$B$12)*(1-$B$13),$B$8*$B$7*$B$9*$B$10/$B$11)*G55-$B$27</f>
        <v>-1193.8737816314388</v>
      </c>
      <c r="L55" s="1" t="s">
        <v>1375</v>
      </c>
      <c r="M55" s="167">
        <f>$B$17</f>
        <v>199</v>
      </c>
    </row>
    <row r="56" spans="1:13" ht="15">
      <c r="A56" s="1" t="s">
        <v>1376</v>
      </c>
      <c r="B56" s="164">
        <v>399</v>
      </c>
      <c r="C56" s="164">
        <v>399</v>
      </c>
      <c r="D56" s="164">
        <f t="shared" si="15"/>
        <v>2242.38</v>
      </c>
      <c r="E56" s="165">
        <v>0.37</v>
      </c>
      <c r="F56" s="166">
        <f t="shared" si="16"/>
        <v>4085.76</v>
      </c>
      <c r="G56" s="166">
        <v>1686.2472084745764</v>
      </c>
      <c r="H56" s="166">
        <f t="shared" si="17"/>
        <v>364.98857326289533</v>
      </c>
      <c r="I56" s="168">
        <f t="shared" si="18"/>
        <v>107.93198001178131</v>
      </c>
      <c r="J56" s="168">
        <f t="shared" si="19"/>
        <v>4.1512300004531273</v>
      </c>
      <c r="K56" s="167">
        <f>MIN($B$6*$B$7*E56*$B$14*(1-$B$12)*(1-$B$13),$B$8*$B$7*$B$9*$B$10/$B$11)*G56-$B$27</f>
        <v>6191.1645258695935</v>
      </c>
      <c r="L56" s="1" t="s">
        <v>1174</v>
      </c>
      <c r="M56" s="167">
        <f>$B$36</f>
        <v>4</v>
      </c>
    </row>
    <row r="57" spans="1:13" ht="15">
      <c r="A57" s="1" t="s">
        <v>1377</v>
      </c>
      <c r="B57" s="164">
        <v>449</v>
      </c>
      <c r="C57" s="164">
        <v>449</v>
      </c>
      <c r="D57" s="164">
        <f t="shared" si="15"/>
        <v>2523.38</v>
      </c>
      <c r="E57" s="165">
        <v>0.35</v>
      </c>
      <c r="F57" s="166">
        <f t="shared" si="16"/>
        <v>4597.76</v>
      </c>
      <c r="G57" s="166">
        <v>1873.9249203389834</v>
      </c>
      <c r="H57" s="166">
        <f t="shared" si="17"/>
        <v>405.61145461882757</v>
      </c>
      <c r="I57" s="168">
        <f t="shared" si="18"/>
        <v>97.122354276113228</v>
      </c>
      <c r="J57" s="168">
        <f t="shared" si="19"/>
        <v>3.7354751644658934</v>
      </c>
      <c r="K57" s="167">
        <f>MIN($B$6*$B$7*E57*$B$14*(1-$B$12)*(1-$B$13),$B$8*$B$7*$B$9*$B$10/$B$11)*G57-$B$27</f>
        <v>15831.977851113188</v>
      </c>
      <c r="L57" s="1" t="s">
        <v>367</v>
      </c>
      <c r="M57" s="167">
        <f>$AB$11</f>
        <v>1310.8917847457628</v>
      </c>
    </row>
    <row r="58" spans="1:13" ht="15">
      <c r="A58" s="1"/>
      <c r="B58" s="50"/>
      <c r="C58" s="50"/>
      <c r="D58" s="13">
        <f t="shared" si="15"/>
        <v>0</v>
      </c>
      <c r="E58" s="13"/>
      <c r="F58" s="13">
        <f t="shared" si="16"/>
        <v>0</v>
      </c>
      <c r="G58" s="46"/>
      <c r="H58" s="46">
        <f t="shared" si="17"/>
        <v>0</v>
      </c>
      <c r="I58" s="14">
        <f t="shared" si="18"/>
        <v>0</v>
      </c>
      <c r="J58" s="13">
        <f t="shared" si="19"/>
        <v>0</v>
      </c>
      <c r="K58" s="1"/>
      <c r="L58" s="1"/>
      <c r="M58" s="167"/>
    </row>
    <row r="59" spans="1:13" ht="15">
      <c r="A59" s="1"/>
      <c r="B59" s="50"/>
      <c r="C59" s="50"/>
      <c r="D59" s="13">
        <f t="shared" si="15"/>
        <v>0</v>
      </c>
      <c r="E59" s="13"/>
      <c r="F59" s="13">
        <f t="shared" si="16"/>
        <v>0</v>
      </c>
      <c r="G59" s="46"/>
      <c r="H59" s="46">
        <f t="shared" si="17"/>
        <v>0</v>
      </c>
      <c r="I59" s="14">
        <f t="shared" si="18"/>
        <v>0</v>
      </c>
      <c r="J59" s="13">
        <f t="shared" si="19"/>
        <v>0</v>
      </c>
      <c r="K59" s="1"/>
      <c r="L59" s="1"/>
      <c r="M59" s="167"/>
    </row>
    <row r="60" spans="1:13">
      <c r="A60" s="1"/>
      <c r="B60" s="1"/>
      <c r="C60" s="1"/>
      <c r="D60" s="1"/>
      <c r="E60" s="1"/>
      <c r="F60" s="1"/>
      <c r="G60" s="1"/>
      <c r="H60" s="1"/>
      <c r="I60" s="1"/>
      <c r="J60" s="1"/>
      <c r="K60" s="1"/>
      <c r="L60" s="1"/>
      <c r="M60" s="1"/>
    </row>
    <row r="61" spans="1:13">
      <c r="A61" s="1"/>
      <c r="B61" s="1"/>
      <c r="C61" s="1"/>
      <c r="D61" s="1"/>
      <c r="E61" s="1"/>
      <c r="F61" s="1"/>
      <c r="G61" s="1"/>
      <c r="H61" s="1"/>
      <c r="I61" s="1"/>
      <c r="J61" s="1"/>
      <c r="K61" s="1"/>
      <c r="L61" s="1"/>
      <c r="M61" s="1"/>
    </row>
    <row r="62" spans="1:13" ht="42.75" customHeight="1">
      <c r="A62" s="461" t="s">
        <v>1378</v>
      </c>
      <c r="B62" s="461"/>
      <c r="C62" s="461"/>
      <c r="D62" s="461"/>
      <c r="E62" s="461"/>
      <c r="F62" s="461"/>
      <c r="G62" s="461"/>
      <c r="H62" s="461"/>
      <c r="I62" s="461"/>
      <c r="J62" s="461"/>
      <c r="K62" s="461"/>
      <c r="L62" s="461"/>
      <c r="M62" s="461"/>
    </row>
    <row r="63" spans="1:13" ht="32">
      <c r="A63" s="73" t="s">
        <v>940</v>
      </c>
      <c r="B63" s="73" t="s">
        <v>1366</v>
      </c>
      <c r="C63" s="73" t="s">
        <v>1379</v>
      </c>
      <c r="D63" s="73" t="s">
        <v>745</v>
      </c>
      <c r="E63" s="73" t="s">
        <v>211</v>
      </c>
      <c r="F63" s="73" t="s">
        <v>435</v>
      </c>
      <c r="G63" s="73" t="s">
        <v>494</v>
      </c>
      <c r="H63" s="73" t="s">
        <v>239</v>
      </c>
      <c r="I63" s="73" t="s">
        <v>1380</v>
      </c>
      <c r="J63" s="1"/>
      <c r="K63" s="73" t="s">
        <v>718</v>
      </c>
      <c r="L63" s="73" t="s">
        <v>633</v>
      </c>
      <c r="M63" s="73" t="s">
        <v>719</v>
      </c>
    </row>
    <row r="64" spans="1:13" ht="30">
      <c r="A64" s="50">
        <v>249</v>
      </c>
      <c r="B64" s="77">
        <v>0.5</v>
      </c>
      <c r="C64" s="46">
        <f>$B$6*$B$7*B64*$B$14*(1-$B$12)*(1-$B$13)</f>
        <v>150.81560000000002</v>
      </c>
      <c r="D64" s="46">
        <f>$AB$15</f>
        <v>146.32034632034632</v>
      </c>
      <c r="E64" s="46">
        <f>MIN(C64,D64)</f>
        <v>146.32034632034632</v>
      </c>
      <c r="F64" s="13">
        <f>($B$17+MAX($B$11,$B$18)*A64+$B$20)/(1+$B$23)-$B$11*$B$21-($B$22+($B$17+MAX($B$11,$B$18)*A64+$B$20)*$B$24+(($B$17+MAX($B$11,$B$18)*A64+$B$20)/(1+$B$23))*'NC Credits'!$B$15)+$B$25*$B$26</f>
        <v>1123.2140728813563</v>
      </c>
      <c r="G64" s="13">
        <f>E64*F64</f>
        <v>164349.07213588676</v>
      </c>
      <c r="H64" s="13">
        <f>G64-$B$27</f>
        <v>-17650.927864113241</v>
      </c>
      <c r="I64" s="42">
        <f>RANK(H64,$H$64:$H$68,0)</f>
        <v>5</v>
      </c>
      <c r="J64" s="1"/>
      <c r="K64" s="1" t="s">
        <v>1381</v>
      </c>
      <c r="L64" s="50">
        <f>$B$16</f>
        <v>299</v>
      </c>
      <c r="M64" s="1"/>
    </row>
    <row r="65" spans="1:13" ht="30">
      <c r="A65" s="50">
        <v>299</v>
      </c>
      <c r="B65" s="77">
        <v>0.45</v>
      </c>
      <c r="C65" s="46">
        <f>$B$6*$B$7*B65*$B$14*(1-$B$12)*(1-$B$13)</f>
        <v>135.73403999999999</v>
      </c>
      <c r="D65" s="46">
        <f>$AB$15</f>
        <v>146.32034632034632</v>
      </c>
      <c r="E65" s="46">
        <f>MIN(C65,D65)</f>
        <v>135.73403999999999</v>
      </c>
      <c r="F65" s="13">
        <f>($B$17+MAX($B$11,$B$18)*A65+$B$20)/(1+$B$23)-$B$11*$B$21-($B$22+($B$17+MAX($B$11,$B$18)*A65+$B$20)*$B$24+(($B$17+MAX($B$11,$B$18)*A65+$B$20)/(1+$B$23))*'NC Credits'!$B$15)+$B$25*$B$26</f>
        <v>1310.8917847457628</v>
      </c>
      <c r="G65" s="13">
        <f>E65*F65</f>
        <v>177932.63794635274</v>
      </c>
      <c r="H65" s="13">
        <f>G65-$B$27</f>
        <v>-4067.362053647259</v>
      </c>
      <c r="I65" s="42">
        <f>RANK(H65,$H$64:$H$68,0)</f>
        <v>4</v>
      </c>
      <c r="J65" s="1"/>
      <c r="K65" s="1" t="s">
        <v>1382</v>
      </c>
      <c r="L65" s="50">
        <f>$B$16</f>
        <v>299</v>
      </c>
      <c r="M65" s="1"/>
    </row>
    <row r="66" spans="1:13" ht="15">
      <c r="A66" s="50">
        <v>349</v>
      </c>
      <c r="B66" s="77">
        <v>0.4</v>
      </c>
      <c r="C66" s="46">
        <f>$B$6*$B$7*B66*$B$14*(1-$B$12)*(1-$B$13)</f>
        <v>120.65248000000001</v>
      </c>
      <c r="D66" s="46">
        <f>$AB$15</f>
        <v>146.32034632034632</v>
      </c>
      <c r="E66" s="46">
        <f>MIN(C66,D66)</f>
        <v>120.65248000000001</v>
      </c>
      <c r="F66" s="13">
        <f>($B$17+MAX($B$11,$B$18)*A66+$B$20)/(1+$B$23)-$B$11*$B$21-($B$22+($B$17+MAX($B$11,$B$18)*A66+$B$20)*$B$24+(($B$17+MAX($B$11,$B$18)*A66+$B$20)/(1+$B$23))*'NC Credits'!$B$15)+$B$25*$B$26</f>
        <v>1498.5694966101696</v>
      </c>
      <c r="G66" s="13">
        <f>E66*F66</f>
        <v>180806.12621836856</v>
      </c>
      <c r="H66" s="13">
        <f>G66-$B$27</f>
        <v>-1193.8737816314388</v>
      </c>
      <c r="I66" s="42">
        <f>RANK(H66,$H$64:$H$68,0)</f>
        <v>3</v>
      </c>
      <c r="J66" s="1"/>
      <c r="K66" s="1" t="s">
        <v>1383</v>
      </c>
      <c r="L66" s="50">
        <f>$B$17</f>
        <v>199</v>
      </c>
      <c r="M66" s="1"/>
    </row>
    <row r="67" spans="1:13" ht="45">
      <c r="A67" s="50">
        <v>399</v>
      </c>
      <c r="B67" s="77">
        <v>0.37</v>
      </c>
      <c r="C67" s="46">
        <f>$B$6*$B$7*B67*$B$14*(1-$B$12)*(1-$B$13)</f>
        <v>111.60354400000001</v>
      </c>
      <c r="D67" s="46">
        <f>$AB$15</f>
        <v>146.32034632034632</v>
      </c>
      <c r="E67" s="46">
        <f>MIN(C67,D67)</f>
        <v>111.60354400000001</v>
      </c>
      <c r="F67" s="13">
        <f>($B$17+MAX($B$11,$B$18)*A67+$B$20)/(1+$B$23)-$B$11*$B$21-($B$22+($B$17+MAX($B$11,$B$18)*A67+$B$20)*$B$24+(($B$17+MAX($B$11,$B$18)*A67+$B$20)/(1+$B$23))*'NC Credits'!$B$15)+$B$25*$B$26</f>
        <v>1686.2472084745764</v>
      </c>
      <c r="G67" s="13">
        <f>E67*F67</f>
        <v>188191.16452586959</v>
      </c>
      <c r="H67" s="13">
        <f>G67-$B$27</f>
        <v>6191.1645258695935</v>
      </c>
      <c r="I67" s="42">
        <f>RANK(H67,$H$64:$H$68,0)</f>
        <v>2</v>
      </c>
      <c r="J67" s="1"/>
      <c r="K67" s="1" t="s">
        <v>1384</v>
      </c>
      <c r="L67" s="50">
        <f>INDEX($A$64:$A$68,MATCH(1,$I$64:$I$68,0))</f>
        <v>449</v>
      </c>
      <c r="M67" s="1"/>
    </row>
    <row r="68" spans="1:13" ht="60">
      <c r="A68" s="50">
        <v>449</v>
      </c>
      <c r="B68" s="77">
        <v>0.35</v>
      </c>
      <c r="C68" s="46">
        <f>$B$6*$B$7*B68*$B$14*(1-$B$12)*(1-$B$13)</f>
        <v>105.57092</v>
      </c>
      <c r="D68" s="46">
        <f>$AB$15</f>
        <v>146.32034632034632</v>
      </c>
      <c r="E68" s="46">
        <f>MIN(C68,D68)</f>
        <v>105.57092</v>
      </c>
      <c r="F68" s="13">
        <f>($B$17+MAX($B$11,$B$18)*A68+$B$20)/(1+$B$23)-$B$11*$B$21-($B$22+($B$17+MAX($B$11,$B$18)*A68+$B$20)*$B$24+(($B$17+MAX($B$11,$B$18)*A68+$B$20)/(1+$B$23))*'NC Credits'!$B$15)+$B$25*$B$26</f>
        <v>1873.9249203389834</v>
      </c>
      <c r="G68" s="13">
        <f>E68*F68</f>
        <v>197831.97785111319</v>
      </c>
      <c r="H68" s="13">
        <f>G68-$B$27</f>
        <v>15831.977851113188</v>
      </c>
      <c r="I68" s="42">
        <f>RANK(H68,$H$64:$H$68,0)</f>
        <v>1</v>
      </c>
      <c r="J68" s="1"/>
      <c r="K68" s="1" t="s">
        <v>1385</v>
      </c>
      <c r="L68" s="173" t="s">
        <v>1386</v>
      </c>
      <c r="M68" s="1"/>
    </row>
    <row r="69" spans="1:13">
      <c r="A69" s="1"/>
      <c r="B69" s="1"/>
      <c r="C69" s="1"/>
      <c r="D69" s="1"/>
      <c r="E69" s="1"/>
      <c r="F69" s="1"/>
      <c r="G69" s="1"/>
      <c r="H69" s="1"/>
      <c r="I69" s="1"/>
      <c r="J69" s="1"/>
      <c r="K69" s="1"/>
      <c r="L69" s="1"/>
      <c r="M69" s="1"/>
    </row>
    <row r="70" spans="1:13">
      <c r="A70" s="1"/>
      <c r="B70" s="1"/>
      <c r="C70" s="1"/>
      <c r="D70" s="1"/>
      <c r="E70" s="1"/>
      <c r="F70" s="1"/>
      <c r="G70" s="1"/>
      <c r="H70" s="1"/>
      <c r="I70" s="1"/>
      <c r="J70" s="1"/>
      <c r="K70" s="1"/>
      <c r="L70" s="1"/>
      <c r="M70" s="1"/>
    </row>
    <row r="71" spans="1:13">
      <c r="A71" s="1"/>
      <c r="B71" s="1"/>
      <c r="C71" s="1"/>
      <c r="D71" s="1"/>
      <c r="E71" s="1"/>
      <c r="F71" s="1"/>
      <c r="G71" s="1"/>
      <c r="H71" s="1"/>
      <c r="I71" s="1"/>
      <c r="J71" s="1"/>
      <c r="K71" s="1"/>
      <c r="L71" s="1"/>
      <c r="M71" s="1"/>
    </row>
    <row r="72" spans="1:13" ht="42.75" customHeight="1">
      <c r="A72" s="461" t="s">
        <v>720</v>
      </c>
      <c r="B72" s="461"/>
      <c r="C72" s="461"/>
      <c r="D72" s="461"/>
      <c r="E72" s="461"/>
      <c r="F72" s="461"/>
      <c r="G72" s="461"/>
      <c r="H72" s="461"/>
      <c r="I72" s="461"/>
      <c r="J72" s="461"/>
      <c r="K72" s="461"/>
      <c r="L72" s="461"/>
      <c r="M72" s="461"/>
    </row>
    <row r="73" spans="1:13" ht="16">
      <c r="A73" s="73" t="s">
        <v>721</v>
      </c>
      <c r="B73" s="78">
        <v>0.1</v>
      </c>
      <c r="C73" s="78">
        <v>0.15</v>
      </c>
      <c r="D73" s="78">
        <v>0.2</v>
      </c>
      <c r="E73" s="78">
        <v>0.25</v>
      </c>
      <c r="F73" s="78">
        <v>0.3</v>
      </c>
      <c r="G73" s="78">
        <v>0.4</v>
      </c>
      <c r="H73" s="78">
        <v>0.5</v>
      </c>
      <c r="I73" s="1"/>
      <c r="J73" s="1"/>
      <c r="K73" s="1"/>
      <c r="L73" s="1"/>
      <c r="M73" s="1"/>
    </row>
    <row r="74" spans="1:13">
      <c r="A74" s="50">
        <v>249</v>
      </c>
      <c r="B74" s="13">
        <f>MIN($B$6*$B$7*B$73*$B$14*(1-$B$12)*(1-$B$13),$AB$15)*(($B$17+$B$18*$A74+MAX($B$11-$B$18,0)*$A74+$B$20)/(1+$B$23)-$B$11*$B$21-$B$22-($B$17+$B$18*$A74+MAX($B$11-$B$18,0)*$A74+$B$20)*$B$24-(($B$17+$B$18*$A74+MAX($B$11-$B$18,0)*$A74+$B$20)/(1+$B$23))*'NC Credits'!$B$15+$B$25*$B$26)-$B$27</f>
        <v>-148120.35913399089</v>
      </c>
      <c r="C74" s="13">
        <f>MIN($B$6*$B$7*C$73*$B$14*(1-$B$12)*(1-$B$13),$AB$15)*(($B$17+$B$18*$A74+MAX($B$11-$B$18,0)*$A74+$B$20)/(1+$B$23)-$B$11*$B$21-$B$22-($B$17+$B$18*$A74+MAX($B$11-$B$18,0)*$A74+$B$20)*$B$24-(($B$17+$B$18*$A74+MAX($B$11-$B$18,0)*$A74+$B$20)/(1+$B$23))*'NC Credits'!$B$15+$B$25*$B$26)-$B$27</f>
        <v>-131180.53870098636</v>
      </c>
      <c r="D74" s="13">
        <f>MIN($B$6*$B$7*D$73*$B$14*(1-$B$12)*(1-$B$13),$AB$15)*(($B$17+$B$18*$A74+MAX($B$11-$B$18,0)*$A74+$B$20)/(1+$B$23)-$B$11*$B$21-$B$22-($B$17+$B$18*$A74+MAX($B$11-$B$18,0)*$A74+$B$20)*$B$24-(($B$17+$B$18*$A74+MAX($B$11-$B$18,0)*$A74+$B$20)/(1+$B$23))*'NC Credits'!$B$15+$B$25*$B$26)-$B$27</f>
        <v>-114240.71826798181</v>
      </c>
      <c r="E74" s="13">
        <f>MIN($B$6*$B$7*E$73*$B$14*(1-$B$12)*(1-$B$13),$AB$15)*(($B$17+$B$18*$A74+MAX($B$11-$B$18,0)*$A74+$B$20)/(1+$B$23)-$B$11*$B$21-$B$22-($B$17+$B$18*$A74+MAX($B$11-$B$18,0)*$A74+$B$20)*$B$24-(($B$17+$B$18*$A74+MAX($B$11-$B$18,0)*$A74+$B$20)/(1+$B$23))*'NC Credits'!$B$15+$B$25*$B$26)-$B$27</f>
        <v>-97300.897834977251</v>
      </c>
      <c r="F74" s="13">
        <f>MIN($B$6*$B$7*F$73*$B$14*(1-$B$12)*(1-$B$13),$AB$15)*(($B$17+$B$18*$A74+MAX($B$11-$B$18,0)*$A74+$B$20)/(1+$B$23)-$B$11*$B$21-$B$22-($B$17+$B$18*$A74+MAX($B$11-$B$18,0)*$A74+$B$20)*$B$24-(($B$17+$B$18*$A74+MAX($B$11-$B$18,0)*$A74+$B$20)/(1+$B$23))*'NC Credits'!$B$15+$B$25*$B$26)-$B$27</f>
        <v>-80361.077401972711</v>
      </c>
      <c r="G74" s="13">
        <f>MIN($B$6*$B$7*G$73*$B$14*(1-$B$12)*(1-$B$13),$AB$15)*(($B$17+$B$18*$A74+MAX($B$11-$B$18,0)*$A74+$B$20)/(1+$B$23)-$B$11*$B$21-$B$22-($B$17+$B$18*$A74+MAX($B$11-$B$18,0)*$A74+$B$20)*$B$24-(($B$17+$B$18*$A74+MAX($B$11-$B$18,0)*$A74+$B$20)/(1+$B$23))*'NC Credits'!$B$15+$B$25*$B$26)-$B$27</f>
        <v>-46481.436535963614</v>
      </c>
      <c r="H74" s="13">
        <f>MIN($B$6*$B$7*H$73*$B$14*(1-$B$12)*(1-$B$13),$AB$15)*(($B$17+$B$18*$A74+MAX($B$11-$B$18,0)*$A74+$B$20)/(1+$B$23)-$B$11*$B$21-$B$22-($B$17+$B$18*$A74+MAX($B$11-$B$18,0)*$A74+$B$20)*$B$24-(($B$17+$B$18*$A74+MAX($B$11-$B$18,0)*$A74+$B$20)/(1+$B$23))*'NC Credits'!$B$15+$B$25*$B$26)-$B$27</f>
        <v>-17650.927864113241</v>
      </c>
      <c r="I74" s="1"/>
      <c r="J74" s="1"/>
      <c r="K74" s="1"/>
      <c r="L74" s="1"/>
      <c r="M74" s="1"/>
    </row>
    <row r="75" spans="1:13">
      <c r="A75" s="50">
        <v>299</v>
      </c>
      <c r="B75" s="13">
        <f>MIN($B$6*$B$7*B$73*$B$14*(1-$B$12)*(1-$B$13),$AB$15)*(($B$17+$B$18*$A75+MAX($B$11-$B$18,0)*$A75+$B$20)/(1+$B$23)-$B$11*$B$21-$B$22-($B$17+$B$18*$A75+MAX($B$11-$B$18,0)*$A75+$B$20)*$B$24-(($B$17+$B$18*$A75+MAX($B$11-$B$18,0)*$A75+$B$20)/(1+$B$23))*'NC Credits'!$B$15+$B$25*$B$26)-$B$27</f>
        <v>-142459.41378969938</v>
      </c>
      <c r="C75" s="13">
        <f>MIN($B$6*$B$7*C$73*$B$14*(1-$B$12)*(1-$B$13),$AB$15)*(($B$17+$B$18*$A75+MAX($B$11-$B$18,0)*$A75+$B$20)/(1+$B$23)-$B$11*$B$21-$B$22-($B$17+$B$18*$A75+MAX($B$11-$B$18,0)*$A75+$B$20)*$B$24-(($B$17+$B$18*$A75+MAX($B$11-$B$18,0)*$A75+$B$20)/(1+$B$23))*'NC Credits'!$B$15+$B$25*$B$26)-$B$27</f>
        <v>-122689.12068454907</v>
      </c>
      <c r="D75" s="13">
        <f>MIN($B$6*$B$7*D$73*$B$14*(1-$B$12)*(1-$B$13),$AB$15)*(($B$17+$B$18*$A75+MAX($B$11-$B$18,0)*$A75+$B$20)/(1+$B$23)-$B$11*$B$21-$B$22-($B$17+$B$18*$A75+MAX($B$11-$B$18,0)*$A75+$B$20)*$B$24-(($B$17+$B$18*$A75+MAX($B$11-$B$18,0)*$A75+$B$20)/(1+$B$23))*'NC Credits'!$B$15+$B$25*$B$26)-$B$27</f>
        <v>-102918.82757939877</v>
      </c>
      <c r="E75" s="13">
        <f>MIN($B$6*$B$7*E$73*$B$14*(1-$B$12)*(1-$B$13),$AB$15)*(($B$17+$B$18*$A75+MAX($B$11-$B$18,0)*$A75+$B$20)/(1+$B$23)-$B$11*$B$21-$B$22-($B$17+$B$18*$A75+MAX($B$11-$B$18,0)*$A75+$B$20)*$B$24-(($B$17+$B$18*$A75+MAX($B$11-$B$18,0)*$A75+$B$20)/(1+$B$23))*'NC Credits'!$B$15+$B$25*$B$26)-$B$27</f>
        <v>-83148.534474248459</v>
      </c>
      <c r="F75" s="13">
        <f>MIN($B$6*$B$7*F$73*$B$14*(1-$B$12)*(1-$B$13),$AB$15)*(($B$17+$B$18*$A75+MAX($B$11-$B$18,0)*$A75+$B$20)/(1+$B$23)-$B$11*$B$21-$B$22-($B$17+$B$18*$A75+MAX($B$11-$B$18,0)*$A75+$B$20)*$B$24-(($B$17+$B$18*$A75+MAX($B$11-$B$18,0)*$A75+$B$20)/(1+$B$23))*'NC Credits'!$B$15+$B$25*$B$26)-$B$27</f>
        <v>-63378.241369098148</v>
      </c>
      <c r="G75" s="13">
        <f>MIN($B$6*$B$7*G$73*$B$14*(1-$B$12)*(1-$B$13),$AB$15)*(($B$17+$B$18*$A75+MAX($B$11-$B$18,0)*$A75+$B$20)/(1+$B$23)-$B$11*$B$21-$B$22-($B$17+$B$18*$A75+MAX($B$11-$B$18,0)*$A75+$B$20)*$B$24-(($B$17+$B$18*$A75+MAX($B$11-$B$18,0)*$A75+$B$20)/(1+$B$23))*'NC Credits'!$B$15+$B$25*$B$26)-$B$27</f>
        <v>-23837.655158797541</v>
      </c>
      <c r="H75" s="13">
        <f>MIN($B$6*$B$7*H$73*$B$14*(1-$B$12)*(1-$B$13),$AB$15)*(($B$17+$B$18*$A75+MAX($B$11-$B$18,0)*$A75+$B$20)/(1+$B$23)-$B$11*$B$21-$B$22-($B$17+$B$18*$A75+MAX($B$11-$B$18,0)*$A75+$B$20)*$B$24-(($B$17+$B$18*$A75+MAX($B$11-$B$18,0)*$A75+$B$20)/(1+$B$23))*'NC Credits'!$B$15+$B$25*$B$26)-$B$27</f>
        <v>9810.1399324969098</v>
      </c>
      <c r="I75" s="1"/>
      <c r="J75" s="1"/>
      <c r="K75" s="1"/>
      <c r="L75" s="1"/>
      <c r="M75" s="1"/>
    </row>
    <row r="76" spans="1:13">
      <c r="A76" s="50">
        <v>349</v>
      </c>
      <c r="B76" s="13">
        <f>MIN($B$6*$B$7*B$73*$B$14*(1-$B$12)*(1-$B$13),$AB$15)*(($B$17+$B$18*$A76+MAX($B$11-$B$18,0)*$A76+$B$20)/(1+$B$23)-$B$11*$B$21-$B$22-($B$17+$B$18*$A76+MAX($B$11-$B$18,0)*$A76+$B$20)*$B$24-(($B$17+$B$18*$A76+MAX($B$11-$B$18,0)*$A76+$B$20)/(1+$B$23))*'NC Credits'!$B$15+$B$25*$B$26)-$B$27</f>
        <v>-136798.46844540787</v>
      </c>
      <c r="C76" s="13">
        <f>MIN($B$6*$B$7*C$73*$B$14*(1-$B$12)*(1-$B$13),$AB$15)*(($B$17+$B$18*$A76+MAX($B$11-$B$18,0)*$A76+$B$20)/(1+$B$23)-$B$11*$B$21-$B$22-($B$17+$B$18*$A76+MAX($B$11-$B$18,0)*$A76+$B$20)*$B$24-(($B$17+$B$18*$A76+MAX($B$11-$B$18,0)*$A76+$B$20)/(1+$B$23))*'NC Credits'!$B$15+$B$25*$B$26)-$B$27</f>
        <v>-114197.70266811179</v>
      </c>
      <c r="D76" s="13">
        <f>MIN($B$6*$B$7*D$73*$B$14*(1-$B$12)*(1-$B$13),$AB$15)*(($B$17+$B$18*$A76+MAX($B$11-$B$18,0)*$A76+$B$20)/(1+$B$23)-$B$11*$B$21-$B$22-($B$17+$B$18*$A76+MAX($B$11-$B$18,0)*$A76+$B$20)*$B$24-(($B$17+$B$18*$A76+MAX($B$11-$B$18,0)*$A76+$B$20)/(1+$B$23))*'NC Credits'!$B$15+$B$25*$B$26)-$B$27</f>
        <v>-91596.936890815719</v>
      </c>
      <c r="E76" s="13">
        <f>MIN($B$6*$B$7*E$73*$B$14*(1-$B$12)*(1-$B$13),$AB$15)*(($B$17+$B$18*$A76+MAX($B$11-$B$18,0)*$A76+$B$20)/(1+$B$23)-$B$11*$B$21-$B$22-($B$17+$B$18*$A76+MAX($B$11-$B$18,0)*$A76+$B$20)*$B$24-(($B$17+$B$18*$A76+MAX($B$11-$B$18,0)*$A76+$B$20)/(1+$B$23))*'NC Credits'!$B$15+$B$25*$B$26)-$B$27</f>
        <v>-68996.171113519638</v>
      </c>
      <c r="F76" s="13">
        <f>MIN($B$6*$B$7*F$73*$B$14*(1-$B$12)*(1-$B$13),$AB$15)*(($B$17+$B$18*$A76+MAX($B$11-$B$18,0)*$A76+$B$20)/(1+$B$23)-$B$11*$B$21-$B$22-($B$17+$B$18*$A76+MAX($B$11-$B$18,0)*$A76+$B$20)*$B$24-(($B$17+$B$18*$A76+MAX($B$11-$B$18,0)*$A76+$B$20)/(1+$B$23))*'NC Credits'!$B$15+$B$25*$B$26)-$B$27</f>
        <v>-46395.405336223572</v>
      </c>
      <c r="G76" s="13">
        <f>MIN($B$6*$B$7*G$73*$B$14*(1-$B$12)*(1-$B$13),$AB$15)*(($B$17+$B$18*$A76+MAX($B$11-$B$18,0)*$A76+$B$20)/(1+$B$23)-$B$11*$B$21-$B$22-($B$17+$B$18*$A76+MAX($B$11-$B$18,0)*$A76+$B$20)*$B$24-(($B$17+$B$18*$A76+MAX($B$11-$B$18,0)*$A76+$B$20)/(1+$B$23))*'NC Credits'!$B$15+$B$25*$B$26)-$B$27</f>
        <v>-1193.8737816314388</v>
      </c>
      <c r="H76" s="13">
        <f>MIN($B$6*$B$7*H$73*$B$14*(1-$B$12)*(1-$B$13),$AB$15)*(($B$17+$B$18*$A76+MAX($B$11-$B$18,0)*$A76+$B$20)/(1+$B$23)-$B$11*$B$21-$B$22-($B$17+$B$18*$A76+MAX($B$11-$B$18,0)*$A76+$B$20)*$B$24-(($B$17+$B$18*$A76+MAX($B$11-$B$18,0)*$A76+$B$20)/(1+$B$23))*'NC Credits'!$B$15+$B$25*$B$26)-$B$27</f>
        <v>37271.20772910706</v>
      </c>
      <c r="I76" s="1"/>
      <c r="J76" s="1"/>
      <c r="K76" s="1"/>
      <c r="L76" s="1"/>
      <c r="M76" s="1"/>
    </row>
    <row r="77" spans="1:13">
      <c r="A77" s="50">
        <v>399</v>
      </c>
      <c r="B77" s="13">
        <f>MIN($B$6*$B$7*B$73*$B$14*(1-$B$12)*(1-$B$13),$AB$15)*(($B$17+$B$18*$A77+MAX($B$11-$B$18,0)*$A77+$B$20)/(1+$B$23)-$B$11*$B$21-$B$22-($B$17+$B$18*$A77+MAX($B$11-$B$18,0)*$A77+$B$20)*$B$24-(($B$17+$B$18*$A77+MAX($B$11-$B$18,0)*$A77+$B$20)/(1+$B$23))*'NC Credits'!$B$15+$B$25*$B$26)-$B$27</f>
        <v>-131137.52310111633</v>
      </c>
      <c r="C77" s="13">
        <f>MIN($B$6*$B$7*C$73*$B$14*(1-$B$12)*(1-$B$13),$AB$15)*(($B$17+$B$18*$A77+MAX($B$11-$B$18,0)*$A77+$B$20)/(1+$B$23)-$B$11*$B$21-$B$22-($B$17+$B$18*$A77+MAX($B$11-$B$18,0)*$A77+$B$20)*$B$24-(($B$17+$B$18*$A77+MAX($B$11-$B$18,0)*$A77+$B$20)/(1+$B$23))*'NC Credits'!$B$15+$B$25*$B$26)-$B$27</f>
        <v>-105706.2846516745</v>
      </c>
      <c r="D77" s="13">
        <f>MIN($B$6*$B$7*D$73*$B$14*(1-$B$12)*(1-$B$13),$AB$15)*(($B$17+$B$18*$A77+MAX($B$11-$B$18,0)*$A77+$B$20)/(1+$B$23)-$B$11*$B$21-$B$22-($B$17+$B$18*$A77+MAX($B$11-$B$18,0)*$A77+$B$20)*$B$24-(($B$17+$B$18*$A77+MAX($B$11-$B$18,0)*$A77+$B$20)/(1+$B$23))*'NC Credits'!$B$15+$B$25*$B$26)-$B$27</f>
        <v>-80275.046202232668</v>
      </c>
      <c r="E77" s="13">
        <f>MIN($B$6*$B$7*E$73*$B$14*(1-$B$12)*(1-$B$13),$AB$15)*(($B$17+$B$18*$A77+MAX($B$11-$B$18,0)*$A77+$B$20)/(1+$B$23)-$B$11*$B$21-$B$22-($B$17+$B$18*$A77+MAX($B$11-$B$18,0)*$A77+$B$20)*$B$24-(($B$17+$B$18*$A77+MAX($B$11-$B$18,0)*$A77+$B$20)/(1+$B$23))*'NC Credits'!$B$15+$B$25*$B$26)-$B$27</f>
        <v>-54843.807752790817</v>
      </c>
      <c r="F77" s="13">
        <f>MIN($B$6*$B$7*F$73*$B$14*(1-$B$12)*(1-$B$13),$AB$15)*(($B$17+$B$18*$A77+MAX($B$11-$B$18,0)*$A77+$B$20)/(1+$B$23)-$B$11*$B$21-$B$22-($B$17+$B$18*$A77+MAX($B$11-$B$18,0)*$A77+$B$20)*$B$24-(($B$17+$B$18*$A77+MAX($B$11-$B$18,0)*$A77+$B$20)/(1+$B$23))*'NC Credits'!$B$15+$B$25*$B$26)-$B$27</f>
        <v>-29412.56930334901</v>
      </c>
      <c r="G77" s="13">
        <f>MIN($B$6*$B$7*G$73*$B$14*(1-$B$12)*(1-$B$13),$AB$15)*(($B$17+$B$18*$A77+MAX($B$11-$B$18,0)*$A77+$B$20)/(1+$B$23)-$B$11*$B$21-$B$22-($B$17+$B$18*$A77+MAX($B$11-$B$18,0)*$A77+$B$20)*$B$24-(($B$17+$B$18*$A77+MAX($B$11-$B$18,0)*$A77+$B$20)/(1+$B$23))*'NC Credits'!$B$15+$B$25*$B$26)-$B$27</f>
        <v>21449.907595534663</v>
      </c>
      <c r="H77" s="13">
        <f>MIN($B$6*$B$7*H$73*$B$14*(1-$B$12)*(1-$B$13),$AB$15)*(($B$17+$B$18*$A77+MAX($B$11-$B$18,0)*$A77+$B$20)/(1+$B$23)-$B$11*$B$21-$B$22-($B$17+$B$18*$A77+MAX($B$11-$B$18,0)*$A77+$B$20)*$B$24-(($B$17+$B$18*$A77+MAX($B$11-$B$18,0)*$A77+$B$20)/(1+$B$23))*'NC Credits'!$B$15+$B$25*$B$26)-$B$27</f>
        <v>64732.275525717239</v>
      </c>
      <c r="I77" s="1"/>
      <c r="J77" s="1"/>
      <c r="K77" s="1"/>
      <c r="L77" s="1"/>
      <c r="M77" s="1"/>
    </row>
    <row r="78" spans="1:13">
      <c r="A78" s="50">
        <v>449</v>
      </c>
      <c r="B78" s="13">
        <f>MIN($B$6*$B$7*B$73*$B$14*(1-$B$12)*(1-$B$13),$AB$15)*(($B$17+$B$18*$A78+MAX($B$11-$B$18,0)*$A78+$B$20)/(1+$B$23)-$B$11*$B$21-$B$22-($B$17+$B$18*$A78+MAX($B$11-$B$18,0)*$A78+$B$20)*$B$24-(($B$17+$B$18*$A78+MAX($B$11-$B$18,0)*$A78+$B$20)/(1+$B$23))*'NC Credits'!$B$15+$B$25*$B$26)-$B$27</f>
        <v>-125476.5777568248</v>
      </c>
      <c r="C78" s="13">
        <f>MIN($B$6*$B$7*C$73*$B$14*(1-$B$12)*(1-$B$13),$AB$15)*(($B$17+$B$18*$A78+MAX($B$11-$B$18,0)*$A78+$B$20)/(1+$B$23)-$B$11*$B$21-$B$22-($B$17+$B$18*$A78+MAX($B$11-$B$18,0)*$A78+$B$20)*$B$24-(($B$17+$B$18*$A78+MAX($B$11-$B$18,0)*$A78+$B$20)/(1+$B$23))*'NC Credits'!$B$15+$B$25*$B$26)-$B$27</f>
        <v>-97214.866635237195</v>
      </c>
      <c r="D78" s="13">
        <f>MIN($B$6*$B$7*D$73*$B$14*(1-$B$12)*(1-$B$13),$AB$15)*(($B$17+$B$18*$A78+MAX($B$11-$B$18,0)*$A78+$B$20)/(1+$B$23)-$B$11*$B$21-$B$22-($B$17+$B$18*$A78+MAX($B$11-$B$18,0)*$A78+$B$20)*$B$24-(($B$17+$B$18*$A78+MAX($B$11-$B$18,0)*$A78+$B$20)/(1+$B$23))*'NC Credits'!$B$15+$B$25*$B$26)-$B$27</f>
        <v>-68953.155513649603</v>
      </c>
      <c r="E78" s="13">
        <f>MIN($B$6*$B$7*E$73*$B$14*(1-$B$12)*(1-$B$13),$AB$15)*(($B$17+$B$18*$A78+MAX($B$11-$B$18,0)*$A78+$B$20)/(1+$B$23)-$B$11*$B$21-$B$22-($B$17+$B$18*$A78+MAX($B$11-$B$18,0)*$A78+$B$20)*$B$24-(($B$17+$B$18*$A78+MAX($B$11-$B$18,0)*$A78+$B$20)/(1+$B$23))*'NC Credits'!$B$15+$B$25*$B$26)-$B$27</f>
        <v>-40691.444392061996</v>
      </c>
      <c r="F78" s="13">
        <f>MIN($B$6*$B$7*F$73*$B$14*(1-$B$12)*(1-$B$13),$AB$15)*(($B$17+$B$18*$A78+MAX($B$11-$B$18,0)*$A78+$B$20)/(1+$B$23)-$B$11*$B$21-$B$22-($B$17+$B$18*$A78+MAX($B$11-$B$18,0)*$A78+$B$20)*$B$24-(($B$17+$B$18*$A78+MAX($B$11-$B$18,0)*$A78+$B$20)/(1+$B$23))*'NC Credits'!$B$15+$B$25*$B$26)-$B$27</f>
        <v>-12429.733270474389</v>
      </c>
      <c r="G78" s="13">
        <f>MIN($B$6*$B$7*G$73*$B$14*(1-$B$12)*(1-$B$13),$AB$15)*(($B$17+$B$18*$A78+MAX($B$11-$B$18,0)*$A78+$B$20)/(1+$B$23)-$B$11*$B$21-$B$22-($B$17+$B$18*$A78+MAX($B$11-$B$18,0)*$A78+$B$20)*$B$24-(($B$17+$B$18*$A78+MAX($B$11-$B$18,0)*$A78+$B$20)/(1+$B$23))*'NC Credits'!$B$15+$B$25*$B$26)-$B$27</f>
        <v>44093.688972700795</v>
      </c>
      <c r="H78" s="13">
        <f>MIN($B$6*$B$7*H$73*$B$14*(1-$B$12)*(1-$B$13),$AB$15)*(($B$17+$B$18*$A78+MAX($B$11-$B$18,0)*$A78+$B$20)/(1+$B$23)-$B$11*$B$21-$B$22-($B$17+$B$18*$A78+MAX($B$11-$B$18,0)*$A78+$B$20)*$B$24-(($B$17+$B$18*$A78+MAX($B$11-$B$18,0)*$A78+$B$20)/(1+$B$23))*'NC Credits'!$B$15+$B$25*$B$26)-$B$27</f>
        <v>92193.343322327419</v>
      </c>
      <c r="I78" s="1"/>
      <c r="J78" s="1"/>
      <c r="K78" s="1"/>
      <c r="L78" s="1"/>
      <c r="M78" s="1"/>
    </row>
    <row r="79" spans="1:13">
      <c r="A79" s="1"/>
      <c r="B79" s="1"/>
      <c r="C79" s="1"/>
      <c r="D79" s="1"/>
      <c r="E79" s="1"/>
      <c r="F79" s="1"/>
      <c r="G79" s="1"/>
      <c r="H79" s="1"/>
      <c r="I79" s="1"/>
      <c r="J79" s="1"/>
      <c r="K79" s="1"/>
      <c r="L79" s="1"/>
      <c r="M79" s="1"/>
    </row>
    <row r="80" spans="1:13">
      <c r="A80" s="1"/>
      <c r="B80" s="1"/>
      <c r="C80" s="1"/>
      <c r="D80" s="1"/>
      <c r="E80" s="1"/>
      <c r="F80" s="1"/>
      <c r="G80" s="1"/>
      <c r="H80" s="1"/>
      <c r="I80" s="1"/>
      <c r="J80" s="1"/>
      <c r="K80" s="1"/>
      <c r="L80" s="1"/>
      <c r="M80" s="1"/>
    </row>
    <row r="81" spans="1:13">
      <c r="A81" s="1"/>
      <c r="B81" s="1"/>
      <c r="C81" s="1"/>
      <c r="D81" s="1"/>
      <c r="E81" s="1"/>
      <c r="F81" s="1"/>
      <c r="G81" s="1"/>
      <c r="H81" s="1"/>
      <c r="I81" s="1"/>
      <c r="J81" s="1"/>
      <c r="K81" s="1"/>
      <c r="L81" s="1"/>
      <c r="M81" s="1"/>
    </row>
    <row r="82" spans="1:13" ht="42.75" customHeight="1">
      <c r="A82" s="461" t="s">
        <v>722</v>
      </c>
      <c r="B82" s="461"/>
      <c r="C82" s="461"/>
      <c r="D82" s="461"/>
      <c r="E82" s="461"/>
      <c r="F82" s="461"/>
      <c r="G82" s="461"/>
      <c r="H82" s="461"/>
      <c r="I82" s="461"/>
      <c r="J82" s="461"/>
      <c r="K82" s="461"/>
      <c r="L82" s="461"/>
      <c r="M82" s="461"/>
    </row>
    <row r="83" spans="1:13" ht="48">
      <c r="A83" s="73" t="s">
        <v>723</v>
      </c>
      <c r="B83" s="73" t="s">
        <v>435</v>
      </c>
      <c r="C83" s="73" t="s">
        <v>280</v>
      </c>
      <c r="D83" s="73" t="s">
        <v>724</v>
      </c>
      <c r="E83" s="73" t="s">
        <v>463</v>
      </c>
      <c r="F83" s="73" t="s">
        <v>600</v>
      </c>
      <c r="G83" s="73" t="s">
        <v>725</v>
      </c>
      <c r="H83" s="1"/>
      <c r="I83" s="73" t="s">
        <v>726</v>
      </c>
      <c r="J83" s="73" t="s">
        <v>727</v>
      </c>
      <c r="K83" s="73" t="s">
        <v>728</v>
      </c>
      <c r="L83" s="73" t="s">
        <v>729</v>
      </c>
      <c r="M83" s="73" t="s">
        <v>730</v>
      </c>
    </row>
    <row r="84" spans="1:13" ht="15">
      <c r="A84" s="75">
        <v>125</v>
      </c>
      <c r="B84" s="13">
        <v>733.39178474576272</v>
      </c>
      <c r="C84" s="13">
        <f t="shared" ref="C84:C89" si="20">IF($B$11=0,0,B84/$B$11)</f>
        <v>158.74281055103089</v>
      </c>
      <c r="D84" s="13">
        <v>288.23905658681917</v>
      </c>
      <c r="E84" s="46">
        <f t="shared" ref="E84:E89" si="21">IF(B84&lt;=0,0,$B$27/B84)</f>
        <v>248.16203806140538</v>
      </c>
      <c r="F84" s="46">
        <f t="shared" ref="F84:F89" si="22">E84/$B$7</f>
        <v>9.5446937715925149</v>
      </c>
      <c r="G84" s="13">
        <f t="shared" ref="G84:G89" si="23">$AB$16*B84-$B$27</f>
        <v>-82453.77015364726</v>
      </c>
      <c r="H84" s="1"/>
      <c r="I84" s="1" t="s">
        <v>731</v>
      </c>
      <c r="J84" s="75">
        <v>175</v>
      </c>
      <c r="K84" s="77">
        <v>1</v>
      </c>
      <c r="L84" s="13">
        <f>J84</f>
        <v>175</v>
      </c>
      <c r="M84" s="1" t="s">
        <v>732</v>
      </c>
    </row>
    <row r="85" spans="1:13" ht="30">
      <c r="A85" s="75">
        <v>140</v>
      </c>
      <c r="B85" s="13">
        <v>664.09178474576265</v>
      </c>
      <c r="C85" s="13">
        <f t="shared" si="20"/>
        <v>143.74281055103089</v>
      </c>
      <c r="D85" s="13">
        <v>306.70155789066814</v>
      </c>
      <c r="E85" s="46">
        <f t="shared" si="21"/>
        <v>274.05850242474526</v>
      </c>
      <c r="F85" s="46">
        <f t="shared" si="22"/>
        <v>10.540711631720971</v>
      </c>
      <c r="G85" s="13">
        <f t="shared" si="23"/>
        <v>-91860.139125647271</v>
      </c>
      <c r="H85" s="1"/>
      <c r="I85" s="1" t="s">
        <v>733</v>
      </c>
      <c r="J85" s="75">
        <v>700</v>
      </c>
      <c r="K85" s="77">
        <v>0.7</v>
      </c>
      <c r="L85" s="13">
        <f>J85/(4*K85)</f>
        <v>250.00000000000003</v>
      </c>
      <c r="M85" s="1" t="s">
        <v>734</v>
      </c>
    </row>
    <row r="86" spans="1:13" ht="30">
      <c r="A86" s="75">
        <v>150</v>
      </c>
      <c r="B86" s="13">
        <v>617.89178474576272</v>
      </c>
      <c r="C86" s="13">
        <f t="shared" si="20"/>
        <v>133.74281055103089</v>
      </c>
      <c r="D86" s="13">
        <v>319.0098920932341</v>
      </c>
      <c r="E86" s="46">
        <f t="shared" si="21"/>
        <v>294.54995922123413</v>
      </c>
      <c r="F86" s="46">
        <f t="shared" si="22"/>
        <v>11.328844585432082</v>
      </c>
      <c r="G86" s="13">
        <f t="shared" si="23"/>
        <v>-98131.051773647254</v>
      </c>
      <c r="H86" s="1"/>
      <c r="I86" s="1" t="s">
        <v>735</v>
      </c>
      <c r="J86" s="75">
        <v>600</v>
      </c>
      <c r="K86" s="77">
        <v>0.85</v>
      </c>
      <c r="L86" s="13">
        <f>J86/(4*K86)</f>
        <v>176.47058823529412</v>
      </c>
      <c r="M86" s="1" t="s">
        <v>736</v>
      </c>
    </row>
    <row r="87" spans="1:13" ht="15">
      <c r="A87" s="75">
        <v>160</v>
      </c>
      <c r="B87" s="13">
        <v>571.69178474576267</v>
      </c>
      <c r="C87" s="13">
        <f t="shared" si="20"/>
        <v>123.74281055103089</v>
      </c>
      <c r="D87" s="13">
        <v>331.3182262958</v>
      </c>
      <c r="E87" s="46">
        <f t="shared" si="21"/>
        <v>318.35335902358173</v>
      </c>
      <c r="F87" s="46">
        <f t="shared" si="22"/>
        <v>12.244359962445451</v>
      </c>
      <c r="G87" s="13">
        <f t="shared" si="23"/>
        <v>-104401.96442164727</v>
      </c>
      <c r="H87" s="1"/>
      <c r="I87" s="1" t="s">
        <v>737</v>
      </c>
      <c r="J87" s="75">
        <v>650</v>
      </c>
      <c r="K87" s="77">
        <v>0.75</v>
      </c>
      <c r="L87" s="13">
        <f>J87/(4*K87)</f>
        <v>216.66666666666666</v>
      </c>
      <c r="M87" s="1" t="s">
        <v>738</v>
      </c>
    </row>
    <row r="88" spans="1:13" ht="30">
      <c r="A88" s="75">
        <v>175</v>
      </c>
      <c r="B88" s="13">
        <v>502.39178474576272</v>
      </c>
      <c r="C88" s="13">
        <f t="shared" si="20"/>
        <v>108.74281055103089</v>
      </c>
      <c r="D88" s="13">
        <v>349.78072759964903</v>
      </c>
      <c r="E88" s="46">
        <f t="shared" si="21"/>
        <v>362.26707029475369</v>
      </c>
      <c r="F88" s="46">
        <f t="shared" si="22"/>
        <v>13.933348857490527</v>
      </c>
      <c r="G88" s="13">
        <f t="shared" si="23"/>
        <v>-113808.33339364726</v>
      </c>
      <c r="H88" s="1"/>
      <c r="I88" s="1" t="s">
        <v>739</v>
      </c>
      <c r="J88" s="75">
        <v>1200</v>
      </c>
      <c r="K88" s="77">
        <v>0.7</v>
      </c>
      <c r="L88" s="13">
        <f>J88/(8*K88)</f>
        <v>214.28571428571431</v>
      </c>
      <c r="M88" s="1" t="s">
        <v>740</v>
      </c>
    </row>
    <row r="89" spans="1:13">
      <c r="A89" s="75">
        <v>200</v>
      </c>
      <c r="B89" s="13">
        <v>386.89178474576272</v>
      </c>
      <c r="C89" s="13">
        <f t="shared" si="20"/>
        <v>83.742810551030885</v>
      </c>
      <c r="D89" s="13">
        <v>380.55156310606395</v>
      </c>
      <c r="E89" s="46">
        <f t="shared" si="21"/>
        <v>470.41577819905694</v>
      </c>
      <c r="F89" s="46">
        <f t="shared" si="22"/>
        <v>18.092914546117576</v>
      </c>
      <c r="G89" s="13">
        <f t="shared" si="23"/>
        <v>-129485.61501364726</v>
      </c>
      <c r="H89" s="1"/>
      <c r="I89" s="1"/>
      <c r="J89" s="1"/>
      <c r="K89" s="1"/>
      <c r="L89" s="1"/>
      <c r="M89" s="1"/>
    </row>
    <row r="90" spans="1:13">
      <c r="A90" s="1"/>
      <c r="B90" s="1"/>
      <c r="C90" s="1"/>
      <c r="D90" s="1"/>
      <c r="E90" s="1"/>
      <c r="F90" s="1"/>
      <c r="G90" s="1"/>
      <c r="H90" s="1"/>
      <c r="I90" s="1"/>
      <c r="J90" s="1"/>
      <c r="K90" s="1"/>
      <c r="L90" s="1"/>
      <c r="M90" s="1"/>
    </row>
    <row r="91" spans="1:13">
      <c r="A91" s="1"/>
      <c r="B91" s="1"/>
      <c r="C91" s="1"/>
      <c r="D91" s="1"/>
      <c r="E91" s="1"/>
      <c r="F91" s="1"/>
      <c r="G91" s="1"/>
      <c r="H91" s="1"/>
      <c r="I91" s="1"/>
      <c r="J91" s="1"/>
      <c r="K91" s="1"/>
      <c r="L91" s="1"/>
      <c r="M91" s="1"/>
    </row>
    <row r="92" spans="1:13">
      <c r="A92" s="1"/>
      <c r="B92" s="1"/>
      <c r="C92" s="1"/>
      <c r="D92" s="1"/>
      <c r="E92" s="1"/>
      <c r="F92" s="1"/>
      <c r="G92" s="1"/>
      <c r="H92" s="1"/>
      <c r="I92" s="1"/>
      <c r="J92" s="1"/>
      <c r="K92" s="1"/>
      <c r="L92" s="1"/>
      <c r="M92" s="1"/>
    </row>
    <row r="93" spans="1:13" ht="42.75" customHeight="1">
      <c r="A93" s="461" t="s">
        <v>741</v>
      </c>
      <c r="B93" s="461"/>
      <c r="C93" s="461"/>
      <c r="D93" s="461"/>
      <c r="E93" s="461"/>
      <c r="F93" s="461"/>
      <c r="G93" s="461"/>
      <c r="H93" s="461"/>
      <c r="I93" s="461"/>
      <c r="J93" s="461"/>
      <c r="K93" s="461"/>
      <c r="L93" s="461"/>
      <c r="M93" s="461"/>
    </row>
    <row r="94" spans="1:13" ht="32">
      <c r="A94" s="73" t="s">
        <v>470</v>
      </c>
      <c r="B94" s="73" t="s">
        <v>742</v>
      </c>
      <c r="C94" s="73" t="s">
        <v>743</v>
      </c>
      <c r="D94" s="73" t="s">
        <v>744</v>
      </c>
      <c r="E94" s="73" t="s">
        <v>745</v>
      </c>
      <c r="F94" s="73" t="s">
        <v>211</v>
      </c>
      <c r="G94" s="73" t="s">
        <v>238</v>
      </c>
      <c r="H94" s="73" t="s">
        <v>239</v>
      </c>
      <c r="I94" s="1"/>
      <c r="J94" s="73" t="s">
        <v>746</v>
      </c>
      <c r="K94" s="73" t="s">
        <v>633</v>
      </c>
      <c r="L94" s="1"/>
      <c r="M94" s="1"/>
    </row>
    <row r="95" spans="1:13" ht="30">
      <c r="A95" s="49">
        <v>0.3</v>
      </c>
      <c r="B95" s="46">
        <f t="shared" ref="B95:B101" si="24">$B$8*$B$7*$B$9</f>
        <v>1040</v>
      </c>
      <c r="C95" s="46">
        <f t="shared" ref="C95:C101" si="25">B95*A95</f>
        <v>312</v>
      </c>
      <c r="D95" s="46">
        <f t="shared" ref="D95:D101" si="26">B95-C95</f>
        <v>728</v>
      </c>
      <c r="E95" s="46">
        <f t="shared" ref="E95:E101" si="27">IF($B$11=0,0,C95/$B$11)</f>
        <v>67.532467532467535</v>
      </c>
      <c r="F95" s="46">
        <f t="shared" ref="F95:F101" si="28">MIN(E95,$AB$14)</f>
        <v>67.532467532467535</v>
      </c>
      <c r="G95" s="13">
        <f t="shared" ref="G95:G101" si="29">F95*$AB$11</f>
        <v>88527.756891921643</v>
      </c>
      <c r="H95" s="13">
        <f t="shared" ref="H95:H101" si="30">G95-$B$27</f>
        <v>-93472.243108078357</v>
      </c>
      <c r="I95" s="1"/>
      <c r="J95" s="1" t="s">
        <v>747</v>
      </c>
      <c r="K95" s="46">
        <f>$B$8</f>
        <v>5</v>
      </c>
      <c r="L95" s="1"/>
      <c r="M95" s="1"/>
    </row>
    <row r="96" spans="1:13" ht="30">
      <c r="A96" s="49">
        <v>0.4</v>
      </c>
      <c r="B96" s="46">
        <f t="shared" si="24"/>
        <v>1040</v>
      </c>
      <c r="C96" s="46">
        <f t="shared" si="25"/>
        <v>416</v>
      </c>
      <c r="D96" s="46">
        <f t="shared" si="26"/>
        <v>624</v>
      </c>
      <c r="E96" s="46">
        <f t="shared" si="27"/>
        <v>90.043290043290042</v>
      </c>
      <c r="F96" s="46">
        <f t="shared" si="28"/>
        <v>90.043290043290042</v>
      </c>
      <c r="G96" s="13">
        <f t="shared" si="29"/>
        <v>118037.00918922886</v>
      </c>
      <c r="H96" s="13">
        <f t="shared" si="30"/>
        <v>-63962.990810771138</v>
      </c>
      <c r="I96" s="1"/>
      <c r="J96" s="1" t="s">
        <v>748</v>
      </c>
      <c r="K96" s="46">
        <f>$AB$24</f>
        <v>4.6382489999999992</v>
      </c>
      <c r="L96" s="1"/>
      <c r="M96" s="1"/>
    </row>
    <row r="97" spans="1:13" ht="30">
      <c r="A97" s="49">
        <v>0.5</v>
      </c>
      <c r="B97" s="46">
        <f t="shared" si="24"/>
        <v>1040</v>
      </c>
      <c r="C97" s="46">
        <f t="shared" si="25"/>
        <v>520</v>
      </c>
      <c r="D97" s="46">
        <f t="shared" si="26"/>
        <v>520</v>
      </c>
      <c r="E97" s="46">
        <f t="shared" si="27"/>
        <v>112.55411255411255</v>
      </c>
      <c r="F97" s="46">
        <f t="shared" si="28"/>
        <v>112.55411255411255</v>
      </c>
      <c r="G97" s="13">
        <f t="shared" si="29"/>
        <v>147546.26148653607</v>
      </c>
      <c r="H97" s="13">
        <f t="shared" si="30"/>
        <v>-34453.738513463933</v>
      </c>
      <c r="I97" s="1"/>
      <c r="J97" s="1" t="s">
        <v>483</v>
      </c>
      <c r="K97" s="46">
        <f>$AB$25</f>
        <v>0.36175100000000082</v>
      </c>
      <c r="L97" s="1"/>
      <c r="M97" s="1"/>
    </row>
    <row r="98" spans="1:13" ht="15">
      <c r="A98" s="49">
        <v>0.6</v>
      </c>
      <c r="B98" s="46">
        <f t="shared" si="24"/>
        <v>1040</v>
      </c>
      <c r="C98" s="46">
        <f t="shared" si="25"/>
        <v>624</v>
      </c>
      <c r="D98" s="46">
        <f t="shared" si="26"/>
        <v>416</v>
      </c>
      <c r="E98" s="46">
        <f t="shared" si="27"/>
        <v>135.06493506493507</v>
      </c>
      <c r="F98" s="46">
        <f t="shared" si="28"/>
        <v>135.06493506493507</v>
      </c>
      <c r="G98" s="13">
        <f t="shared" si="29"/>
        <v>177055.51378384329</v>
      </c>
      <c r="H98" s="13">
        <f t="shared" si="30"/>
        <v>-4944.4862161567144</v>
      </c>
      <c r="I98" s="1"/>
      <c r="J98" s="1" t="s">
        <v>749</v>
      </c>
      <c r="K98" s="14">
        <f>$F$14</f>
        <v>0.60297236999999992</v>
      </c>
      <c r="L98" s="1"/>
      <c r="M98" s="1"/>
    </row>
    <row r="99" spans="1:13" ht="30">
      <c r="A99" s="49">
        <v>0.7</v>
      </c>
      <c r="B99" s="46">
        <f t="shared" si="24"/>
        <v>1040</v>
      </c>
      <c r="C99" s="46">
        <f t="shared" si="25"/>
        <v>728</v>
      </c>
      <c r="D99" s="46">
        <f t="shared" si="26"/>
        <v>312</v>
      </c>
      <c r="E99" s="46">
        <f t="shared" si="27"/>
        <v>157.57575757575756</v>
      </c>
      <c r="F99" s="46">
        <f t="shared" si="28"/>
        <v>135.73403999999999</v>
      </c>
      <c r="G99" s="13">
        <f t="shared" si="29"/>
        <v>177932.63794635274</v>
      </c>
      <c r="H99" s="13">
        <f t="shared" si="30"/>
        <v>-4067.362053647259</v>
      </c>
      <c r="I99" s="1"/>
      <c r="J99" s="1" t="s">
        <v>750</v>
      </c>
      <c r="K99" s="46">
        <f>IF($B$8*$B$7=0,0,$AB$16/($B$8*$B$7))</f>
        <v>1.044108</v>
      </c>
      <c r="L99" s="1"/>
      <c r="M99" s="1"/>
    </row>
    <row r="100" spans="1:13" ht="32">
      <c r="A100" s="49">
        <v>0.8</v>
      </c>
      <c r="B100" s="46">
        <f t="shared" si="24"/>
        <v>1040</v>
      </c>
      <c r="C100" s="46">
        <f t="shared" si="25"/>
        <v>832</v>
      </c>
      <c r="D100" s="46">
        <f t="shared" si="26"/>
        <v>208</v>
      </c>
      <c r="E100" s="46">
        <f t="shared" si="27"/>
        <v>180.08658008658008</v>
      </c>
      <c r="F100" s="46">
        <f t="shared" si="28"/>
        <v>135.73403999999999</v>
      </c>
      <c r="G100" s="13">
        <f t="shared" si="29"/>
        <v>177932.63794635274</v>
      </c>
      <c r="H100" s="13">
        <f t="shared" si="30"/>
        <v>-4067.362053647259</v>
      </c>
      <c r="I100" s="1"/>
      <c r="J100" s="1" t="s">
        <v>751</v>
      </c>
      <c r="K100" s="82" t="str">
        <f>IF(K96&gt;1,"Overstaffed relative to current demand","Capacity aligned / tight")</f>
        <v>Overstaffed relative to current demand</v>
      </c>
      <c r="L100" s="1"/>
      <c r="M100" s="1"/>
    </row>
    <row r="101" spans="1:13">
      <c r="A101" s="49">
        <v>0.9</v>
      </c>
      <c r="B101" s="46">
        <f t="shared" si="24"/>
        <v>1040</v>
      </c>
      <c r="C101" s="46">
        <f t="shared" si="25"/>
        <v>936</v>
      </c>
      <c r="D101" s="46">
        <f t="shared" si="26"/>
        <v>104</v>
      </c>
      <c r="E101" s="46">
        <f t="shared" si="27"/>
        <v>202.59740259740261</v>
      </c>
      <c r="F101" s="46">
        <f t="shared" si="28"/>
        <v>135.73403999999999</v>
      </c>
      <c r="G101" s="13">
        <f t="shared" si="29"/>
        <v>177932.63794635274</v>
      </c>
      <c r="H101" s="13">
        <f t="shared" si="30"/>
        <v>-4067.362053647259</v>
      </c>
      <c r="I101" s="1"/>
      <c r="J101" s="1"/>
      <c r="K101" s="1"/>
      <c r="L101" s="1"/>
      <c r="M101" s="1"/>
    </row>
    <row r="102" spans="1:13">
      <c r="A102" s="1"/>
      <c r="B102" s="1"/>
      <c r="C102" s="1"/>
      <c r="D102" s="1"/>
      <c r="E102" s="1"/>
      <c r="F102" s="1"/>
      <c r="G102" s="1"/>
      <c r="H102" s="1"/>
      <c r="I102" s="1"/>
      <c r="J102" s="1"/>
      <c r="K102" s="1"/>
      <c r="L102" s="1"/>
      <c r="M102" s="1"/>
    </row>
    <row r="103" spans="1:13">
      <c r="A103" s="1"/>
      <c r="B103" s="1"/>
      <c r="C103" s="1"/>
      <c r="D103" s="1"/>
      <c r="E103" s="1"/>
      <c r="F103" s="1"/>
      <c r="G103" s="1"/>
      <c r="H103" s="1"/>
      <c r="I103" s="1"/>
      <c r="J103" s="1"/>
      <c r="K103" s="1"/>
      <c r="L103" s="1"/>
      <c r="M103" s="1"/>
    </row>
    <row r="104" spans="1:13">
      <c r="A104" s="1"/>
      <c r="B104" s="1"/>
      <c r="C104" s="1"/>
      <c r="D104" s="1"/>
      <c r="E104" s="1"/>
      <c r="F104" s="1"/>
      <c r="G104" s="1"/>
      <c r="H104" s="1"/>
      <c r="I104" s="1"/>
      <c r="J104" s="1"/>
      <c r="K104" s="1"/>
      <c r="L104" s="1"/>
      <c r="M104" s="1"/>
    </row>
    <row r="105" spans="1:13" ht="42.75" customHeight="1">
      <c r="A105" s="461" t="s">
        <v>752</v>
      </c>
      <c r="B105" s="461"/>
      <c r="C105" s="461"/>
      <c r="D105" s="461"/>
      <c r="E105" s="461"/>
      <c r="F105" s="461"/>
      <c r="G105" s="461"/>
      <c r="H105" s="461"/>
      <c r="I105" s="461"/>
      <c r="J105" s="461"/>
      <c r="K105" s="461"/>
      <c r="L105" s="461"/>
      <c r="M105" s="461"/>
    </row>
    <row r="106" spans="1:13" ht="32">
      <c r="A106" s="73" t="s">
        <v>691</v>
      </c>
      <c r="B106" s="73" t="s">
        <v>753</v>
      </c>
      <c r="C106" s="73" t="s">
        <v>754</v>
      </c>
      <c r="D106" s="73" t="s">
        <v>308</v>
      </c>
      <c r="E106" s="73" t="s">
        <v>600</v>
      </c>
      <c r="F106" s="73" t="s">
        <v>755</v>
      </c>
      <c r="G106" s="73" t="s">
        <v>756</v>
      </c>
      <c r="H106" s="73" t="s">
        <v>757</v>
      </c>
      <c r="I106" s="1"/>
      <c r="J106" s="73" t="s">
        <v>758</v>
      </c>
      <c r="K106" s="73" t="s">
        <v>759</v>
      </c>
      <c r="L106" s="73" t="s">
        <v>760</v>
      </c>
      <c r="M106" s="73" t="s">
        <v>761</v>
      </c>
    </row>
    <row r="107" spans="1:13" ht="30">
      <c r="A107" s="1" t="s">
        <v>352</v>
      </c>
      <c r="B107" s="1" t="s">
        <v>762</v>
      </c>
      <c r="C107" s="12">
        <f>'Path to Profitability'!$H$20</f>
        <v>110000</v>
      </c>
      <c r="D107" s="46">
        <f>IF($AB$11&lt;=0,0,C107/$AB$11)</f>
        <v>83.912342178064407</v>
      </c>
      <c r="E107" s="46">
        <f>D107/$B$7</f>
        <v>3.2273977760794001</v>
      </c>
      <c r="F107" s="13">
        <f>5*$B$7*$AB$11-C107</f>
        <v>60415.932016949169</v>
      </c>
      <c r="G107" s="13">
        <f>10*$B$7*$AB$11-C107</f>
        <v>230831.86403389834</v>
      </c>
      <c r="H107" s="13">
        <f>15*$B$7*$AB$11-C107</f>
        <v>401247.79605084751</v>
      </c>
      <c r="I107" s="1"/>
      <c r="J107" s="1" t="s">
        <v>763</v>
      </c>
      <c r="K107" s="13">
        <f>$B$27</f>
        <v>182000</v>
      </c>
      <c r="L107" s="13"/>
      <c r="M107" s="1" t="s">
        <v>764</v>
      </c>
    </row>
    <row r="108" spans="1:13" ht="30">
      <c r="A108" s="1" t="s">
        <v>353</v>
      </c>
      <c r="B108" s="1" t="s">
        <v>765</v>
      </c>
      <c r="C108" s="12">
        <f>'Path to Profitability'!$I$20</f>
        <v>182000</v>
      </c>
      <c r="D108" s="46">
        <f>IF($AB$11&lt;=0,0,C108/$AB$11)</f>
        <v>138.8367843309793</v>
      </c>
      <c r="E108" s="46">
        <f>D108/$B$7</f>
        <v>5.339876320422281</v>
      </c>
      <c r="F108" s="13">
        <f>5*$B$7*$AB$11-C108</f>
        <v>-11584.067983050831</v>
      </c>
      <c r="G108" s="13">
        <f>10*$B$7*$AB$11-C108</f>
        <v>158831.86403389834</v>
      </c>
      <c r="H108" s="13">
        <f>15*$B$7*$AB$11-C108</f>
        <v>329247.79605084751</v>
      </c>
      <c r="I108" s="1"/>
      <c r="J108" s="1" t="s">
        <v>766</v>
      </c>
      <c r="K108" s="13">
        <f>$AB$18</f>
        <v>177932.63794635274</v>
      </c>
      <c r="L108" s="13">
        <f>$B$27-K108</f>
        <v>4067.362053647259</v>
      </c>
      <c r="M108" s="1" t="s">
        <v>767</v>
      </c>
    </row>
    <row r="109" spans="1:13" ht="30">
      <c r="A109" s="1" t="s">
        <v>697</v>
      </c>
      <c r="B109" s="1" t="s">
        <v>768</v>
      </c>
      <c r="C109" s="12">
        <f>'Path to Profitability'!$J$20</f>
        <v>282000</v>
      </c>
      <c r="D109" s="46">
        <f>IF($AB$11&lt;=0,0,C109/$AB$11)</f>
        <v>215.12073176558329</v>
      </c>
      <c r="E109" s="46">
        <f>D109/$B$7</f>
        <v>8.2738742986762794</v>
      </c>
      <c r="F109" s="13">
        <f>5*$B$7*$AB$11-C109</f>
        <v>-111584.06798305083</v>
      </c>
      <c r="G109" s="13">
        <f>10*$B$7*$AB$11-C109</f>
        <v>58831.864033898339</v>
      </c>
      <c r="H109" s="13">
        <f>15*$B$7*$AB$11-C109</f>
        <v>229247.79605084751</v>
      </c>
      <c r="I109" s="1"/>
      <c r="J109" s="1" t="s">
        <v>373</v>
      </c>
      <c r="K109" s="13">
        <f>$AB$18-$B$5</f>
        <v>177932.63794635274</v>
      </c>
      <c r="L109" s="13">
        <f>$B$27-K109</f>
        <v>4067.362053647259</v>
      </c>
      <c r="M109" s="1" t="s">
        <v>769</v>
      </c>
    </row>
    <row r="110" spans="1:13" ht="30">
      <c r="A110" s="1"/>
      <c r="B110" s="1"/>
      <c r="C110" s="1"/>
      <c r="D110" s="1"/>
      <c r="E110" s="1"/>
      <c r="F110" s="1"/>
      <c r="G110" s="1"/>
      <c r="H110" s="1"/>
      <c r="I110" s="1"/>
      <c r="J110" s="1" t="s">
        <v>770</v>
      </c>
      <c r="K110" s="13">
        <f>MAX($B$27-$AB$18,0)</f>
        <v>4067.362053647259</v>
      </c>
      <c r="L110" s="13"/>
      <c r="M110" s="1" t="s">
        <v>771</v>
      </c>
    </row>
    <row r="111" spans="1:13">
      <c r="A111" s="1"/>
      <c r="B111" s="1"/>
      <c r="C111" s="1"/>
      <c r="D111" s="1"/>
      <c r="E111" s="1"/>
      <c r="F111" s="1"/>
      <c r="G111" s="1"/>
      <c r="H111" s="1"/>
      <c r="I111" s="1"/>
      <c r="J111" s="1"/>
      <c r="K111" s="1"/>
      <c r="L111" s="1"/>
      <c r="M111" s="1"/>
    </row>
    <row r="112" spans="1:13">
      <c r="A112" s="1"/>
      <c r="B112" s="1"/>
      <c r="C112" s="1"/>
      <c r="D112" s="1"/>
      <c r="E112" s="1"/>
      <c r="F112" s="1"/>
      <c r="G112" s="1"/>
      <c r="H112" s="1"/>
      <c r="I112" s="1"/>
      <c r="J112" s="1"/>
      <c r="K112" s="1"/>
      <c r="L112" s="1"/>
      <c r="M112" s="1"/>
    </row>
    <row r="113" spans="1:13">
      <c r="A113" s="1"/>
      <c r="B113" s="1"/>
      <c r="C113" s="1"/>
      <c r="D113" s="1"/>
      <c r="E113" s="1"/>
      <c r="F113" s="1"/>
      <c r="G113" s="1"/>
      <c r="H113" s="1"/>
      <c r="I113" s="1"/>
      <c r="J113" s="1"/>
      <c r="K113" s="1"/>
      <c r="L113" s="1"/>
      <c r="M113" s="1"/>
    </row>
    <row r="114" spans="1:13" ht="42.75" customHeight="1">
      <c r="A114" s="461" t="s">
        <v>772</v>
      </c>
      <c r="B114" s="461"/>
      <c r="C114" s="461"/>
      <c r="D114" s="461"/>
      <c r="E114" s="461"/>
      <c r="F114" s="461"/>
      <c r="G114" s="461"/>
      <c r="H114" s="461"/>
      <c r="I114" s="461"/>
      <c r="J114" s="461"/>
      <c r="K114" s="461"/>
      <c r="L114" s="461"/>
      <c r="M114" s="461"/>
    </row>
    <row r="115" spans="1:13" ht="32">
      <c r="A115" s="73" t="s">
        <v>773</v>
      </c>
      <c r="B115" s="73" t="s">
        <v>774</v>
      </c>
      <c r="C115" s="73" t="s">
        <v>775</v>
      </c>
      <c r="D115" s="73" t="s">
        <v>776</v>
      </c>
      <c r="E115" s="73" t="s">
        <v>777</v>
      </c>
      <c r="F115" s="73" t="s">
        <v>730</v>
      </c>
      <c r="G115" s="1"/>
      <c r="H115" s="73" t="s">
        <v>778</v>
      </c>
      <c r="I115" s="73" t="s">
        <v>2</v>
      </c>
      <c r="J115" s="73" t="s">
        <v>779</v>
      </c>
      <c r="K115" s="73" t="s">
        <v>780</v>
      </c>
      <c r="L115" s="73"/>
      <c r="M115" s="73"/>
    </row>
    <row r="116" spans="1:13" ht="30">
      <c r="A116" s="1" t="s">
        <v>692</v>
      </c>
      <c r="B116" s="13">
        <f>$B$28</f>
        <v>300</v>
      </c>
      <c r="C116" s="42" t="s">
        <v>181</v>
      </c>
      <c r="D116" s="42" t="s">
        <v>301</v>
      </c>
      <c r="E116" s="13">
        <f>$B$28</f>
        <v>300</v>
      </c>
      <c r="F116" s="1" t="s">
        <v>18</v>
      </c>
      <c r="G116" s="1"/>
      <c r="H116" s="1" t="s">
        <v>781</v>
      </c>
      <c r="I116" s="46">
        <f>$B$6*$B$7</f>
        <v>260</v>
      </c>
      <c r="J116" s="1" t="s">
        <v>782</v>
      </c>
      <c r="K116" s="1" t="s">
        <v>783</v>
      </c>
      <c r="L116" s="1"/>
      <c r="M116" s="1"/>
    </row>
    <row r="117" spans="1:13" ht="30">
      <c r="A117" s="1" t="s">
        <v>784</v>
      </c>
      <c r="B117" s="13">
        <f>$B$29</f>
        <v>0</v>
      </c>
      <c r="C117" s="42" t="s">
        <v>785</v>
      </c>
      <c r="D117" s="42" t="s">
        <v>301</v>
      </c>
      <c r="E117" s="13">
        <f>$B$29</f>
        <v>0</v>
      </c>
      <c r="F117" s="1" t="s">
        <v>786</v>
      </c>
      <c r="G117" s="1"/>
      <c r="H117" s="1" t="s">
        <v>787</v>
      </c>
      <c r="I117" s="14">
        <f>$AB$13</f>
        <v>0.45</v>
      </c>
      <c r="J117" s="1" t="s">
        <v>788</v>
      </c>
      <c r="K117" s="1" t="s">
        <v>789</v>
      </c>
      <c r="L117" s="1"/>
      <c r="M117" s="1"/>
    </row>
    <row r="118" spans="1:13" ht="30">
      <c r="A118" s="1" t="s">
        <v>696</v>
      </c>
      <c r="B118" s="13">
        <f>$B$30</f>
        <v>0</v>
      </c>
      <c r="C118" s="42" t="s">
        <v>790</v>
      </c>
      <c r="D118" s="42" t="s">
        <v>301</v>
      </c>
      <c r="E118" s="13">
        <f>$B$30</f>
        <v>0</v>
      </c>
      <c r="F118" s="1" t="s">
        <v>18</v>
      </c>
      <c r="G118" s="1"/>
      <c r="H118" s="1" t="s">
        <v>791</v>
      </c>
      <c r="I118" s="46">
        <f>I116*I117</f>
        <v>117</v>
      </c>
      <c r="J118" s="1" t="s">
        <v>792</v>
      </c>
      <c r="K118" s="1" t="s">
        <v>793</v>
      </c>
      <c r="L118" s="1"/>
      <c r="M118" s="1"/>
    </row>
    <row r="119" spans="1:13" ht="45">
      <c r="A119" s="1" t="s">
        <v>794</v>
      </c>
      <c r="B119" s="13">
        <f>$AB$22</f>
        <v>300</v>
      </c>
      <c r="C119" s="42" t="s">
        <v>795</v>
      </c>
      <c r="D119" s="42" t="s">
        <v>301</v>
      </c>
      <c r="E119" s="13">
        <f>$AB$22</f>
        <v>300</v>
      </c>
      <c r="F119" s="1" t="s">
        <v>1387</v>
      </c>
      <c r="G119" s="1"/>
      <c r="H119" s="1" t="s">
        <v>796</v>
      </c>
      <c r="I119" s="46">
        <f>$AB$16</f>
        <v>135.73403999999999</v>
      </c>
      <c r="J119" s="1" t="s">
        <v>797</v>
      </c>
      <c r="K119" s="1" t="s">
        <v>798</v>
      </c>
      <c r="L119" s="1"/>
      <c r="M119" s="1"/>
    </row>
    <row r="120" spans="1:13" ht="30">
      <c r="A120" s="132" t="s">
        <v>1388</v>
      </c>
      <c r="B120" s="133">
        <f>'NC Credits'!$B$11*'NC Credits'!$B$7</f>
        <v>0</v>
      </c>
      <c r="C120" s="132" t="s">
        <v>1389</v>
      </c>
      <c r="D120" s="132" t="s">
        <v>301</v>
      </c>
      <c r="E120" s="134">
        <f>B120</f>
        <v>0</v>
      </c>
      <c r="F120" s="132" t="s">
        <v>1390</v>
      </c>
      <c r="G120" s="1"/>
      <c r="H120" s="1" t="s">
        <v>799</v>
      </c>
      <c r="I120" s="46">
        <f>$B$14</f>
        <v>1.3</v>
      </c>
      <c r="J120" s="1" t="s">
        <v>800</v>
      </c>
      <c r="K120" s="1" t="s">
        <v>801</v>
      </c>
      <c r="L120" s="1"/>
      <c r="M120" s="1"/>
    </row>
    <row r="121" spans="1:13" ht="30">
      <c r="A121" s="132" t="s">
        <v>1391</v>
      </c>
      <c r="B121" s="133">
        <f>'NC Credits'!$B$12*'NC Credits'!$B$7</f>
        <v>0</v>
      </c>
      <c r="C121" s="132" t="s">
        <v>790</v>
      </c>
      <c r="D121" s="132" t="s">
        <v>301</v>
      </c>
      <c r="E121" s="134">
        <f>B121</f>
        <v>0</v>
      </c>
      <c r="F121" s="132" t="s">
        <v>1390</v>
      </c>
      <c r="G121" s="1"/>
      <c r="H121" s="1"/>
      <c r="I121" s="1"/>
      <c r="J121" s="1"/>
      <c r="K121" s="1"/>
      <c r="L121" s="1"/>
      <c r="M121" s="1"/>
    </row>
    <row r="122" spans="1:13">
      <c r="A122" s="1"/>
      <c r="B122" s="1"/>
      <c r="C122" s="1"/>
      <c r="D122" s="1"/>
      <c r="E122" s="1"/>
      <c r="F122" s="1"/>
      <c r="G122" s="1"/>
      <c r="H122" s="1"/>
      <c r="I122" s="1"/>
      <c r="J122" s="1"/>
      <c r="K122" s="1"/>
      <c r="L122" s="1"/>
      <c r="M122" s="1"/>
    </row>
    <row r="123" spans="1:13" ht="42.75" customHeight="1">
      <c r="A123" s="461" t="s">
        <v>802</v>
      </c>
      <c r="B123" s="461"/>
      <c r="C123" s="461"/>
      <c r="D123" s="461"/>
      <c r="E123" s="461"/>
      <c r="F123" s="461"/>
      <c r="G123" s="461"/>
      <c r="H123" s="461"/>
      <c r="I123" s="461"/>
      <c r="J123" s="461"/>
      <c r="K123" s="461"/>
      <c r="L123" s="461"/>
      <c r="M123" s="461"/>
    </row>
    <row r="124" spans="1:13" ht="32">
      <c r="A124" s="73" t="s">
        <v>663</v>
      </c>
      <c r="B124" s="73" t="s">
        <v>665</v>
      </c>
      <c r="C124" s="73" t="s">
        <v>803</v>
      </c>
      <c r="D124" s="73" t="s">
        <v>804</v>
      </c>
      <c r="E124" s="73" t="s">
        <v>805</v>
      </c>
      <c r="F124" s="73" t="s">
        <v>806</v>
      </c>
      <c r="G124" s="73" t="s">
        <v>807</v>
      </c>
      <c r="H124" s="1"/>
      <c r="I124" s="1"/>
      <c r="J124" s="1"/>
      <c r="K124" s="1"/>
      <c r="L124" s="1"/>
      <c r="M124" s="1"/>
    </row>
    <row r="125" spans="1:13" ht="15">
      <c r="A125" s="1">
        <v>1</v>
      </c>
      <c r="B125" s="13">
        <f>A125*$AB$11</f>
        <v>1310.8917847457628</v>
      </c>
      <c r="C125" s="13">
        <f>B125</f>
        <v>1310.8917847457628</v>
      </c>
      <c r="D125" s="13">
        <f>C125*$B$31</f>
        <v>393.26753542372882</v>
      </c>
      <c r="E125" s="13">
        <f>$AB$22</f>
        <v>300</v>
      </c>
      <c r="F125" s="42" t="str">
        <f>IF(E125&gt;C125,"RED — CAC exceeds contribution",IF(E125&gt;D125,"AMBER — repeat dependent","GREEN — healthy"))</f>
        <v>GREEN — healthy</v>
      </c>
      <c r="G125" s="46">
        <f>IF($AB$11&lt;=0,0,E125/$AB$11)</f>
        <v>0.228851842303812</v>
      </c>
      <c r="H125" s="1"/>
      <c r="I125" s="1"/>
      <c r="J125" s="1"/>
      <c r="K125" s="1"/>
      <c r="L125" s="1"/>
      <c r="M125" s="1"/>
    </row>
    <row r="126" spans="1:13" ht="15">
      <c r="A126" s="1">
        <v>2</v>
      </c>
      <c r="B126" s="13">
        <f>A126*$AB$11</f>
        <v>2621.7835694915257</v>
      </c>
      <c r="C126" s="13">
        <f>B126</f>
        <v>2621.7835694915257</v>
      </c>
      <c r="D126" s="13">
        <f>C126*$B$31</f>
        <v>786.53507084745763</v>
      </c>
      <c r="E126" s="13">
        <f>$AB$22</f>
        <v>300</v>
      </c>
      <c r="F126" s="42" t="str">
        <f>IF(E126&gt;C126,"RED — CAC exceeds contribution",IF(E126&gt;D126,"AMBER — repeat dependent","GREEN — healthy"))</f>
        <v>GREEN — healthy</v>
      </c>
      <c r="G126" s="46">
        <f>IF($AB$11&lt;=0,0,E126/$AB$11)</f>
        <v>0.228851842303812</v>
      </c>
      <c r="H126" s="1"/>
      <c r="I126" s="1"/>
      <c r="J126" s="1"/>
      <c r="K126" s="1"/>
      <c r="L126" s="1"/>
      <c r="M126" s="1"/>
    </row>
    <row r="127" spans="1:13" ht="15">
      <c r="A127" s="1">
        <v>4</v>
      </c>
      <c r="B127" s="13">
        <f>A127*$AB$11</f>
        <v>5243.5671389830513</v>
      </c>
      <c r="C127" s="13">
        <f>B127</f>
        <v>5243.5671389830513</v>
      </c>
      <c r="D127" s="13">
        <f>C127*$B$31</f>
        <v>1573.0701416949153</v>
      </c>
      <c r="E127" s="13">
        <f>$AB$22</f>
        <v>300</v>
      </c>
      <c r="F127" s="42" t="str">
        <f>IF(E127&gt;C127,"RED — CAC exceeds contribution",IF(E127&gt;D127,"AMBER — repeat dependent","GREEN — healthy"))</f>
        <v>GREEN — healthy</v>
      </c>
      <c r="G127" s="46">
        <f>IF($AB$11&lt;=0,0,E127/$AB$11)</f>
        <v>0.228851842303812</v>
      </c>
      <c r="H127" s="1"/>
      <c r="I127" s="1"/>
      <c r="J127" s="1"/>
      <c r="K127" s="1"/>
      <c r="L127" s="1"/>
      <c r="M127" s="1"/>
    </row>
    <row r="128" spans="1:13" ht="15">
      <c r="A128" s="1">
        <v>8</v>
      </c>
      <c r="B128" s="13">
        <f>A128*$AB$11</f>
        <v>10487.134277966103</v>
      </c>
      <c r="C128" s="13">
        <f>B128</f>
        <v>10487.134277966103</v>
      </c>
      <c r="D128" s="13">
        <f>C128*$B$31</f>
        <v>3146.1402833898305</v>
      </c>
      <c r="E128" s="13">
        <f>$AB$22</f>
        <v>300</v>
      </c>
      <c r="F128" s="42" t="str">
        <f>IF(E128&gt;C128,"RED — CAC exceeds contribution",IF(E128&gt;D128,"AMBER — repeat dependent","GREEN — healthy"))</f>
        <v>GREEN — healthy</v>
      </c>
      <c r="G128" s="46">
        <f>IF($AB$11&lt;=0,0,E128/$AB$11)</f>
        <v>0.228851842303812</v>
      </c>
      <c r="H128" s="1"/>
      <c r="I128" s="1"/>
      <c r="J128" s="1"/>
      <c r="K128" s="1"/>
      <c r="L128" s="1"/>
      <c r="M128" s="1"/>
    </row>
    <row r="129" spans="1:13" ht="15">
      <c r="A129" s="1">
        <v>12</v>
      </c>
      <c r="B129" s="13">
        <f>A129*$AB$11</f>
        <v>15730.701416949154</v>
      </c>
      <c r="C129" s="13">
        <f>B129</f>
        <v>15730.701416949154</v>
      </c>
      <c r="D129" s="13">
        <f>C129*$B$31</f>
        <v>4719.210425084746</v>
      </c>
      <c r="E129" s="13">
        <f>$AB$22</f>
        <v>300</v>
      </c>
      <c r="F129" s="42" t="str">
        <f>IF(E129&gt;C129,"RED — CAC exceeds contribution",IF(E129&gt;D129,"AMBER — repeat dependent","GREEN — healthy"))</f>
        <v>GREEN — healthy</v>
      </c>
      <c r="G129" s="46">
        <f>IF($AB$11&lt;=0,0,E129/$AB$11)</f>
        <v>0.228851842303812</v>
      </c>
      <c r="H129" s="1"/>
      <c r="I129" s="1"/>
      <c r="J129" s="1"/>
      <c r="K129" s="1"/>
      <c r="L129" s="1"/>
      <c r="M129" s="1"/>
    </row>
    <row r="130" spans="1:13">
      <c r="A130" s="1"/>
      <c r="B130" s="1"/>
      <c r="C130" s="1"/>
      <c r="D130" s="1"/>
      <c r="E130" s="1"/>
      <c r="F130" s="1"/>
      <c r="G130" s="1"/>
      <c r="H130" s="1"/>
      <c r="I130" s="1"/>
      <c r="J130" s="1"/>
      <c r="K130" s="1"/>
      <c r="L130" s="1"/>
      <c r="M130" s="1"/>
    </row>
    <row r="131" spans="1:13">
      <c r="A131" s="1"/>
      <c r="B131" s="1"/>
      <c r="C131" s="1"/>
      <c r="D131" s="1"/>
      <c r="E131" s="1"/>
      <c r="F131" s="1"/>
      <c r="G131" s="1"/>
      <c r="H131" s="1"/>
      <c r="I131" s="1"/>
      <c r="J131" s="1"/>
      <c r="K131" s="1"/>
      <c r="L131" s="1"/>
      <c r="M131" s="1"/>
    </row>
    <row r="132" spans="1:13">
      <c r="A132" s="1"/>
      <c r="B132" s="1"/>
      <c r="C132" s="1"/>
      <c r="D132" s="1"/>
      <c r="E132" s="1"/>
      <c r="F132" s="1"/>
      <c r="G132" s="1"/>
      <c r="H132" s="1"/>
      <c r="I132" s="1"/>
      <c r="J132" s="1"/>
      <c r="K132" s="1"/>
      <c r="L132" s="1"/>
      <c r="M132" s="1"/>
    </row>
    <row r="133" spans="1:13" ht="42.75" customHeight="1">
      <c r="A133" s="461" t="s">
        <v>808</v>
      </c>
      <c r="B133" s="461"/>
      <c r="C133" s="461"/>
      <c r="D133" s="461"/>
      <c r="E133" s="461"/>
      <c r="F133" s="461"/>
      <c r="G133" s="461"/>
      <c r="H133" s="461"/>
      <c r="I133" s="461"/>
      <c r="J133" s="461"/>
      <c r="K133" s="461"/>
      <c r="L133" s="461"/>
      <c r="M133" s="461"/>
    </row>
    <row r="134" spans="1:13" ht="32">
      <c r="A134" s="73" t="s">
        <v>491</v>
      </c>
      <c r="B134" s="73" t="s">
        <v>809</v>
      </c>
      <c r="C134" s="73" t="s">
        <v>810</v>
      </c>
      <c r="D134" s="73" t="s">
        <v>811</v>
      </c>
      <c r="E134" s="73" t="s">
        <v>812</v>
      </c>
      <c r="F134" s="73" t="s">
        <v>813</v>
      </c>
      <c r="G134" s="73" t="s">
        <v>814</v>
      </c>
      <c r="H134" s="73" t="s">
        <v>815</v>
      </c>
      <c r="I134" s="1"/>
      <c r="J134" s="73" t="s">
        <v>816</v>
      </c>
      <c r="K134" s="73" t="s">
        <v>633</v>
      </c>
      <c r="L134" s="73" t="s">
        <v>817</v>
      </c>
      <c r="M134" s="73" t="s">
        <v>818</v>
      </c>
    </row>
    <row r="135" spans="1:13" ht="30">
      <c r="A135" s="1">
        <v>1</v>
      </c>
      <c r="B135" s="13">
        <f>A135*$AB$23</f>
        <v>1969.7800000000002</v>
      </c>
      <c r="C135" s="13">
        <f>A135*$AB$11</f>
        <v>1310.8917847457628</v>
      </c>
      <c r="D135" s="13">
        <f>C135*3</f>
        <v>3932.6753542372885</v>
      </c>
      <c r="E135" s="13">
        <f>C135*6</f>
        <v>7865.350708474577</v>
      </c>
      <c r="F135" s="13">
        <f>C135*12</f>
        <v>15730.701416949154</v>
      </c>
      <c r="G135" s="46">
        <f>IF(C135=0,0,$AB$22/C135)</f>
        <v>0.228851842303812</v>
      </c>
      <c r="H135" s="70">
        <f>IF($AB$22=0,0,F135/$AB$22)</f>
        <v>52.43567138983051</v>
      </c>
      <c r="I135" s="1"/>
      <c r="J135" s="1" t="s">
        <v>819</v>
      </c>
      <c r="K135" s="14">
        <f>$B$15</f>
        <v>0.3</v>
      </c>
      <c r="L135" s="83">
        <v>0.45</v>
      </c>
      <c r="M135" s="1" t="s">
        <v>820</v>
      </c>
    </row>
    <row r="136" spans="1:13" ht="30">
      <c r="A136" s="1">
        <v>2</v>
      </c>
      <c r="B136" s="13">
        <f>A136*$AB$23</f>
        <v>3939.5600000000004</v>
      </c>
      <c r="C136" s="13">
        <f>A136*$AB$11</f>
        <v>2621.7835694915257</v>
      </c>
      <c r="D136" s="13">
        <f>C136*3</f>
        <v>7865.350708474577</v>
      </c>
      <c r="E136" s="13">
        <f>C136*6</f>
        <v>15730.701416949154</v>
      </c>
      <c r="F136" s="13">
        <f>C136*12</f>
        <v>31461.402833898308</v>
      </c>
      <c r="G136" s="46">
        <f>IF(C136=0,0,$AB$22/C136)</f>
        <v>0.114425921151906</v>
      </c>
      <c r="H136" s="70">
        <f>IF($AB$22=0,0,F136/$AB$22)</f>
        <v>104.87134277966102</v>
      </c>
      <c r="I136" s="1"/>
      <c r="J136" s="1" t="s">
        <v>519</v>
      </c>
      <c r="K136" s="46">
        <f>$B$14</f>
        <v>1.3</v>
      </c>
      <c r="L136" s="84">
        <v>1.5</v>
      </c>
      <c r="M136" s="1" t="s">
        <v>821</v>
      </c>
    </row>
    <row r="137" spans="1:13" ht="30">
      <c r="A137" s="1">
        <v>4</v>
      </c>
      <c r="B137" s="13">
        <f>A137*$AB$23</f>
        <v>7879.1200000000008</v>
      </c>
      <c r="C137" s="13">
        <f>A137*$AB$11</f>
        <v>5243.5671389830513</v>
      </c>
      <c r="D137" s="13">
        <f>C137*3</f>
        <v>15730.701416949154</v>
      </c>
      <c r="E137" s="13">
        <f>C137*6</f>
        <v>31461.402833898308</v>
      </c>
      <c r="F137" s="13">
        <f>C137*12</f>
        <v>62922.805667796616</v>
      </c>
      <c r="G137" s="46">
        <f>IF(C137=0,0,$AB$22/C137)</f>
        <v>5.7212960575953001E-2</v>
      </c>
      <c r="H137" s="70">
        <f>IF($AB$22=0,0,F137/$AB$22)</f>
        <v>209.74268555932204</v>
      </c>
      <c r="I137" s="1"/>
      <c r="J137" s="1" t="s">
        <v>822</v>
      </c>
      <c r="K137" s="13">
        <f>$AB$11*$B$14</f>
        <v>1704.1593201694918</v>
      </c>
      <c r="L137" s="42"/>
      <c r="M137" s="1" t="s">
        <v>522</v>
      </c>
    </row>
    <row r="138" spans="1:13">
      <c r="A138" s="1">
        <v>8</v>
      </c>
      <c r="B138" s="13">
        <f>A138*$AB$23</f>
        <v>15758.240000000002</v>
      </c>
      <c r="C138" s="13">
        <f>A138*$AB$11</f>
        <v>10487.134277966103</v>
      </c>
      <c r="D138" s="13">
        <f>C138*3</f>
        <v>31461.402833898308</v>
      </c>
      <c r="E138" s="13">
        <f>C138*6</f>
        <v>62922.805667796616</v>
      </c>
      <c r="F138" s="13">
        <f>C138*12</f>
        <v>125845.61133559323</v>
      </c>
      <c r="G138" s="46">
        <f>IF(C138=0,0,$AB$22/C138)</f>
        <v>2.86064802879765E-2</v>
      </c>
      <c r="H138" s="70">
        <f>IF($AB$22=0,0,F138/$AB$22)</f>
        <v>419.48537111864408</v>
      </c>
      <c r="I138" s="1"/>
      <c r="J138" s="1"/>
      <c r="K138" s="1"/>
      <c r="L138" s="1"/>
      <c r="M138" s="1"/>
    </row>
    <row r="139" spans="1:13">
      <c r="A139" s="1"/>
      <c r="B139" s="1"/>
      <c r="C139" s="1"/>
      <c r="D139" s="1"/>
      <c r="E139" s="1"/>
      <c r="F139" s="1"/>
      <c r="G139" s="1"/>
      <c r="H139" s="1"/>
      <c r="I139" s="1"/>
      <c r="J139" s="1"/>
      <c r="K139" s="1"/>
      <c r="L139" s="1"/>
      <c r="M139" s="1"/>
    </row>
    <row r="140" spans="1:13">
      <c r="A140" s="1"/>
      <c r="B140" s="1"/>
      <c r="C140" s="1"/>
      <c r="D140" s="1"/>
      <c r="E140" s="1"/>
      <c r="F140" s="1"/>
      <c r="G140" s="1"/>
      <c r="H140" s="1"/>
      <c r="I140" s="1"/>
      <c r="J140" s="1"/>
      <c r="K140" s="1"/>
      <c r="L140" s="1"/>
      <c r="M140" s="1"/>
    </row>
    <row r="141" spans="1:13">
      <c r="A141" s="1"/>
      <c r="B141" s="1"/>
      <c r="C141" s="1"/>
      <c r="D141" s="1"/>
      <c r="E141" s="1"/>
      <c r="F141" s="1"/>
      <c r="G141" s="1"/>
      <c r="H141" s="1"/>
      <c r="I141" s="1"/>
      <c r="J141" s="1"/>
      <c r="K141" s="1"/>
      <c r="L141" s="1"/>
      <c r="M141" s="1"/>
    </row>
    <row r="142" spans="1:13" ht="42.75" customHeight="1">
      <c r="A142" s="461" t="s">
        <v>823</v>
      </c>
      <c r="B142" s="461"/>
      <c r="C142" s="461"/>
      <c r="D142" s="461"/>
      <c r="E142" s="461"/>
      <c r="F142" s="461"/>
      <c r="G142" s="461"/>
      <c r="H142" s="461"/>
      <c r="I142" s="461"/>
      <c r="J142" s="461"/>
      <c r="K142" s="461"/>
      <c r="L142" s="461"/>
      <c r="M142" s="461"/>
    </row>
    <row r="143" spans="1:13" ht="32">
      <c r="A143" s="73" t="s">
        <v>489</v>
      </c>
      <c r="B143" s="73" t="s">
        <v>490</v>
      </c>
      <c r="C143" s="73" t="s">
        <v>491</v>
      </c>
      <c r="D143" s="73" t="s">
        <v>492</v>
      </c>
      <c r="E143" s="73" t="s">
        <v>824</v>
      </c>
      <c r="F143" s="73" t="s">
        <v>825</v>
      </c>
      <c r="G143" s="73" t="s">
        <v>435</v>
      </c>
      <c r="H143" s="73" t="s">
        <v>306</v>
      </c>
      <c r="I143" s="73" t="s">
        <v>494</v>
      </c>
      <c r="J143" s="73" t="s">
        <v>826</v>
      </c>
      <c r="K143" s="1"/>
      <c r="L143" s="1"/>
      <c r="M143" s="1"/>
    </row>
    <row r="144" spans="1:13" ht="15">
      <c r="A144" s="1" t="s">
        <v>73</v>
      </c>
      <c r="B144" s="79">
        <v>2</v>
      </c>
      <c r="C144" s="79">
        <v>8</v>
      </c>
      <c r="D144" s="46">
        <f t="shared" ref="D144:D150" si="31">B144*C144</f>
        <v>16</v>
      </c>
      <c r="E144" s="46">
        <f>SUMIF('Service Economics'!$A$5:$A$34,A144,'Service Economics'!$C$5:$C$34)</f>
        <v>5</v>
      </c>
      <c r="F144" s="13">
        <f>$B$17+$B$18*$B$16*SUMIF('Service Economics'!$A$5:$A$34,A144,'Service Economics'!$D$5:$D$34)+MAX(E144-$B$18,0)*$B$19*SUMIF('Service Economics'!$A$5:$A$34,A144,'Service Economics'!$D$5:$D$34)+SUMIF('Service Economics'!$A$5:$A$34,A144,'Service Economics'!$E$5:$E$34)</f>
        <v>1463.5</v>
      </c>
      <c r="G144" s="13">
        <v>1215.9317372881358</v>
      </c>
      <c r="H144" s="13">
        <f t="shared" ref="H144:H150" si="32">D144*F144</f>
        <v>23416</v>
      </c>
      <c r="I144" s="13">
        <f t="shared" ref="I144:I150" si="33">D144*G144</f>
        <v>19454.907796610172</v>
      </c>
      <c r="J144" s="14">
        <f t="shared" ref="J144:J151" si="34">IF($B$27=0,0,I144/$B$27)</f>
        <v>0.10689509778357237</v>
      </c>
      <c r="K144" s="1"/>
      <c r="L144" s="1"/>
      <c r="M144" s="1"/>
    </row>
    <row r="145" spans="1:13" ht="15">
      <c r="A145" s="1" t="s">
        <v>75</v>
      </c>
      <c r="B145" s="79">
        <v>2</v>
      </c>
      <c r="C145" s="79">
        <v>2</v>
      </c>
      <c r="D145" s="46">
        <f t="shared" si="31"/>
        <v>4</v>
      </c>
      <c r="E145" s="46">
        <f>SUMIF('Service Economics'!$A$5:$A$34,A145,'Service Economics'!$C$5:$C$34)</f>
        <v>6</v>
      </c>
      <c r="F145" s="13">
        <f>$B$17+$B$18*$B$16*SUMIF('Service Economics'!$A$5:$A$34,A145,'Service Economics'!$D$5:$D$34)+MAX(E145-$B$18,0)*$B$19*SUMIF('Service Economics'!$A$5:$A$34,A145,'Service Economics'!$D$5:$D$34)+SUMIF('Service Economics'!$A$5:$A$34,A145,'Service Economics'!$E$5:$E$34)</f>
        <v>1873</v>
      </c>
      <c r="G145" s="13">
        <v>1548.6331355932205</v>
      </c>
      <c r="H145" s="13">
        <f t="shared" si="32"/>
        <v>7492</v>
      </c>
      <c r="I145" s="13">
        <f t="shared" si="33"/>
        <v>6194.5325423728818</v>
      </c>
      <c r="J145" s="14">
        <f t="shared" si="34"/>
        <v>3.4035893089960891E-2</v>
      </c>
      <c r="K145" s="1"/>
      <c r="L145" s="1"/>
      <c r="M145" s="1"/>
    </row>
    <row r="146" spans="1:13" ht="15">
      <c r="A146" s="1" t="s">
        <v>76</v>
      </c>
      <c r="B146" s="79">
        <v>1</v>
      </c>
      <c r="C146" s="79">
        <v>10</v>
      </c>
      <c r="D146" s="46">
        <f t="shared" si="31"/>
        <v>10</v>
      </c>
      <c r="E146" s="46">
        <f>SUMIF('Service Economics'!$A$5:$A$34,A146,'Service Economics'!$C$5:$C$34)</f>
        <v>3</v>
      </c>
      <c r="F146" s="13">
        <f>$B$17+$B$18*$B$16*SUMIF('Service Economics'!$A$5:$A$34,A146,'Service Economics'!$D$5:$D$34)+MAX(E146-$B$18,0)*$B$19*SUMIF('Service Economics'!$A$5:$A$34,A146,'Service Economics'!$D$5:$D$34)+SUMIF('Service Economics'!$A$5:$A$34,A146,'Service Economics'!$E$5:$E$34)</f>
        <v>1022.65</v>
      </c>
      <c r="G146" s="13">
        <v>857.75979237288141</v>
      </c>
      <c r="H146" s="13">
        <f t="shared" si="32"/>
        <v>10226.5</v>
      </c>
      <c r="I146" s="13">
        <f t="shared" si="33"/>
        <v>8577.5979237288138</v>
      </c>
      <c r="J146" s="14">
        <f t="shared" si="34"/>
        <v>4.7129658921586888E-2</v>
      </c>
      <c r="K146" s="1"/>
      <c r="L146" s="1"/>
      <c r="M146" s="1"/>
    </row>
    <row r="147" spans="1:13" ht="15">
      <c r="A147" s="1" t="s">
        <v>77</v>
      </c>
      <c r="B147" s="79">
        <v>3</v>
      </c>
      <c r="C147" s="79">
        <v>4</v>
      </c>
      <c r="D147" s="46">
        <f t="shared" si="31"/>
        <v>12</v>
      </c>
      <c r="E147" s="46">
        <f>SUMIF('Service Economics'!$A$5:$A$34,A147,'Service Economics'!$C$5:$C$34)</f>
        <v>2</v>
      </c>
      <c r="F147" s="13">
        <f>$B$17+$B$18*$B$16*SUMIF('Service Economics'!$A$5:$A$34,A147,'Service Economics'!$D$5:$D$34)+MAX(E147-$B$18,0)*$B$19*SUMIF('Service Economics'!$A$5:$A$34,A147,'Service Economics'!$D$5:$D$34)+SUMIF('Service Economics'!$A$5:$A$34,A147,'Service Economics'!$E$5:$E$34)</f>
        <v>707.3</v>
      </c>
      <c r="G147" s="13">
        <v>601.55127966101691</v>
      </c>
      <c r="H147" s="13">
        <f t="shared" si="32"/>
        <v>8487.5999999999985</v>
      </c>
      <c r="I147" s="13">
        <f t="shared" si="33"/>
        <v>7218.6153559322029</v>
      </c>
      <c r="J147" s="14">
        <f t="shared" si="34"/>
        <v>3.9662721735891228E-2</v>
      </c>
      <c r="K147" s="1"/>
      <c r="L147" s="1"/>
      <c r="M147" s="1"/>
    </row>
    <row r="148" spans="1:13" ht="15">
      <c r="A148" s="1" t="s">
        <v>78</v>
      </c>
      <c r="B148" s="79">
        <v>3</v>
      </c>
      <c r="C148" s="79">
        <v>1</v>
      </c>
      <c r="D148" s="46">
        <f t="shared" si="31"/>
        <v>3</v>
      </c>
      <c r="E148" s="46">
        <f>SUMIF('Service Economics'!$A$5:$A$34,A148,'Service Economics'!$C$5:$C$34)</f>
        <v>3</v>
      </c>
      <c r="F148" s="13">
        <f>$B$17+$B$18*$B$16*SUMIF('Service Economics'!$A$5:$A$34,A148,'Service Economics'!$D$5:$D$34)+MAX(E148-$B$18,0)*$B$19*SUMIF('Service Economics'!$A$5:$A$34,A148,'Service Economics'!$D$5:$D$34)+SUMIF('Service Economics'!$A$5:$A$34,A148,'Service Economics'!$E$5:$E$34)</f>
        <v>979.30000000000007</v>
      </c>
      <c r="G148" s="13">
        <v>822.53975423728821</v>
      </c>
      <c r="H148" s="13">
        <f t="shared" si="32"/>
        <v>2937.9</v>
      </c>
      <c r="I148" s="13">
        <f t="shared" si="33"/>
        <v>2467.6192627118644</v>
      </c>
      <c r="J148" s="14">
        <f t="shared" si="34"/>
        <v>1.3558347597317937E-2</v>
      </c>
      <c r="K148" s="1"/>
      <c r="L148" s="1"/>
      <c r="M148" s="1"/>
    </row>
    <row r="149" spans="1:13" ht="15">
      <c r="A149" s="1" t="s">
        <v>80</v>
      </c>
      <c r="B149" s="79">
        <v>3</v>
      </c>
      <c r="C149" s="79">
        <v>2</v>
      </c>
      <c r="D149" s="46">
        <f t="shared" si="31"/>
        <v>6</v>
      </c>
      <c r="E149" s="46">
        <f>SUMIF('Service Economics'!$A$5:$A$34,A149,'Service Economics'!$C$5:$C$34)</f>
        <v>4</v>
      </c>
      <c r="F149" s="13">
        <f>$B$17+$B$18*$B$16*SUMIF('Service Economics'!$A$5:$A$34,A149,'Service Economics'!$D$5:$D$34)+MAX(E149-$B$18,0)*$B$19*SUMIF('Service Economics'!$A$5:$A$34,A149,'Service Economics'!$D$5:$D$34)+SUMIF('Service Economics'!$A$5:$A$34,A149,'Service Economics'!$E$5:$E$34)</f>
        <v>1562.2</v>
      </c>
      <c r="G149" s="13">
        <v>1296.1213050847462</v>
      </c>
      <c r="H149" s="13">
        <f t="shared" si="32"/>
        <v>9373.2000000000007</v>
      </c>
      <c r="I149" s="13">
        <f t="shared" si="33"/>
        <v>7776.7278305084765</v>
      </c>
      <c r="J149" s="14">
        <f t="shared" si="34"/>
        <v>4.2729273794002619E-2</v>
      </c>
      <c r="K149" s="1"/>
      <c r="L149" s="1"/>
      <c r="M149" s="1"/>
    </row>
    <row r="150" spans="1:13" ht="15">
      <c r="A150" s="1" t="s">
        <v>72</v>
      </c>
      <c r="B150" s="79">
        <v>2</v>
      </c>
      <c r="C150" s="79">
        <v>1</v>
      </c>
      <c r="D150" s="46">
        <f t="shared" si="31"/>
        <v>2</v>
      </c>
      <c r="E150" s="46">
        <f>SUMIF('Service Economics'!$A$5:$A$34,A150,'Service Economics'!$C$5:$C$34)</f>
        <v>3</v>
      </c>
      <c r="F150" s="13">
        <f>$B$17+$B$18*$B$16*SUMIF('Service Economics'!$A$5:$A$34,A150,'Service Economics'!$D$5:$D$34)+MAX(E150-$B$18,0)*$B$19*SUMIF('Service Economics'!$A$5:$A$34,A150,'Service Economics'!$D$5:$D$34)+SUMIF('Service Economics'!$A$5:$A$34,A150,'Service Economics'!$E$5:$E$34)</f>
        <v>1066</v>
      </c>
      <c r="G150" s="13">
        <v>892.97983050847461</v>
      </c>
      <c r="H150" s="13">
        <f t="shared" si="32"/>
        <v>2132</v>
      </c>
      <c r="I150" s="13">
        <f t="shared" si="33"/>
        <v>1785.9596610169492</v>
      </c>
      <c r="J150" s="14">
        <f t="shared" si="34"/>
        <v>9.8129651704227973E-3</v>
      </c>
      <c r="K150" s="1"/>
      <c r="L150" s="1"/>
      <c r="M150" s="1"/>
    </row>
    <row r="151" spans="1:13" ht="16">
      <c r="A151" s="80" t="s">
        <v>502</v>
      </c>
      <c r="B151" s="80"/>
      <c r="C151" s="80"/>
      <c r="D151" s="85">
        <f>SUM(D144:D150)</f>
        <v>53</v>
      </c>
      <c r="E151" s="86"/>
      <c r="F151" s="86"/>
      <c r="G151" s="86"/>
      <c r="H151" s="87">
        <f>SUM(H144:H150)</f>
        <v>64065.2</v>
      </c>
      <c r="I151" s="87">
        <f>SUM(I144:I150)</f>
        <v>53475.96037288136</v>
      </c>
      <c r="J151" s="88">
        <f t="shared" si="34"/>
        <v>0.29382395809275474</v>
      </c>
      <c r="K151" s="1"/>
      <c r="L151" s="1"/>
      <c r="M151" s="1"/>
    </row>
    <row r="152" spans="1:13">
      <c r="A152" s="1"/>
      <c r="B152" s="1"/>
      <c r="C152" s="1"/>
      <c r="D152" s="1"/>
      <c r="E152" s="1"/>
      <c r="F152" s="1"/>
      <c r="G152" s="1"/>
      <c r="H152" s="1"/>
      <c r="I152" s="1"/>
      <c r="J152" s="1"/>
      <c r="K152" s="1"/>
      <c r="L152" s="1"/>
      <c r="M152" s="1"/>
    </row>
    <row r="153" spans="1:13">
      <c r="A153" s="1"/>
      <c r="B153" s="1"/>
      <c r="C153" s="1"/>
      <c r="D153" s="1"/>
      <c r="E153" s="1"/>
      <c r="F153" s="1"/>
      <c r="G153" s="1"/>
      <c r="H153" s="1"/>
      <c r="I153" s="1"/>
      <c r="J153" s="1"/>
      <c r="K153" s="1"/>
      <c r="L153" s="1"/>
      <c r="M153" s="1"/>
    </row>
    <row r="154" spans="1:13">
      <c r="A154" s="1"/>
      <c r="B154" s="1"/>
      <c r="C154" s="1"/>
      <c r="D154" s="1"/>
      <c r="E154" s="1"/>
      <c r="F154" s="1"/>
      <c r="G154" s="1"/>
      <c r="H154" s="1"/>
      <c r="I154" s="1"/>
      <c r="J154" s="1"/>
      <c r="K154" s="1"/>
      <c r="L154" s="1"/>
      <c r="M154" s="1"/>
    </row>
    <row r="155" spans="1:13" ht="42.75" customHeight="1">
      <c r="A155" s="461" t="s">
        <v>827</v>
      </c>
      <c r="B155" s="461"/>
      <c r="C155" s="461"/>
      <c r="D155" s="461"/>
      <c r="E155" s="461"/>
      <c r="F155" s="461"/>
      <c r="G155" s="461"/>
      <c r="H155" s="461"/>
      <c r="I155" s="461"/>
      <c r="J155" s="461"/>
      <c r="K155" s="461"/>
      <c r="L155" s="461"/>
      <c r="M155" s="461"/>
    </row>
    <row r="156" spans="1:13" ht="32">
      <c r="A156" s="73" t="s">
        <v>828</v>
      </c>
      <c r="B156" s="73" t="s">
        <v>829</v>
      </c>
      <c r="C156" s="73" t="s">
        <v>830</v>
      </c>
      <c r="D156" s="73" t="s">
        <v>831</v>
      </c>
      <c r="E156" s="73" t="s">
        <v>832</v>
      </c>
      <c r="F156" s="73" t="s">
        <v>833</v>
      </c>
      <c r="G156" s="73" t="s">
        <v>834</v>
      </c>
      <c r="H156" s="73" t="s">
        <v>835</v>
      </c>
      <c r="I156" s="73" t="s">
        <v>836</v>
      </c>
      <c r="J156" s="1"/>
      <c r="K156" s="1"/>
      <c r="L156" s="1"/>
      <c r="M156" s="1"/>
    </row>
    <row r="157" spans="1:13" ht="15">
      <c r="A157" s="50">
        <v>299</v>
      </c>
      <c r="B157" s="75">
        <v>30</v>
      </c>
      <c r="C157" s="77">
        <v>0.05</v>
      </c>
      <c r="D157" s="75">
        <v>50</v>
      </c>
      <c r="E157" s="77">
        <v>0.1</v>
      </c>
      <c r="F157" s="13">
        <f>A157*B157</f>
        <v>8970</v>
      </c>
      <c r="G157" s="13">
        <f>B157*$B$14*(($AB$5-$B$17)*C157+D157)</f>
        <v>4643.6909999999998</v>
      </c>
      <c r="H157" s="13">
        <f>F157-G157+B157*$B$14*E157*$AB$11</f>
        <v>9438.7869605084761</v>
      </c>
      <c r="I157" s="42" t="str">
        <f>IF(H157&lt;=0,"Do Not Launch",IF($AB$16&gt;=100,"Launch Now","Pilot Later"))</f>
        <v>Launch Now</v>
      </c>
      <c r="J157" s="1"/>
      <c r="K157" s="1"/>
      <c r="L157" s="1"/>
      <c r="M157" s="1"/>
    </row>
    <row r="158" spans="1:13" ht="15">
      <c r="A158" s="50">
        <v>499</v>
      </c>
      <c r="B158" s="75">
        <v>30</v>
      </c>
      <c r="C158" s="77">
        <v>0.05</v>
      </c>
      <c r="D158" s="75">
        <v>50</v>
      </c>
      <c r="E158" s="77">
        <v>0.1</v>
      </c>
      <c r="F158" s="13">
        <f>A158*B158</f>
        <v>14970</v>
      </c>
      <c r="G158" s="13">
        <f>B158*$B$14*(($AB$5-$B$17)*C158+D158)</f>
        <v>4643.6909999999998</v>
      </c>
      <c r="H158" s="13">
        <f>F158-G158+B158*$B$14*E158*$AB$11</f>
        <v>15438.786960508478</v>
      </c>
      <c r="I158" s="42" t="str">
        <f>IF(H158&lt;=0,"Do Not Launch",IF($AB$16&gt;=100,"Launch Now","Pilot Later"))</f>
        <v>Launch Now</v>
      </c>
      <c r="J158" s="1"/>
      <c r="K158" s="1"/>
      <c r="L158" s="1"/>
      <c r="M158" s="1"/>
    </row>
    <row r="159" spans="1:13" ht="15">
      <c r="A159" s="50">
        <v>799</v>
      </c>
      <c r="B159" s="75">
        <v>30</v>
      </c>
      <c r="C159" s="77">
        <v>0.05</v>
      </c>
      <c r="D159" s="75">
        <v>50</v>
      </c>
      <c r="E159" s="77">
        <v>0.1</v>
      </c>
      <c r="F159" s="13">
        <f>A159*B159</f>
        <v>23970</v>
      </c>
      <c r="G159" s="13">
        <f>B159*$B$14*(($AB$5-$B$17)*C159+D159)</f>
        <v>4643.6909999999998</v>
      </c>
      <c r="H159" s="13">
        <f>F159-G159+B159*$B$14*E159*$AB$11</f>
        <v>24438.786960508478</v>
      </c>
      <c r="I159" s="42" t="str">
        <f>IF(H159&lt;=0,"Do Not Launch",IF($AB$16&gt;=100,"Launch Now","Pilot Later"))</f>
        <v>Launch Now</v>
      </c>
      <c r="J159" s="1"/>
      <c r="K159" s="1"/>
      <c r="L159" s="1"/>
      <c r="M159" s="1"/>
    </row>
    <row r="160" spans="1:13" ht="15">
      <c r="A160" s="50">
        <v>999</v>
      </c>
      <c r="B160" s="75">
        <v>30</v>
      </c>
      <c r="C160" s="77">
        <v>0.05</v>
      </c>
      <c r="D160" s="75">
        <v>50</v>
      </c>
      <c r="E160" s="77">
        <v>0.1</v>
      </c>
      <c r="F160" s="13">
        <f>A160*B160</f>
        <v>29970</v>
      </c>
      <c r="G160" s="13">
        <f>B160*$B$14*(($AB$5-$B$17)*C160+D160)</f>
        <v>4643.6909999999998</v>
      </c>
      <c r="H160" s="13">
        <f>F160-G160+B160*$B$14*E160*$AB$11</f>
        <v>30438.786960508478</v>
      </c>
      <c r="I160" s="42" t="str">
        <f>IF(H160&lt;=0,"Do Not Launch",IF($AB$16&gt;=100,"Launch Now","Pilot Later"))</f>
        <v>Launch Now</v>
      </c>
      <c r="J160" s="1"/>
      <c r="K160" s="1"/>
      <c r="L160" s="1"/>
      <c r="M160" s="1"/>
    </row>
    <row r="161" spans="1:14">
      <c r="A161" s="1"/>
      <c r="B161" s="1"/>
      <c r="C161" s="1"/>
      <c r="D161" s="1"/>
      <c r="E161" s="1"/>
      <c r="F161" s="1"/>
      <c r="G161" s="1"/>
      <c r="H161" s="1"/>
      <c r="I161" s="1"/>
      <c r="J161" s="1"/>
      <c r="K161" s="1"/>
      <c r="L161" s="1"/>
      <c r="M161" s="1"/>
    </row>
    <row r="162" spans="1:14">
      <c r="A162" s="1"/>
      <c r="B162" s="1"/>
      <c r="C162" s="1"/>
      <c r="D162" s="1"/>
      <c r="E162" s="1"/>
      <c r="F162" s="1"/>
      <c r="G162" s="1"/>
      <c r="H162" s="1"/>
      <c r="I162" s="1"/>
      <c r="J162" s="1"/>
      <c r="K162" s="1"/>
      <c r="L162" s="1"/>
      <c r="M162" s="1"/>
    </row>
    <row r="163" spans="1:14">
      <c r="A163" s="1"/>
      <c r="B163" s="1"/>
      <c r="C163" s="1"/>
      <c r="D163" s="1"/>
      <c r="E163" s="1"/>
      <c r="F163" s="1"/>
      <c r="G163" s="1"/>
      <c r="H163" s="1"/>
      <c r="I163" s="1"/>
      <c r="J163" s="1"/>
      <c r="K163" s="1"/>
      <c r="L163" s="1"/>
      <c r="M163" s="1"/>
    </row>
    <row r="164" spans="1:14" ht="42.75" customHeight="1">
      <c r="A164" s="461" t="s">
        <v>837</v>
      </c>
      <c r="B164" s="461"/>
      <c r="C164" s="461"/>
      <c r="D164" s="461"/>
      <c r="E164" s="461"/>
      <c r="F164" s="461"/>
      <c r="G164" s="461"/>
      <c r="H164" s="461"/>
      <c r="I164" s="461"/>
      <c r="J164" s="461"/>
      <c r="K164" s="461"/>
      <c r="L164" s="461"/>
      <c r="M164" s="461"/>
    </row>
    <row r="165" spans="1:14" ht="32">
      <c r="A165" s="73" t="s">
        <v>838</v>
      </c>
      <c r="B165" s="73" t="s">
        <v>839</v>
      </c>
      <c r="C165" s="73" t="s">
        <v>41</v>
      </c>
      <c r="D165" s="73" t="s">
        <v>290</v>
      </c>
      <c r="E165" s="73" t="s">
        <v>840</v>
      </c>
      <c r="F165" s="73" t="s">
        <v>841</v>
      </c>
      <c r="G165" s="73" t="s">
        <v>842</v>
      </c>
      <c r="H165" s="73" t="s">
        <v>843</v>
      </c>
      <c r="I165" s="1"/>
      <c r="J165" s="1"/>
      <c r="K165" s="1"/>
      <c r="L165" s="1"/>
      <c r="M165" s="1"/>
    </row>
    <row r="166" spans="1:14" ht="30">
      <c r="A166" s="1" t="s">
        <v>844</v>
      </c>
      <c r="B166" s="1" t="s">
        <v>845</v>
      </c>
      <c r="C166" s="74">
        <v>0.95</v>
      </c>
      <c r="D166" s="75">
        <v>0</v>
      </c>
      <c r="E166" s="13">
        <f t="shared" ref="E166:E171" si="35">$B$17+$B$18*$B$16*C166+MAX(3-$B$18,0)*$B$19*C166+D166</f>
        <v>1022.65</v>
      </c>
      <c r="F166" s="13">
        <f t="shared" ref="F166:F171" si="36">$B$17+$B$18*$B$16*C166+MAX(4-$B$18,0)*$B$19*C166+D166</f>
        <v>1278.2</v>
      </c>
      <c r="G166" s="1" t="s">
        <v>846</v>
      </c>
      <c r="H166" s="1" t="s">
        <v>847</v>
      </c>
      <c r="I166" s="1"/>
      <c r="J166" s="1"/>
      <c r="K166" s="1"/>
      <c r="L166" s="1"/>
      <c r="M166" s="1"/>
    </row>
    <row r="167" spans="1:14" ht="30">
      <c r="A167" s="1" t="s">
        <v>848</v>
      </c>
      <c r="B167" s="1" t="s">
        <v>849</v>
      </c>
      <c r="C167" s="74">
        <v>1</v>
      </c>
      <c r="D167" s="75">
        <v>0</v>
      </c>
      <c r="E167" s="13">
        <f t="shared" si="35"/>
        <v>1066</v>
      </c>
      <c r="F167" s="13">
        <f t="shared" si="36"/>
        <v>1335</v>
      </c>
      <c r="G167" s="1" t="s">
        <v>850</v>
      </c>
      <c r="H167" s="1" t="s">
        <v>851</v>
      </c>
      <c r="I167" s="1"/>
      <c r="J167" s="1"/>
      <c r="K167" s="1"/>
      <c r="L167" s="1"/>
      <c r="M167" s="1"/>
    </row>
    <row r="168" spans="1:14" ht="30">
      <c r="A168" s="1" t="s">
        <v>852</v>
      </c>
      <c r="B168" s="1" t="s">
        <v>853</v>
      </c>
      <c r="C168" s="74">
        <v>1.1000000000000001</v>
      </c>
      <c r="D168" s="75">
        <v>149</v>
      </c>
      <c r="E168" s="13">
        <f t="shared" si="35"/>
        <v>1301.7</v>
      </c>
      <c r="F168" s="13">
        <f t="shared" si="36"/>
        <v>1597.6000000000001</v>
      </c>
      <c r="G168" s="1" t="s">
        <v>854</v>
      </c>
      <c r="H168" s="1" t="s">
        <v>855</v>
      </c>
      <c r="I168" s="1"/>
      <c r="J168" s="1"/>
      <c r="K168" s="1"/>
      <c r="L168" s="1"/>
      <c r="M168" s="1"/>
    </row>
    <row r="169" spans="1:14" ht="30">
      <c r="A169" s="1" t="s">
        <v>856</v>
      </c>
      <c r="B169" s="1" t="s">
        <v>857</v>
      </c>
      <c r="C169" s="74">
        <v>1.25</v>
      </c>
      <c r="D169" s="75">
        <v>299</v>
      </c>
      <c r="E169" s="13">
        <f t="shared" si="35"/>
        <v>1581.75</v>
      </c>
      <c r="F169" s="13">
        <f t="shared" si="36"/>
        <v>1918</v>
      </c>
      <c r="G169" s="1" t="s">
        <v>858</v>
      </c>
      <c r="H169" s="1" t="s">
        <v>859</v>
      </c>
      <c r="I169" s="1"/>
      <c r="J169" s="1"/>
      <c r="K169" s="1"/>
      <c r="L169" s="1"/>
      <c r="M169" s="1"/>
    </row>
    <row r="170" spans="1:14" ht="30">
      <c r="A170" s="1" t="s">
        <v>860</v>
      </c>
      <c r="B170" s="1" t="s">
        <v>861</v>
      </c>
      <c r="C170" s="74">
        <v>0.95</v>
      </c>
      <c r="D170" s="75">
        <v>0</v>
      </c>
      <c r="E170" s="13">
        <f t="shared" si="35"/>
        <v>1022.65</v>
      </c>
      <c r="F170" s="13">
        <f t="shared" si="36"/>
        <v>1278.2</v>
      </c>
      <c r="G170" s="1" t="s">
        <v>862</v>
      </c>
      <c r="H170" s="1" t="s">
        <v>863</v>
      </c>
      <c r="I170" s="1"/>
      <c r="J170" s="1"/>
      <c r="K170" s="1"/>
      <c r="L170" s="1"/>
      <c r="M170" s="1"/>
    </row>
    <row r="171" spans="1:14" ht="30">
      <c r="A171" s="1" t="s">
        <v>864</v>
      </c>
      <c r="B171" s="1" t="s">
        <v>865</v>
      </c>
      <c r="C171" s="74">
        <v>1.1499999999999999</v>
      </c>
      <c r="D171" s="75">
        <v>299</v>
      </c>
      <c r="E171" s="13">
        <f t="shared" si="35"/>
        <v>1495.05</v>
      </c>
      <c r="F171" s="13">
        <f t="shared" si="36"/>
        <v>1804.3999999999999</v>
      </c>
      <c r="G171" s="1" t="s">
        <v>866</v>
      </c>
      <c r="H171" s="1" t="s">
        <v>867</v>
      </c>
      <c r="I171" s="1"/>
      <c r="J171" s="1"/>
      <c r="K171" s="1"/>
      <c r="L171" s="1"/>
      <c r="M171" s="1"/>
    </row>
    <row r="172" spans="1:14">
      <c r="A172" s="1"/>
      <c r="B172" s="1"/>
      <c r="C172" s="1"/>
      <c r="D172" s="1"/>
      <c r="E172" s="1"/>
      <c r="F172" s="1"/>
      <c r="G172" s="1"/>
      <c r="H172" s="1"/>
      <c r="I172" s="1"/>
      <c r="J172" s="1"/>
      <c r="K172" s="1"/>
      <c r="L172" s="1"/>
      <c r="M172" s="1"/>
    </row>
    <row r="173" spans="1:14">
      <c r="A173" s="1"/>
      <c r="B173" s="1"/>
      <c r="C173" s="1"/>
      <c r="D173" s="1"/>
      <c r="E173" s="1"/>
      <c r="F173" s="1"/>
      <c r="G173" s="1"/>
      <c r="H173" s="1"/>
      <c r="I173" s="1"/>
      <c r="J173" s="1"/>
      <c r="K173" s="1"/>
      <c r="L173" s="1"/>
      <c r="M173" s="1"/>
    </row>
    <row r="174" spans="1:14">
      <c r="A174" s="1"/>
      <c r="B174" s="1"/>
      <c r="C174" s="1"/>
      <c r="D174" s="1"/>
      <c r="E174" s="1"/>
      <c r="F174" s="1"/>
      <c r="G174" s="1"/>
      <c r="H174" s="1"/>
      <c r="I174" s="1"/>
      <c r="J174" s="1"/>
      <c r="K174" s="1"/>
      <c r="L174" s="1"/>
      <c r="M174" s="1"/>
    </row>
    <row r="175" spans="1:14" ht="42.75" customHeight="1">
      <c r="A175" s="461" t="s">
        <v>868</v>
      </c>
      <c r="B175" s="461"/>
      <c r="C175" s="461"/>
      <c r="D175" s="461"/>
      <c r="E175" s="461"/>
      <c r="F175" s="461"/>
      <c r="G175" s="461"/>
      <c r="H175" s="461"/>
      <c r="I175" s="461"/>
      <c r="J175" s="461"/>
      <c r="K175" s="461"/>
      <c r="L175" s="461"/>
      <c r="M175" s="461"/>
    </row>
    <row r="176" spans="1:14" ht="32">
      <c r="A176" s="73" t="s">
        <v>38</v>
      </c>
      <c r="B176" s="73" t="s">
        <v>39</v>
      </c>
      <c r="C176" s="73" t="s">
        <v>40</v>
      </c>
      <c r="D176" s="73" t="s">
        <v>869</v>
      </c>
      <c r="E176" s="73" t="s">
        <v>435</v>
      </c>
      <c r="F176" s="73" t="s">
        <v>279</v>
      </c>
      <c r="G176" s="73" t="s">
        <v>709</v>
      </c>
      <c r="H176" s="73" t="s">
        <v>870</v>
      </c>
      <c r="I176" s="73" t="s">
        <v>871</v>
      </c>
      <c r="J176" s="73" t="s">
        <v>872</v>
      </c>
      <c r="K176" s="73" t="s">
        <v>873</v>
      </c>
      <c r="L176" s="1"/>
      <c r="M176" s="73" t="s">
        <v>874</v>
      </c>
      <c r="N176" s="71" t="s">
        <v>633</v>
      </c>
    </row>
    <row r="177" spans="1:14" ht="225">
      <c r="A177" s="40" t="str">
        <f>'Profit Maximizer'!A15</f>
        <v>Hospital Visit</v>
      </c>
      <c r="B177" s="40" t="str">
        <f>'Profit Maximizer'!B15</f>
        <v>Medical Visit</v>
      </c>
      <c r="C177" s="45">
        <f>'Profit Maximizer'!C15</f>
        <v>4</v>
      </c>
      <c r="D177" s="13">
        <f>$B$17+$B$18*$B$16*'Profit Maximizer'!V15+MAX(C177-$B$18,0)*$B$19*'Profit Maximizer'!V15+'Profit Maximizer'!W15</f>
        <v>1335</v>
      </c>
      <c r="E177" s="13">
        <v>1111.53093220339</v>
      </c>
      <c r="F177" s="14">
        <f t="shared" ref="F177:F206" si="37">IF(D177/(1+$B$23)=0,0,E177/(D177/(1+$B$23)))</f>
        <v>0.98247677902621744</v>
      </c>
      <c r="G177" s="13">
        <f t="shared" ref="G177:G206" si="38">IF(C177=0,0,E177/C177)</f>
        <v>277.88273305084749</v>
      </c>
      <c r="H177" s="46">
        <f>'Profit Maximizer'!K15</f>
        <v>3</v>
      </c>
      <c r="I177" s="14">
        <f>'Profit Maximizer'!R15</f>
        <v>0.23</v>
      </c>
      <c r="J177" s="46">
        <f>'Profit Maximizer'!L15</f>
        <v>3</v>
      </c>
      <c r="K177" s="46">
        <f t="shared" ref="K177:K206" si="39">MAX(G177,0)*H177*(1+I177)/MAX(J177,1)</f>
        <v>341.79576165254235</v>
      </c>
      <c r="L177" s="1"/>
      <c r="M177" s="1" t="s">
        <v>875</v>
      </c>
      <c r="N177" s="1" t="str">
        <f>INDEX($A$177:$A$206,MATCH(MAX($K$177:$K$206),$K$177:$K$206,0))</f>
        <v>Teleconsultation Concierge</v>
      </c>
    </row>
    <row r="178" spans="1:14" ht="398">
      <c r="A178" s="40" t="str">
        <f>'Profit Maximizer'!A16</f>
        <v>Hospital Visit — Concierge at Hospital</v>
      </c>
      <c r="B178" s="40" t="str">
        <f>'Profit Maximizer'!B16</f>
        <v>Medical Visit</v>
      </c>
      <c r="C178" s="45">
        <f>'Profit Maximizer'!C16</f>
        <v>3</v>
      </c>
      <c r="D178" s="13">
        <f>$B$17+$B$18*$B$16*'Profit Maximizer'!V16+MAX(C178-$B$18,0)*$B$19*'Profit Maximizer'!V16+'Profit Maximizer'!W16</f>
        <v>892.60000000000014</v>
      </c>
      <c r="E178" s="13">
        <v>752.09967796610181</v>
      </c>
      <c r="F178" s="14">
        <f t="shared" si="37"/>
        <v>0.99426128164911498</v>
      </c>
      <c r="G178" s="13">
        <f t="shared" si="38"/>
        <v>250.69989265536728</v>
      </c>
      <c r="H178" s="46">
        <f>'Profit Maximizer'!K16</f>
        <v>3</v>
      </c>
      <c r="I178" s="14">
        <f>'Profit Maximizer'!R16</f>
        <v>0.12</v>
      </c>
      <c r="J178" s="46">
        <f>'Profit Maximizer'!L16</f>
        <v>2</v>
      </c>
      <c r="K178" s="46">
        <f t="shared" si="39"/>
        <v>421.17581966101704</v>
      </c>
      <c r="L178" s="1"/>
      <c r="M178" s="1" t="s">
        <v>876</v>
      </c>
      <c r="N178" s="1" t="str">
        <f>INDEX($A$177:$A$206,MATCH(MAX($G$177:$G$206),$G$177:$G$206,0))</f>
        <v>Medical Tourism — Concierge Package (24 HR Basis)</v>
      </c>
    </row>
    <row r="179" spans="1:14" ht="90">
      <c r="A179" s="40" t="str">
        <f>'Profit Maximizer'!A17</f>
        <v>Clinic Visit</v>
      </c>
      <c r="B179" s="40" t="str">
        <f>'Profit Maximizer'!B17</f>
        <v>Medical Visit</v>
      </c>
      <c r="C179" s="45">
        <f>'Profit Maximizer'!C17</f>
        <v>2</v>
      </c>
      <c r="D179" s="13">
        <f>$B$17+$B$18*$B$16*'Profit Maximizer'!V17+MAX(C179-$B$18,0)*$B$19*'Profit Maximizer'!V17+'Profit Maximizer'!W17</f>
        <v>737.2</v>
      </c>
      <c r="E179" s="13">
        <v>625.84376271186443</v>
      </c>
      <c r="F179" s="14">
        <f t="shared" si="37"/>
        <v>1.0017575149213238</v>
      </c>
      <c r="G179" s="13">
        <f t="shared" si="38"/>
        <v>312.92188135593221</v>
      </c>
      <c r="H179" s="46">
        <f>'Profit Maximizer'!K17</f>
        <v>3</v>
      </c>
      <c r="I179" s="14">
        <f>'Profit Maximizer'!R17</f>
        <v>0.09</v>
      </c>
      <c r="J179" s="46">
        <f>'Profit Maximizer'!L17</f>
        <v>2</v>
      </c>
      <c r="K179" s="46">
        <f t="shared" si="39"/>
        <v>511.62727601694922</v>
      </c>
      <c r="L179" s="1"/>
      <c r="M179" s="1" t="s">
        <v>877</v>
      </c>
      <c r="N179" s="1" t="e">
        <f>INDEX($A$177:$A$206,MATCH(MAX(IF('Profit Maximizer'!$U$15:$U$44="Yes",$K$177:$K$206,0)),IF('Profit Maximizer'!$U$15:$U$44="Yes",$K$177:$K$206,0),0))</f>
        <v>#VALUE!</v>
      </c>
    </row>
    <row r="180" spans="1:14" ht="270">
      <c r="A180" s="40" t="str">
        <f>'Profit Maximizer'!A18</f>
        <v>Diagnostic Center Visit</v>
      </c>
      <c r="B180" s="40" t="str">
        <f>'Profit Maximizer'!B18</f>
        <v>Medical Visit</v>
      </c>
      <c r="C180" s="45">
        <f>'Profit Maximizer'!C18</f>
        <v>3</v>
      </c>
      <c r="D180" s="13">
        <f>$B$17+$B$18*$B$16*'Profit Maximizer'!V18+MAX(C180-$B$18,0)*$B$19*'Profit Maximizer'!V18+'Profit Maximizer'!W18</f>
        <v>935.94999999999993</v>
      </c>
      <c r="E180" s="13">
        <v>787.31971610169489</v>
      </c>
      <c r="F180" s="14">
        <f t="shared" si="37"/>
        <v>0.99261420481863349</v>
      </c>
      <c r="G180" s="13">
        <f t="shared" si="38"/>
        <v>262.43990536723163</v>
      </c>
      <c r="H180" s="46">
        <f>'Profit Maximizer'!K18</f>
        <v>3</v>
      </c>
      <c r="I180" s="14">
        <f>'Profit Maximizer'!R18</f>
        <v>0.08</v>
      </c>
      <c r="J180" s="46">
        <f>'Profit Maximizer'!L18</f>
        <v>2</v>
      </c>
      <c r="K180" s="46">
        <f t="shared" si="39"/>
        <v>425.15264669491529</v>
      </c>
      <c r="L180" s="1"/>
      <c r="M180" s="1" t="s">
        <v>878</v>
      </c>
      <c r="N180" s="1" t="str">
        <f>INDEX($A$177:$A$206,MATCH(MIN($G$177:$G$206),$G$177:$G$206,0))</f>
        <v>Family Medical Update Concierge</v>
      </c>
    </row>
    <row r="181" spans="1:14" ht="409.6">
      <c r="A181" s="40" t="str">
        <f>'Profit Maximizer'!A19</f>
        <v>Health Check-up Concierge</v>
      </c>
      <c r="B181" s="40" t="str">
        <f>'Profit Maximizer'!B19</f>
        <v>Medical Visit</v>
      </c>
      <c r="C181" s="45">
        <f>'Profit Maximizer'!C19</f>
        <v>5</v>
      </c>
      <c r="D181" s="13">
        <f>$B$17+$B$18*$B$16*'Profit Maximizer'!V19+MAX(C181-$B$18,0)*$B$19*'Profit Maximizer'!V19+'Profit Maximizer'!W19</f>
        <v>1463.5</v>
      </c>
      <c r="E181" s="13">
        <v>1215.9317372881358</v>
      </c>
      <c r="F181" s="14">
        <f t="shared" si="37"/>
        <v>0.98038910146908098</v>
      </c>
      <c r="G181" s="13">
        <f t="shared" si="38"/>
        <v>243.18634745762716</v>
      </c>
      <c r="H181" s="46">
        <f>'Profit Maximizer'!K19</f>
        <v>2</v>
      </c>
      <c r="I181" s="14">
        <f>'Profit Maximizer'!R19</f>
        <v>0.05</v>
      </c>
      <c r="J181" s="46">
        <f>'Profit Maximizer'!L19</f>
        <v>3</v>
      </c>
      <c r="K181" s="46">
        <f t="shared" si="39"/>
        <v>170.23044322033903</v>
      </c>
      <c r="L181" s="1"/>
      <c r="M181" s="1" t="s">
        <v>879</v>
      </c>
      <c r="N181" s="1" t="s">
        <v>880</v>
      </c>
    </row>
    <row r="182" spans="1:14" ht="15">
      <c r="A182" s="40" t="str">
        <f>'Profit Maximizer'!A20</f>
        <v>Hospital Admission Concierge</v>
      </c>
      <c r="B182" s="40" t="str">
        <f>'Profit Maximizer'!B20</f>
        <v>Hospital Support</v>
      </c>
      <c r="C182" s="45">
        <f>'Profit Maximizer'!C20</f>
        <v>4</v>
      </c>
      <c r="D182" s="13">
        <f>$B$17+$B$18*$B$16*'Profit Maximizer'!V20+MAX(C182-$B$18,0)*$B$19*'Profit Maximizer'!V20+'Profit Maximizer'!W20</f>
        <v>1505.3999999999999</v>
      </c>
      <c r="E182" s="13">
        <v>1249.9737118644068</v>
      </c>
      <c r="F182" s="14">
        <f t="shared" si="37"/>
        <v>0.97978542580045169</v>
      </c>
      <c r="G182" s="13">
        <f t="shared" si="38"/>
        <v>312.49342796610171</v>
      </c>
      <c r="H182" s="46">
        <f>'Profit Maximizer'!K20</f>
        <v>2</v>
      </c>
      <c r="I182" s="14">
        <f>'Profit Maximizer'!R20</f>
        <v>0.05</v>
      </c>
      <c r="J182" s="46">
        <f>'Profit Maximizer'!L20</f>
        <v>4</v>
      </c>
      <c r="K182" s="46">
        <f t="shared" si="39"/>
        <v>164.05904968220341</v>
      </c>
      <c r="L182" s="1"/>
      <c r="M182" s="1"/>
    </row>
    <row r="183" spans="1:14" ht="15">
      <c r="A183" s="40" t="str">
        <f>'Profit Maximizer'!A21</f>
        <v>Hospital Discharge Concierge</v>
      </c>
      <c r="B183" s="40" t="str">
        <f>'Profit Maximizer'!B21</f>
        <v>Hospital Support</v>
      </c>
      <c r="C183" s="45">
        <f>'Profit Maximizer'!C21</f>
        <v>4</v>
      </c>
      <c r="D183" s="13">
        <f>$B$17+$B$18*$B$16*'Profit Maximizer'!V21+MAX(C183-$B$18,0)*$B$19*'Profit Maximizer'!V21+'Profit Maximizer'!W21</f>
        <v>1448.6000000000001</v>
      </c>
      <c r="E183" s="13">
        <v>1203.8261186440679</v>
      </c>
      <c r="F183" s="14">
        <f t="shared" si="37"/>
        <v>0.9806121910810438</v>
      </c>
      <c r="G183" s="13">
        <f t="shared" si="38"/>
        <v>300.95652966101699</v>
      </c>
      <c r="H183" s="46">
        <f>'Profit Maximizer'!K21</f>
        <v>2</v>
      </c>
      <c r="I183" s="14">
        <f>'Profit Maximizer'!R21</f>
        <v>0.05</v>
      </c>
      <c r="J183" s="46">
        <f>'Profit Maximizer'!L21</f>
        <v>4</v>
      </c>
      <c r="K183" s="46">
        <f t="shared" si="39"/>
        <v>158.00217807203393</v>
      </c>
      <c r="L183" s="1"/>
      <c r="M183" s="1"/>
    </row>
    <row r="184" spans="1:14" ht="15">
      <c r="A184" s="40" t="str">
        <f>'Profit Maximizer'!A22</f>
        <v>Overnight Hospital Concierge</v>
      </c>
      <c r="B184" s="40" t="str">
        <f>'Profit Maximizer'!B22</f>
        <v>Hospital Support</v>
      </c>
      <c r="C184" s="45">
        <f>'Profit Maximizer'!C22</f>
        <v>12</v>
      </c>
      <c r="D184" s="13">
        <f>$B$17+$B$18*$B$16*'Profit Maximizer'!V22+MAX(C184-$B$18,0)*$B$19*'Profit Maximizer'!V22+'Profit Maximizer'!W22</f>
        <v>3292.8</v>
      </c>
      <c r="E184" s="13">
        <v>2702.1604745762716</v>
      </c>
      <c r="F184" s="14">
        <f t="shared" si="37"/>
        <v>0.96833982021379983</v>
      </c>
      <c r="G184" s="13">
        <f t="shared" si="38"/>
        <v>225.18003954802262</v>
      </c>
      <c r="H184" s="46">
        <f>'Profit Maximizer'!K22</f>
        <v>2</v>
      </c>
      <c r="I184" s="14">
        <f>'Profit Maximizer'!R22</f>
        <v>0.03</v>
      </c>
      <c r="J184" s="46">
        <f>'Profit Maximizer'!L22</f>
        <v>4</v>
      </c>
      <c r="K184" s="46">
        <f t="shared" si="39"/>
        <v>115.96772036723165</v>
      </c>
      <c r="L184" s="1"/>
      <c r="M184" s="1"/>
    </row>
    <row r="185" spans="1:14" ht="30">
      <c r="A185" s="40" t="str">
        <f>'Profit Maximizer'!A23</f>
        <v>Multi-Day Hospital Concierge (per 12h shift)</v>
      </c>
      <c r="B185" s="40" t="str">
        <f>'Profit Maximizer'!B23</f>
        <v>Hospital Support</v>
      </c>
      <c r="C185" s="45">
        <f>'Profit Maximizer'!C23</f>
        <v>12</v>
      </c>
      <c r="D185" s="13">
        <f>$B$17+$B$18*$B$16*'Profit Maximizer'!V23+MAX(C185-$B$18,0)*$B$19*'Profit Maximizer'!V23+'Profit Maximizer'!W23</f>
        <v>3292.8</v>
      </c>
      <c r="E185" s="13">
        <v>2702.1604745762716</v>
      </c>
      <c r="F185" s="14">
        <f t="shared" si="37"/>
        <v>0.96833982021379983</v>
      </c>
      <c r="G185" s="13">
        <f t="shared" si="38"/>
        <v>225.18003954802262</v>
      </c>
      <c r="H185" s="46">
        <f>'Profit Maximizer'!K23</f>
        <v>3</v>
      </c>
      <c r="I185" s="14">
        <f>'Profit Maximizer'!R23</f>
        <v>0.01</v>
      </c>
      <c r="J185" s="46">
        <f>'Profit Maximizer'!L23</f>
        <v>5</v>
      </c>
      <c r="K185" s="46">
        <f t="shared" si="39"/>
        <v>136.45910396610174</v>
      </c>
      <c r="L185" s="1"/>
      <c r="M185" s="1"/>
    </row>
    <row r="186" spans="1:14" ht="30">
      <c r="A186" s="40" t="str">
        <f>'Profit Maximizer'!A24</f>
        <v>Day Surgery / Procedure Concierge</v>
      </c>
      <c r="B186" s="40" t="str">
        <f>'Profit Maximizer'!B24</f>
        <v>Procedure &amp; Treatment</v>
      </c>
      <c r="C186" s="45">
        <f>'Profit Maximizer'!C24</f>
        <v>6</v>
      </c>
      <c r="D186" s="13">
        <f>$B$17+$B$18*$B$16*'Profit Maximizer'!V24+MAX(C186-$B$18,0)*$B$19*'Profit Maximizer'!V24+'Profit Maximizer'!W24</f>
        <v>2207.8000000000002</v>
      </c>
      <c r="E186" s="13">
        <v>1820.6439491525427</v>
      </c>
      <c r="F186" s="14">
        <f t="shared" si="37"/>
        <v>0.97307720808044218</v>
      </c>
      <c r="G186" s="13">
        <f t="shared" si="38"/>
        <v>303.44065819209044</v>
      </c>
      <c r="H186" s="46">
        <f>'Profit Maximizer'!K24</f>
        <v>2</v>
      </c>
      <c r="I186" s="14">
        <f>'Profit Maximizer'!R24</f>
        <v>0.04</v>
      </c>
      <c r="J186" s="46">
        <f>'Profit Maximizer'!L24</f>
        <v>4</v>
      </c>
      <c r="K186" s="46">
        <f t="shared" si="39"/>
        <v>157.78914225988703</v>
      </c>
      <c r="L186" s="1"/>
      <c r="M186" s="1"/>
    </row>
    <row r="187" spans="1:14" ht="30">
      <c r="A187" s="40" t="str">
        <f>'Profit Maximizer'!A25</f>
        <v>Pre-Surgery Concierge</v>
      </c>
      <c r="B187" s="40" t="str">
        <f>'Profit Maximizer'!B25</f>
        <v>Procedure &amp; Treatment</v>
      </c>
      <c r="C187" s="45">
        <f>'Profit Maximizer'!C25</f>
        <v>4</v>
      </c>
      <c r="D187" s="13">
        <f>$B$17+$B$18*$B$16*'Profit Maximizer'!V25+MAX(C187-$B$18,0)*$B$19*'Profit Maximizer'!V25+'Profit Maximizer'!W25</f>
        <v>1448.6000000000001</v>
      </c>
      <c r="E187" s="13">
        <v>1203.8261186440679</v>
      </c>
      <c r="F187" s="14">
        <f t="shared" si="37"/>
        <v>0.9806121910810438</v>
      </c>
      <c r="G187" s="13">
        <f t="shared" si="38"/>
        <v>300.95652966101699</v>
      </c>
      <c r="H187" s="46">
        <f>'Profit Maximizer'!K25</f>
        <v>2</v>
      </c>
      <c r="I187" s="14">
        <f>'Profit Maximizer'!R25</f>
        <v>0.02</v>
      </c>
      <c r="J187" s="46">
        <f>'Profit Maximizer'!L25</f>
        <v>3</v>
      </c>
      <c r="K187" s="46">
        <f t="shared" si="39"/>
        <v>204.65044016949153</v>
      </c>
      <c r="L187" s="1"/>
      <c r="M187" s="1"/>
    </row>
    <row r="188" spans="1:14" ht="30">
      <c r="A188" s="40" t="str">
        <f>'Profit Maximizer'!A26</f>
        <v>Post-Surgery Follow-up</v>
      </c>
      <c r="B188" s="40" t="str">
        <f>'Profit Maximizer'!B26</f>
        <v>Procedure &amp; Treatment</v>
      </c>
      <c r="C188" s="45">
        <f>'Profit Maximizer'!C26</f>
        <v>3</v>
      </c>
      <c r="D188" s="13">
        <f>$B$17+$B$18*$B$16*'Profit Maximizer'!V26+MAX(C188-$B$18,0)*$B$19*'Profit Maximizer'!V26+'Profit Maximizer'!W26</f>
        <v>1066</v>
      </c>
      <c r="E188" s="13">
        <v>892.97983050847461</v>
      </c>
      <c r="F188" s="14">
        <f t="shared" si="37"/>
        <v>0.9884767354596623</v>
      </c>
      <c r="G188" s="13">
        <f t="shared" si="38"/>
        <v>297.65994350282489</v>
      </c>
      <c r="H188" s="46">
        <f>'Profit Maximizer'!K26</f>
        <v>3</v>
      </c>
      <c r="I188" s="14">
        <f>'Profit Maximizer'!R26</f>
        <v>0.03</v>
      </c>
      <c r="J188" s="46">
        <f>'Profit Maximizer'!L26</f>
        <v>3</v>
      </c>
      <c r="K188" s="46">
        <f t="shared" si="39"/>
        <v>306.5897418079096</v>
      </c>
      <c r="L188" s="1"/>
      <c r="M188" s="1"/>
    </row>
    <row r="189" spans="1:14" ht="15">
      <c r="A189" s="40" t="str">
        <f>'Profit Maximizer'!A27</f>
        <v>Dialysis Visit Concierge</v>
      </c>
      <c r="B189" s="40" t="str">
        <f>'Profit Maximizer'!B27</f>
        <v>Recurring Treatment</v>
      </c>
      <c r="C189" s="45">
        <f>'Profit Maximizer'!C27</f>
        <v>5</v>
      </c>
      <c r="D189" s="13">
        <f>$B$17+$B$18*$B$16*'Profit Maximizer'!V27+MAX(C189-$B$18,0)*$B$19*'Profit Maximizer'!V27+'Profit Maximizer'!W27</f>
        <v>1463.5</v>
      </c>
      <c r="E189" s="13">
        <v>1215.9317372881358</v>
      </c>
      <c r="F189" s="14">
        <f t="shared" si="37"/>
        <v>0.98038910146908098</v>
      </c>
      <c r="G189" s="13">
        <f t="shared" si="38"/>
        <v>243.18634745762716</v>
      </c>
      <c r="H189" s="46">
        <f>'Profit Maximizer'!K27</f>
        <v>5</v>
      </c>
      <c r="I189" s="14">
        <f>'Profit Maximizer'!R27</f>
        <v>0.04</v>
      </c>
      <c r="J189" s="46">
        <f>'Profit Maximizer'!L27</f>
        <v>3</v>
      </c>
      <c r="K189" s="46">
        <f t="shared" si="39"/>
        <v>421.52300225988711</v>
      </c>
      <c r="L189" s="1"/>
      <c r="M189" s="1"/>
    </row>
    <row r="190" spans="1:14" ht="15">
      <c r="A190" s="40" t="str">
        <f>'Profit Maximizer'!A28</f>
        <v>Chemotherapy Visit Concierge</v>
      </c>
      <c r="B190" s="40" t="str">
        <f>'Profit Maximizer'!B28</f>
        <v>Recurring Treatment</v>
      </c>
      <c r="C190" s="45">
        <f>'Profit Maximizer'!C28</f>
        <v>6</v>
      </c>
      <c r="D190" s="13">
        <f>$B$17+$B$18*$B$16*'Profit Maximizer'!V28+MAX(C190-$B$18,0)*$B$19*'Profit Maximizer'!V28+'Profit Maximizer'!W28</f>
        <v>1873</v>
      </c>
      <c r="E190" s="13">
        <v>1548.6331355932205</v>
      </c>
      <c r="F190" s="14">
        <f t="shared" si="37"/>
        <v>0.97564714361986116</v>
      </c>
      <c r="G190" s="13">
        <f t="shared" si="38"/>
        <v>258.1055225988701</v>
      </c>
      <c r="H190" s="46">
        <f>'Profit Maximizer'!K28</f>
        <v>5</v>
      </c>
      <c r="I190" s="14">
        <f>'Profit Maximizer'!R28</f>
        <v>0.02</v>
      </c>
      <c r="J190" s="46">
        <f>'Profit Maximizer'!L28</f>
        <v>4</v>
      </c>
      <c r="K190" s="46">
        <f t="shared" si="39"/>
        <v>329.08454131355938</v>
      </c>
      <c r="L190" s="1"/>
      <c r="M190" s="1"/>
    </row>
    <row r="191" spans="1:14" ht="15">
      <c r="A191" s="40" t="str">
        <f>'Profit Maximizer'!A29</f>
        <v>Radiation Therapy Concierge</v>
      </c>
      <c r="B191" s="40" t="str">
        <f>'Profit Maximizer'!B29</f>
        <v>Recurring Treatment</v>
      </c>
      <c r="C191" s="45">
        <f>'Profit Maximizer'!C29</f>
        <v>3</v>
      </c>
      <c r="D191" s="13">
        <f>$B$17+$B$18*$B$16*'Profit Maximizer'!V29+MAX(C191-$B$18,0)*$B$19*'Profit Maximizer'!V29+'Profit Maximizer'!W29</f>
        <v>1022.65</v>
      </c>
      <c r="E191" s="13">
        <v>857.75979237288141</v>
      </c>
      <c r="F191" s="14">
        <f t="shared" si="37"/>
        <v>0.9897389673886472</v>
      </c>
      <c r="G191" s="13">
        <f t="shared" si="38"/>
        <v>285.91993079096045</v>
      </c>
      <c r="H191" s="46">
        <f>'Profit Maximizer'!K29</f>
        <v>5</v>
      </c>
      <c r="I191" s="14">
        <f>'Profit Maximizer'!R29</f>
        <v>0.01</v>
      </c>
      <c r="J191" s="46">
        <f>'Profit Maximizer'!L29</f>
        <v>3</v>
      </c>
      <c r="K191" s="46">
        <f t="shared" si="39"/>
        <v>481.29855016478342</v>
      </c>
      <c r="L191" s="1"/>
      <c r="M191" s="1"/>
    </row>
    <row r="192" spans="1:14" ht="15">
      <c r="A192" s="40" t="str">
        <f>'Profit Maximizer'!A30</f>
        <v>Physiotherapy / Rehab Visit</v>
      </c>
      <c r="B192" s="40" t="str">
        <f>'Profit Maximizer'!B30</f>
        <v>Recurring Treatment</v>
      </c>
      <c r="C192" s="45">
        <f>'Profit Maximizer'!C30</f>
        <v>2</v>
      </c>
      <c r="D192" s="13">
        <f>$B$17+$B$18*$B$16*'Profit Maximizer'!V30+MAX(C192-$B$18,0)*$B$19*'Profit Maximizer'!V30+'Profit Maximizer'!W30</f>
        <v>707.3</v>
      </c>
      <c r="E192" s="13">
        <v>601.55127966101691</v>
      </c>
      <c r="F192" s="14">
        <f t="shared" si="37"/>
        <v>1.0035777039445779</v>
      </c>
      <c r="G192" s="13">
        <f t="shared" si="38"/>
        <v>300.77563983050845</v>
      </c>
      <c r="H192" s="46">
        <f>'Profit Maximizer'!K30</f>
        <v>5</v>
      </c>
      <c r="I192" s="14">
        <f>'Profit Maximizer'!R30</f>
        <v>0.03</v>
      </c>
      <c r="J192" s="46">
        <f>'Profit Maximizer'!L30</f>
        <v>2</v>
      </c>
      <c r="K192" s="46">
        <f t="shared" si="39"/>
        <v>774.49727256355925</v>
      </c>
      <c r="L192" s="1"/>
      <c r="M192" s="1"/>
    </row>
    <row r="193" spans="1:13" ht="15">
      <c r="A193" s="40" t="str">
        <f>'Profit Maximizer'!A31</f>
        <v>Chronic Care Follow-up</v>
      </c>
      <c r="B193" s="40" t="str">
        <f>'Profit Maximizer'!B31</f>
        <v>Continuing Care</v>
      </c>
      <c r="C193" s="45">
        <f>'Profit Maximizer'!C31</f>
        <v>3</v>
      </c>
      <c r="D193" s="13">
        <f>$B$17+$B$18*$B$16*'Profit Maximizer'!V31+MAX(C193-$B$18,0)*$B$19*'Profit Maximizer'!V31+'Profit Maximizer'!W31</f>
        <v>979.30000000000007</v>
      </c>
      <c r="E193" s="13">
        <v>822.53975423728821</v>
      </c>
      <c r="F193" s="14">
        <f t="shared" si="37"/>
        <v>0.99111294802409888</v>
      </c>
      <c r="G193" s="13">
        <f t="shared" si="38"/>
        <v>274.17991807909607</v>
      </c>
      <c r="H193" s="46">
        <f>'Profit Maximizer'!K31</f>
        <v>5</v>
      </c>
      <c r="I193" s="14">
        <f>'Profit Maximizer'!R31</f>
        <v>0.02</v>
      </c>
      <c r="J193" s="46">
        <f>'Profit Maximizer'!L31</f>
        <v>2</v>
      </c>
      <c r="K193" s="46">
        <f t="shared" si="39"/>
        <v>699.15879110169499</v>
      </c>
      <c r="L193" s="1"/>
      <c r="M193" s="1"/>
    </row>
    <row r="194" spans="1:13" ht="15">
      <c r="A194" s="40" t="str">
        <f>'Profit Maximizer'!A32</f>
        <v>NRI Parent Medical Concierge</v>
      </c>
      <c r="B194" s="40" t="str">
        <f>'Profit Maximizer'!B32</f>
        <v>Continuing Care</v>
      </c>
      <c r="C194" s="45">
        <f>'Profit Maximizer'!C32</f>
        <v>4</v>
      </c>
      <c r="D194" s="13">
        <f>$B$17+$B$18*$B$16*'Profit Maximizer'!V32+MAX(C194-$B$18,0)*$B$19*'Profit Maximizer'!V32+'Profit Maximizer'!W32</f>
        <v>1562.2</v>
      </c>
      <c r="E194" s="13">
        <v>1296.1213050847462</v>
      </c>
      <c r="F194" s="14">
        <f t="shared" si="37"/>
        <v>0.97901878120599173</v>
      </c>
      <c r="G194" s="13">
        <f t="shared" si="38"/>
        <v>324.03032627118654</v>
      </c>
      <c r="H194" s="46">
        <f>'Profit Maximizer'!K32</f>
        <v>5</v>
      </c>
      <c r="I194" s="14">
        <f>'Profit Maximizer'!R32</f>
        <v>2.5000000000000001E-2</v>
      </c>
      <c r="J194" s="46">
        <f>'Profit Maximizer'!L32</f>
        <v>3</v>
      </c>
      <c r="K194" s="46">
        <f t="shared" si="39"/>
        <v>553.55180737994363</v>
      </c>
      <c r="L194" s="1"/>
      <c r="M194" s="1"/>
    </row>
    <row r="195" spans="1:13" ht="30">
      <c r="A195" s="40" t="str">
        <f>'Profit Maximizer'!A33</f>
        <v>Second Opinion Concierge</v>
      </c>
      <c r="B195" s="40" t="str">
        <f>'Profit Maximizer'!B33</f>
        <v>Medical Coordination</v>
      </c>
      <c r="C195" s="45">
        <f>'Profit Maximizer'!C33</f>
        <v>2.5</v>
      </c>
      <c r="D195" s="13">
        <f>$B$17+$B$18*$B$16*'Profit Maximizer'!V33+MAX(C195-$B$18,0)*$B$19*'Profit Maximizer'!V33+'Profit Maximizer'!W33</f>
        <v>821.625</v>
      </c>
      <c r="E195" s="13">
        <v>694.4354978813559</v>
      </c>
      <c r="F195" s="14">
        <f t="shared" si="37"/>
        <v>0.9973331964095542</v>
      </c>
      <c r="G195" s="13">
        <f t="shared" si="38"/>
        <v>277.77419915254234</v>
      </c>
      <c r="H195" s="46">
        <f>'Profit Maximizer'!K33</f>
        <v>2</v>
      </c>
      <c r="I195" s="14">
        <f>'Profit Maximizer'!R33</f>
        <v>0</v>
      </c>
      <c r="J195" s="46">
        <f>'Profit Maximizer'!L33</f>
        <v>2</v>
      </c>
      <c r="K195" s="46">
        <f t="shared" si="39"/>
        <v>277.77419915254234</v>
      </c>
      <c r="L195" s="1"/>
      <c r="M195" s="1"/>
    </row>
    <row r="196" spans="1:13" ht="30">
      <c r="A196" s="40" t="str">
        <f>'Profit Maximizer'!A34</f>
        <v>Teleconsultation Concierge</v>
      </c>
      <c r="B196" s="40" t="str">
        <f>'Profit Maximizer'!B34</f>
        <v>Medical Coordination</v>
      </c>
      <c r="C196" s="45">
        <f>'Profit Maximizer'!C34</f>
        <v>1.5</v>
      </c>
      <c r="D196" s="13">
        <f>$B$17+$B$18*$B$16*'Profit Maximizer'!V34+MAX(C196-$B$18,0)*$B$19*'Profit Maximizer'!V34+'Profit Maximizer'!W34</f>
        <v>587.70000000000005</v>
      </c>
      <c r="E196" s="13">
        <v>504.38134745762716</v>
      </c>
      <c r="F196" s="14">
        <f t="shared" si="37"/>
        <v>1.0127105496001361</v>
      </c>
      <c r="G196" s="13">
        <f t="shared" si="38"/>
        <v>336.2542316384181</v>
      </c>
      <c r="H196" s="46">
        <f>'Profit Maximizer'!K34</f>
        <v>4</v>
      </c>
      <c r="I196" s="14">
        <f>'Profit Maximizer'!R34</f>
        <v>0</v>
      </c>
      <c r="J196" s="46">
        <f>'Profit Maximizer'!L34</f>
        <v>1</v>
      </c>
      <c r="K196" s="46">
        <f t="shared" si="39"/>
        <v>1345.0169265536724</v>
      </c>
      <c r="L196" s="1"/>
      <c r="M196" s="1"/>
    </row>
    <row r="197" spans="1:13" ht="30">
      <c r="A197" s="40" t="str">
        <f>'Profit Maximizer'!A35</f>
        <v>Medical Records Concierge</v>
      </c>
      <c r="B197" s="40" t="str">
        <f>'Profit Maximizer'!B35</f>
        <v>Medical Coordination</v>
      </c>
      <c r="C197" s="45">
        <f>'Profit Maximizer'!C35</f>
        <v>2</v>
      </c>
      <c r="D197" s="13">
        <f>$B$17+$B$18*$B$16*'Profit Maximizer'!V35+MAX(C197-$B$18,0)*$B$19*'Profit Maximizer'!V35+'Profit Maximizer'!W35</f>
        <v>557.79999999999995</v>
      </c>
      <c r="E197" s="13">
        <v>480.08886440677963</v>
      </c>
      <c r="F197" s="14">
        <f t="shared" si="37"/>
        <v>1.015605700968089</v>
      </c>
      <c r="G197" s="13">
        <f t="shared" si="38"/>
        <v>240.04443220338982</v>
      </c>
      <c r="H197" s="46">
        <f>'Profit Maximizer'!K35</f>
        <v>3</v>
      </c>
      <c r="I197" s="14">
        <f>'Profit Maximizer'!R35</f>
        <v>0</v>
      </c>
      <c r="J197" s="46">
        <f>'Profit Maximizer'!L35</f>
        <v>1</v>
      </c>
      <c r="K197" s="46">
        <f t="shared" si="39"/>
        <v>720.13329661016951</v>
      </c>
      <c r="L197" s="1"/>
      <c r="M197" s="1"/>
    </row>
    <row r="198" spans="1:13" ht="30">
      <c r="A198" s="40" t="str">
        <f>'Profit Maximizer'!A36</f>
        <v>Insurance / TPA Desk Concierge</v>
      </c>
      <c r="B198" s="40" t="str">
        <f>'Profit Maximizer'!B36</f>
        <v>Medical Coordination</v>
      </c>
      <c r="C198" s="45">
        <f>'Profit Maximizer'!C36</f>
        <v>3</v>
      </c>
      <c r="D198" s="13">
        <f>$B$17+$B$18*$B$16*'Profit Maximizer'!V36+MAX(C198-$B$18,0)*$B$19*'Profit Maximizer'!V36+'Profit Maximizer'!W36</f>
        <v>849.25</v>
      </c>
      <c r="E198" s="13">
        <v>716.87963983050849</v>
      </c>
      <c r="F198" s="14">
        <f t="shared" si="37"/>
        <v>0.996076508684133</v>
      </c>
      <c r="G198" s="13">
        <f t="shared" si="38"/>
        <v>238.95987994350284</v>
      </c>
      <c r="H198" s="46">
        <f>'Profit Maximizer'!K36</f>
        <v>2</v>
      </c>
      <c r="I198" s="14">
        <f>'Profit Maximizer'!R36</f>
        <v>0.01</v>
      </c>
      <c r="J198" s="46">
        <f>'Profit Maximizer'!L36</f>
        <v>3</v>
      </c>
      <c r="K198" s="46">
        <f t="shared" si="39"/>
        <v>160.89965249529192</v>
      </c>
      <c r="L198" s="1"/>
      <c r="M198" s="1"/>
    </row>
    <row r="199" spans="1:13" ht="30">
      <c r="A199" s="40" t="str">
        <f>'Profit Maximizer'!A37</f>
        <v>Hospital Transfer Concierge</v>
      </c>
      <c r="B199" s="40" t="str">
        <f>'Profit Maximizer'!B37</f>
        <v>Medical Coordination</v>
      </c>
      <c r="C199" s="45">
        <f>'Profit Maximizer'!C37</f>
        <v>4</v>
      </c>
      <c r="D199" s="13">
        <f>$B$17+$B$18*$B$16*'Profit Maximizer'!V37+MAX(C199-$B$18,0)*$B$19*'Profit Maximizer'!V37+'Profit Maximizer'!W37</f>
        <v>1448.6000000000001</v>
      </c>
      <c r="E199" s="13">
        <v>1203.8261186440679</v>
      </c>
      <c r="F199" s="14">
        <f t="shared" si="37"/>
        <v>0.9806121910810438</v>
      </c>
      <c r="G199" s="13">
        <f t="shared" si="38"/>
        <v>300.95652966101699</v>
      </c>
      <c r="H199" s="46">
        <f>'Profit Maximizer'!K37</f>
        <v>2</v>
      </c>
      <c r="I199" s="14">
        <f>'Profit Maximizer'!R37</f>
        <v>0.01</v>
      </c>
      <c r="J199" s="46">
        <f>'Profit Maximizer'!L37</f>
        <v>4</v>
      </c>
      <c r="K199" s="46">
        <f t="shared" si="39"/>
        <v>151.98304747881357</v>
      </c>
      <c r="L199" s="1"/>
      <c r="M199" s="1"/>
    </row>
    <row r="200" spans="1:13" ht="30">
      <c r="A200" s="40" t="str">
        <f>'Profit Maximizer'!A38</f>
        <v>Rehab / Nursing Facility Transfer</v>
      </c>
      <c r="B200" s="40" t="str">
        <f>'Profit Maximizer'!B38</f>
        <v>Medical Coordination</v>
      </c>
      <c r="C200" s="45">
        <f>'Profit Maximizer'!C38</f>
        <v>4</v>
      </c>
      <c r="D200" s="13">
        <f>$B$17+$B$18*$B$16*'Profit Maximizer'!V38+MAX(C200-$B$18,0)*$B$19*'Profit Maximizer'!V38+'Profit Maximizer'!W38</f>
        <v>1391.8</v>
      </c>
      <c r="E200" s="13">
        <v>1157.6785254237291</v>
      </c>
      <c r="F200" s="14">
        <f t="shared" si="37"/>
        <v>0.98150643770656709</v>
      </c>
      <c r="G200" s="13">
        <f t="shared" si="38"/>
        <v>289.41963135593227</v>
      </c>
      <c r="H200" s="46">
        <f>'Profit Maximizer'!K38</f>
        <v>2</v>
      </c>
      <c r="I200" s="14">
        <f>'Profit Maximizer'!R38</f>
        <v>0</v>
      </c>
      <c r="J200" s="46">
        <f>'Profit Maximizer'!L38</f>
        <v>4</v>
      </c>
      <c r="K200" s="46">
        <f t="shared" si="39"/>
        <v>144.70981567796613</v>
      </c>
      <c r="L200" s="1"/>
      <c r="M200" s="1"/>
    </row>
    <row r="201" spans="1:13" ht="15">
      <c r="A201" s="40" t="str">
        <f>'Profit Maximizer'!A39</f>
        <v>24×7 Urgent Care Coordination</v>
      </c>
      <c r="B201" s="40" t="str">
        <f>'Profit Maximizer'!B39</f>
        <v>Urgent Coordination</v>
      </c>
      <c r="C201" s="45">
        <f>'Profit Maximizer'!C39</f>
        <v>4</v>
      </c>
      <c r="D201" s="13">
        <f>$B$17+$B$18*$B$16*'Profit Maximizer'!V39+MAX(C201-$B$18,0)*$B$19*'Profit Maximizer'!V39+'Profit Maximizer'!W39</f>
        <v>2174.8000000000002</v>
      </c>
      <c r="E201" s="13">
        <v>1793.8328474576276</v>
      </c>
      <c r="F201" s="14">
        <f t="shared" si="37"/>
        <v>0.97329536509104297</v>
      </c>
      <c r="G201" s="13">
        <f t="shared" si="38"/>
        <v>448.45821186440691</v>
      </c>
      <c r="H201" s="46">
        <f>'Profit Maximizer'!K39</f>
        <v>2</v>
      </c>
      <c r="I201" s="14">
        <f>'Profit Maximizer'!R39</f>
        <v>5.0000000000000001E-3</v>
      </c>
      <c r="J201" s="46">
        <f>'Profit Maximizer'!L39</f>
        <v>5</v>
      </c>
      <c r="K201" s="46">
        <f t="shared" si="39"/>
        <v>180.28020116949156</v>
      </c>
      <c r="L201" s="1"/>
      <c r="M201" s="1"/>
    </row>
    <row r="202" spans="1:13" ht="30">
      <c r="A202" s="40" t="str">
        <f>'Profit Maximizer'!A40</f>
        <v>Doctor-at-Home Coordination</v>
      </c>
      <c r="B202" s="40" t="str">
        <f>'Profit Maximizer'!B40</f>
        <v>Medical Coordination</v>
      </c>
      <c r="C202" s="45">
        <f>'Profit Maximizer'!C40</f>
        <v>2</v>
      </c>
      <c r="D202" s="13">
        <f>$B$17+$B$18*$B$16*'Profit Maximizer'!V40+MAX(C202-$B$18,0)*$B$19*'Profit Maximizer'!V40+'Profit Maximizer'!W40</f>
        <v>707.3</v>
      </c>
      <c r="E202" s="13">
        <v>601.55127966101691</v>
      </c>
      <c r="F202" s="14">
        <f t="shared" si="37"/>
        <v>1.0035777039445779</v>
      </c>
      <c r="G202" s="13">
        <f t="shared" si="38"/>
        <v>300.77563983050845</v>
      </c>
      <c r="H202" s="46">
        <f>'Profit Maximizer'!K40</f>
        <v>3</v>
      </c>
      <c r="I202" s="14">
        <f>'Profit Maximizer'!R40</f>
        <v>0</v>
      </c>
      <c r="J202" s="46">
        <f>'Profit Maximizer'!L40</f>
        <v>2</v>
      </c>
      <c r="K202" s="46">
        <f t="shared" si="39"/>
        <v>451.16345974576268</v>
      </c>
      <c r="L202" s="1"/>
      <c r="M202" s="1"/>
    </row>
    <row r="203" spans="1:13" ht="30">
      <c r="A203" s="40" t="str">
        <f>'Profit Maximizer'!A41</f>
        <v>Nurse-at-Home Coordination</v>
      </c>
      <c r="B203" s="40" t="str">
        <f>'Profit Maximizer'!B41</f>
        <v>Medical Coordination</v>
      </c>
      <c r="C203" s="45">
        <f>'Profit Maximizer'!C41</f>
        <v>2</v>
      </c>
      <c r="D203" s="13">
        <f>$B$17+$B$18*$B$16*'Profit Maximizer'!V41+MAX(C203-$B$18,0)*$B$19*'Profit Maximizer'!V41+'Profit Maximizer'!W41</f>
        <v>707.3</v>
      </c>
      <c r="E203" s="13">
        <v>601.55127966101691</v>
      </c>
      <c r="F203" s="14">
        <f t="shared" si="37"/>
        <v>1.0035777039445779</v>
      </c>
      <c r="G203" s="13">
        <f t="shared" si="38"/>
        <v>300.77563983050845</v>
      </c>
      <c r="H203" s="46">
        <f>'Profit Maximizer'!K41</f>
        <v>4</v>
      </c>
      <c r="I203" s="14">
        <f>'Profit Maximizer'!R41</f>
        <v>0</v>
      </c>
      <c r="J203" s="46">
        <f>'Profit Maximizer'!L41</f>
        <v>2</v>
      </c>
      <c r="K203" s="46">
        <f t="shared" si="39"/>
        <v>601.55127966101691</v>
      </c>
      <c r="L203" s="1"/>
      <c r="M203" s="1"/>
    </row>
    <row r="204" spans="1:13" ht="30">
      <c r="A204" s="40" t="str">
        <f>'Profit Maximizer'!A42</f>
        <v>Medical Tourism — Concierge Package (24 HR Basis)</v>
      </c>
      <c r="B204" s="40" t="str">
        <f>'Profit Maximizer'!B42</f>
        <v>Medical Coordination</v>
      </c>
      <c r="C204" s="45">
        <f>'Profit Maximizer'!C42</f>
        <v>24</v>
      </c>
      <c r="D204" s="13">
        <f>$B$17+$B$18*$B$16*'Profit Maximizer'!V42+MAX(C204-$B$18,0)*$B$19*'Profit Maximizer'!V42+'Profit Maximizer'!W42</f>
        <v>16230</v>
      </c>
      <c r="E204" s="13">
        <v>13213.087288135594</v>
      </c>
      <c r="F204" s="14">
        <f t="shared" si="37"/>
        <v>0.96065576093653726</v>
      </c>
      <c r="G204" s="13">
        <f t="shared" si="38"/>
        <v>550.54530367231644</v>
      </c>
      <c r="H204" s="46">
        <f>'Profit Maximizer'!K42</f>
        <v>3</v>
      </c>
      <c r="I204" s="14">
        <f>'Profit Maximizer'!R42</f>
        <v>0.03</v>
      </c>
      <c r="J204" s="46">
        <f>'Profit Maximizer'!L42</f>
        <v>2</v>
      </c>
      <c r="K204" s="46">
        <f t="shared" si="39"/>
        <v>850.59249417372882</v>
      </c>
      <c r="L204" s="1"/>
      <c r="M204" s="1"/>
    </row>
    <row r="205" spans="1:13" ht="30">
      <c r="A205" s="40" t="str">
        <f>'Profit Maximizer'!A43</f>
        <v>Pharmacy / Prescription Coordination</v>
      </c>
      <c r="B205" s="40" t="str">
        <f>'Profit Maximizer'!B43</f>
        <v>Medical Coordination</v>
      </c>
      <c r="C205" s="45">
        <f>'Profit Maximizer'!C43</f>
        <v>1.5</v>
      </c>
      <c r="D205" s="13">
        <f>$B$17+$B$18*$B$16*'Profit Maximizer'!V43+MAX(C205-$B$18,0)*$B$19*'Profit Maximizer'!V43+'Profit Maximizer'!W43</f>
        <v>587.70000000000005</v>
      </c>
      <c r="E205" s="13">
        <v>504.38134745762716</v>
      </c>
      <c r="F205" s="14">
        <f t="shared" si="37"/>
        <v>1.0127105496001361</v>
      </c>
      <c r="G205" s="13">
        <f t="shared" si="38"/>
        <v>336.2542316384181</v>
      </c>
      <c r="H205" s="46">
        <f>'Profit Maximizer'!K43</f>
        <v>4</v>
      </c>
      <c r="I205" s="14">
        <f>'Profit Maximizer'!R43</f>
        <v>0</v>
      </c>
      <c r="J205" s="46">
        <f>'Profit Maximizer'!L43</f>
        <v>1</v>
      </c>
      <c r="K205" s="46">
        <f t="shared" si="39"/>
        <v>1345.0169265536724</v>
      </c>
      <c r="L205" s="1"/>
      <c r="M205" s="1"/>
    </row>
    <row r="206" spans="1:13" ht="15">
      <c r="A206" s="40" t="str">
        <f>'Profit Maximizer'!A44</f>
        <v>Family Medical Update Concierge</v>
      </c>
      <c r="B206" s="40" t="str">
        <f>'Profit Maximizer'!B44</f>
        <v>Continuing Care</v>
      </c>
      <c r="C206" s="45">
        <f>'Profit Maximizer'!C44</f>
        <v>3</v>
      </c>
      <c r="D206" s="13">
        <f>$B$17+$B$18*$B$16*'Profit Maximizer'!V44+MAX(C206-$B$18,0)*$B$19*'Profit Maximizer'!V44+'Profit Maximizer'!W44</f>
        <v>762.55000000000007</v>
      </c>
      <c r="E206" s="13">
        <v>646.4395635593221</v>
      </c>
      <c r="F206" s="14">
        <f t="shared" si="37"/>
        <v>1.0003261228771883</v>
      </c>
      <c r="G206" s="13">
        <f t="shared" si="38"/>
        <v>215.47985451977402</v>
      </c>
      <c r="H206" s="46">
        <f>'Profit Maximizer'!K44</f>
        <v>5</v>
      </c>
      <c r="I206" s="14">
        <f>'Profit Maximizer'!R44</f>
        <v>0</v>
      </c>
      <c r="J206" s="46">
        <f>'Profit Maximizer'!L44</f>
        <v>1</v>
      </c>
      <c r="K206" s="46">
        <f t="shared" si="39"/>
        <v>1077.3992725988701</v>
      </c>
      <c r="L206" s="1"/>
      <c r="M206" s="1"/>
    </row>
    <row r="207" spans="1:13">
      <c r="A207" s="1"/>
      <c r="B207" s="1"/>
      <c r="C207" s="1"/>
      <c r="D207" s="1"/>
      <c r="E207" s="1"/>
      <c r="F207" s="1"/>
      <c r="G207" s="1"/>
      <c r="H207" s="1"/>
      <c r="I207" s="1"/>
      <c r="J207" s="1"/>
      <c r="K207" s="1"/>
      <c r="L207" s="1"/>
      <c r="M207" s="1"/>
    </row>
    <row r="208" spans="1:13">
      <c r="A208" s="1"/>
      <c r="B208" s="1"/>
      <c r="C208" s="1"/>
      <c r="D208" s="1"/>
      <c r="E208" s="1"/>
      <c r="F208" s="1"/>
      <c r="G208" s="1"/>
      <c r="H208" s="1"/>
      <c r="I208" s="1"/>
      <c r="J208" s="1"/>
      <c r="K208" s="1"/>
      <c r="L208" s="1"/>
      <c r="M208" s="1"/>
    </row>
    <row r="209" spans="1:13">
      <c r="A209" s="1"/>
      <c r="B209" s="1"/>
      <c r="C209" s="1"/>
      <c r="D209" s="1"/>
      <c r="E209" s="1"/>
      <c r="F209" s="1"/>
      <c r="G209" s="1"/>
      <c r="H209" s="1"/>
      <c r="I209" s="1"/>
      <c r="J209" s="1"/>
      <c r="K209" s="1"/>
      <c r="L209" s="1"/>
      <c r="M209" s="1"/>
    </row>
    <row r="210" spans="1:13" ht="42.75" customHeight="1">
      <c r="A210" s="461" t="s">
        <v>881</v>
      </c>
      <c r="B210" s="461"/>
      <c r="C210" s="461"/>
      <c r="D210" s="461"/>
      <c r="E210" s="461"/>
      <c r="F210" s="461"/>
      <c r="G210" s="461"/>
      <c r="H210" s="461"/>
      <c r="I210" s="461"/>
      <c r="J210" s="461"/>
      <c r="K210" s="461"/>
      <c r="L210" s="461"/>
      <c r="M210" s="461"/>
    </row>
    <row r="211" spans="1:13" ht="32">
      <c r="A211" s="73" t="s">
        <v>598</v>
      </c>
      <c r="B211" s="73" t="s">
        <v>882</v>
      </c>
      <c r="C211" s="73" t="s">
        <v>883</v>
      </c>
      <c r="D211" s="73" t="s">
        <v>884</v>
      </c>
      <c r="E211" s="73" t="s">
        <v>885</v>
      </c>
      <c r="F211" s="73" t="s">
        <v>886</v>
      </c>
      <c r="G211" s="73" t="s">
        <v>887</v>
      </c>
      <c r="H211" s="73" t="s">
        <v>888</v>
      </c>
      <c r="I211" s="1"/>
      <c r="J211" s="1"/>
      <c r="K211" s="1"/>
      <c r="L211" s="1"/>
      <c r="M211" s="1"/>
    </row>
    <row r="212" spans="1:13" ht="15">
      <c r="A212" s="1" t="s">
        <v>889</v>
      </c>
      <c r="B212" s="1" t="s">
        <v>890</v>
      </c>
      <c r="C212" s="13">
        <f>'Global Inputs'!$B$15+'Global Inputs'!$B$16</f>
        <v>649</v>
      </c>
      <c r="D212" s="13">
        <f>'Global Inputs'!$B$15</f>
        <v>500</v>
      </c>
      <c r="E212" s="13">
        <f>C212*$B$24</f>
        <v>0</v>
      </c>
      <c r="F212" s="13">
        <f>'Global Inputs'!$B$18</f>
        <v>10</v>
      </c>
      <c r="G212" s="13">
        <f>'Global Inputs'!$B$16/(1+'Global Inputs'!$B$17)-D212-E212-F212+'Global Inputs'!$B$15</f>
        <v>139</v>
      </c>
      <c r="H212" s="1" t="s">
        <v>891</v>
      </c>
      <c r="I212" s="1"/>
      <c r="J212" s="1"/>
      <c r="K212" s="1"/>
      <c r="L212" s="1"/>
      <c r="M212" s="1"/>
    </row>
    <row r="213" spans="1:13" ht="30">
      <c r="A213" s="1" t="s">
        <v>892</v>
      </c>
      <c r="B213" s="1" t="s">
        <v>893</v>
      </c>
      <c r="C213" s="13">
        <f>'Global Inputs'!$B$16</f>
        <v>149</v>
      </c>
      <c r="D213" s="13">
        <v>0</v>
      </c>
      <c r="E213" s="13">
        <f>C213*$B$24</f>
        <v>0</v>
      </c>
      <c r="F213" s="13">
        <f>'Global Inputs'!$B$18</f>
        <v>10</v>
      </c>
      <c r="G213" s="13">
        <f>'Global Inputs'!$B$16/(1+'Global Inputs'!$B$17)-E213-F213</f>
        <v>139</v>
      </c>
      <c r="H213" s="1" t="s">
        <v>894</v>
      </c>
      <c r="I213" s="1"/>
      <c r="J213" s="1"/>
      <c r="K213" s="1"/>
      <c r="L213" s="1"/>
      <c r="M213" s="1"/>
    </row>
    <row r="214" spans="1:13">
      <c r="A214" s="1"/>
      <c r="B214" s="1"/>
      <c r="C214" s="1"/>
      <c r="D214" s="1"/>
      <c r="E214" s="1"/>
      <c r="F214" s="1"/>
      <c r="G214" s="1"/>
      <c r="H214" s="1"/>
      <c r="I214" s="1"/>
      <c r="J214" s="1"/>
      <c r="K214" s="1"/>
      <c r="L214" s="1"/>
      <c r="M214" s="1"/>
    </row>
    <row r="215" spans="1:13" ht="64">
      <c r="A215" s="1" t="s">
        <v>895</v>
      </c>
      <c r="B215" s="89" t="str">
        <f>IF(G213&gt;=G212,"Customer pays cab provider direct + NivrāaCare coordination fee","NivrāaCare collects cab + fee")</f>
        <v>Customer pays cab provider direct + NivrāaCare coordination fee</v>
      </c>
      <c r="C215" s="42" t="s">
        <v>896</v>
      </c>
      <c r="D215" s="13">
        <f>G213-G212</f>
        <v>0</v>
      </c>
      <c r="E215" s="1"/>
      <c r="F215" s="1"/>
      <c r="G215" s="1"/>
      <c r="H215" s="1"/>
      <c r="I215" s="1"/>
      <c r="J215" s="1"/>
      <c r="K215" s="1"/>
      <c r="L215" s="1"/>
      <c r="M215" s="1"/>
    </row>
    <row r="216" spans="1:13">
      <c r="A216" s="1"/>
      <c r="B216" s="1"/>
      <c r="C216" s="1"/>
      <c r="D216" s="1"/>
      <c r="E216" s="1"/>
      <c r="F216" s="1"/>
      <c r="G216" s="1"/>
      <c r="H216" s="1"/>
      <c r="I216" s="1"/>
      <c r="J216" s="1"/>
      <c r="K216" s="1"/>
      <c r="L216" s="1"/>
      <c r="M216" s="1"/>
    </row>
    <row r="217" spans="1:13">
      <c r="A217" s="1"/>
      <c r="B217" s="1"/>
      <c r="C217" s="1"/>
      <c r="D217" s="1"/>
      <c r="E217" s="1"/>
      <c r="F217" s="1"/>
      <c r="G217" s="1"/>
      <c r="H217" s="1"/>
      <c r="I217" s="1"/>
      <c r="J217" s="1"/>
      <c r="K217" s="1"/>
      <c r="L217" s="1"/>
      <c r="M217" s="1"/>
    </row>
    <row r="218" spans="1:13">
      <c r="A218" s="1"/>
      <c r="B218" s="1"/>
      <c r="C218" s="1"/>
      <c r="D218" s="1"/>
      <c r="E218" s="1"/>
      <c r="F218" s="1"/>
      <c r="G218" s="1"/>
      <c r="H218" s="1"/>
      <c r="I218" s="1"/>
      <c r="J218" s="1"/>
      <c r="K218" s="1"/>
      <c r="L218" s="1"/>
      <c r="M218" s="1"/>
    </row>
    <row r="219" spans="1:13" ht="42.75" customHeight="1">
      <c r="A219" s="461" t="s">
        <v>897</v>
      </c>
      <c r="B219" s="461"/>
      <c r="C219" s="461"/>
      <c r="D219" s="461"/>
      <c r="E219" s="461"/>
      <c r="F219" s="461"/>
      <c r="G219" s="461"/>
      <c r="H219" s="461"/>
      <c r="I219" s="461"/>
      <c r="J219" s="461"/>
      <c r="K219" s="461"/>
      <c r="L219" s="461"/>
      <c r="M219" s="461"/>
    </row>
    <row r="220" spans="1:13" ht="32">
      <c r="A220" s="73" t="s">
        <v>898</v>
      </c>
      <c r="B220" s="73" t="s">
        <v>899</v>
      </c>
      <c r="C220" s="73" t="s">
        <v>900</v>
      </c>
      <c r="D220" s="73" t="s">
        <v>901</v>
      </c>
      <c r="E220" s="73" t="s">
        <v>251</v>
      </c>
      <c r="F220" s="73" t="s">
        <v>902</v>
      </c>
      <c r="G220" s="73" t="s">
        <v>903</v>
      </c>
      <c r="H220" s="73" t="s">
        <v>904</v>
      </c>
      <c r="I220" s="1"/>
      <c r="J220" s="1"/>
      <c r="K220" s="1"/>
      <c r="L220" s="1"/>
      <c r="M220" s="1"/>
    </row>
    <row r="221" spans="1:13">
      <c r="A221" s="76">
        <v>3</v>
      </c>
      <c r="B221" s="76">
        <v>60</v>
      </c>
      <c r="C221" s="46">
        <f t="shared" ref="C221:C226" si="40">$B$11</f>
        <v>4.62</v>
      </c>
      <c r="D221" s="46">
        <f t="shared" ref="D221:D226" si="41">A221*(C221+B221/60)</f>
        <v>16.86</v>
      </c>
      <c r="E221" s="46">
        <f t="shared" ref="E221:E226" si="42">D221/($B$9*$B$10)</f>
        <v>3.2423076923076919</v>
      </c>
      <c r="F221" s="46">
        <f t="shared" ref="F221:F226" si="43">IF(E221=0,0,A221/E221)</f>
        <v>0.92526690391459088</v>
      </c>
      <c r="G221" s="14">
        <f t="shared" ref="G221:G226" si="44">MIN(1,D221/($B$8*$B$9))</f>
        <v>0.42149999999999999</v>
      </c>
      <c r="H221" s="13">
        <f t="shared" ref="H221:H226" si="45">IF(D221=0,0,A221*$AB$11/D221)</f>
        <v>233.25476596899696</v>
      </c>
      <c r="I221" s="1"/>
      <c r="J221" s="1"/>
      <c r="K221" s="1"/>
      <c r="L221" s="1"/>
      <c r="M221" s="1"/>
    </row>
    <row r="222" spans="1:13">
      <c r="A222" s="76">
        <v>5</v>
      </c>
      <c r="B222" s="76">
        <v>50</v>
      </c>
      <c r="C222" s="46">
        <f t="shared" si="40"/>
        <v>4.62</v>
      </c>
      <c r="D222" s="46">
        <f t="shared" si="41"/>
        <v>27.266666666666666</v>
      </c>
      <c r="E222" s="46">
        <f t="shared" si="42"/>
        <v>5.2435897435897436</v>
      </c>
      <c r="F222" s="46">
        <f t="shared" si="43"/>
        <v>0.95354523227383858</v>
      </c>
      <c r="G222" s="14">
        <f t="shared" si="44"/>
        <v>0.68166666666666664</v>
      </c>
      <c r="H222" s="13">
        <f t="shared" si="45"/>
        <v>240.38357910985874</v>
      </c>
      <c r="I222" s="1"/>
      <c r="J222" s="1"/>
      <c r="K222" s="1"/>
      <c r="L222" s="1"/>
      <c r="M222" s="1"/>
    </row>
    <row r="223" spans="1:13">
      <c r="A223" s="76">
        <v>8</v>
      </c>
      <c r="B223" s="76">
        <v>40</v>
      </c>
      <c r="C223" s="46">
        <f t="shared" si="40"/>
        <v>4.62</v>
      </c>
      <c r="D223" s="46">
        <f t="shared" si="41"/>
        <v>42.293333333333337</v>
      </c>
      <c r="E223" s="46">
        <f t="shared" si="42"/>
        <v>8.1333333333333329</v>
      </c>
      <c r="F223" s="46">
        <f t="shared" si="43"/>
        <v>0.98360655737704927</v>
      </c>
      <c r="G223" s="14">
        <f t="shared" si="44"/>
        <v>1</v>
      </c>
      <c r="H223" s="13">
        <f t="shared" si="45"/>
        <v>247.96187605531452</v>
      </c>
      <c r="I223" s="1"/>
      <c r="J223" s="1"/>
      <c r="K223" s="1"/>
      <c r="L223" s="1"/>
      <c r="M223" s="1"/>
    </row>
    <row r="224" spans="1:13">
      <c r="A224" s="76">
        <v>10</v>
      </c>
      <c r="B224" s="76">
        <v>35</v>
      </c>
      <c r="C224" s="46">
        <f t="shared" si="40"/>
        <v>4.62</v>
      </c>
      <c r="D224" s="46">
        <f t="shared" si="41"/>
        <v>52.033333333333331</v>
      </c>
      <c r="E224" s="46">
        <f t="shared" si="42"/>
        <v>10.006410256410255</v>
      </c>
      <c r="F224" s="46">
        <f t="shared" si="43"/>
        <v>0.9993593850096093</v>
      </c>
      <c r="G224" s="14">
        <f t="shared" si="44"/>
        <v>1</v>
      </c>
      <c r="H224" s="13">
        <f t="shared" si="45"/>
        <v>251.9330784264759</v>
      </c>
      <c r="I224" s="1"/>
      <c r="J224" s="1"/>
      <c r="K224" s="1"/>
      <c r="L224" s="1"/>
      <c r="M224" s="1"/>
    </row>
    <row r="225" spans="1:13">
      <c r="A225" s="76">
        <v>15</v>
      </c>
      <c r="B225" s="76">
        <v>30</v>
      </c>
      <c r="C225" s="46">
        <f t="shared" si="40"/>
        <v>4.62</v>
      </c>
      <c r="D225" s="46">
        <f t="shared" si="41"/>
        <v>76.8</v>
      </c>
      <c r="E225" s="46">
        <f t="shared" si="42"/>
        <v>14.769230769230768</v>
      </c>
      <c r="F225" s="46">
        <f t="shared" si="43"/>
        <v>1.015625</v>
      </c>
      <c r="G225" s="14">
        <f t="shared" si="44"/>
        <v>1</v>
      </c>
      <c r="H225" s="13">
        <f t="shared" si="45"/>
        <v>256.03355170815684</v>
      </c>
      <c r="I225" s="1"/>
      <c r="J225" s="1"/>
      <c r="K225" s="1"/>
      <c r="L225" s="1"/>
      <c r="M225" s="1"/>
    </row>
    <row r="226" spans="1:13">
      <c r="A226" s="76">
        <v>20</v>
      </c>
      <c r="B226" s="76">
        <v>25</v>
      </c>
      <c r="C226" s="46">
        <f t="shared" si="40"/>
        <v>4.62</v>
      </c>
      <c r="D226" s="46">
        <f t="shared" si="41"/>
        <v>100.73333333333335</v>
      </c>
      <c r="E226" s="46">
        <f t="shared" si="42"/>
        <v>19.371794871794876</v>
      </c>
      <c r="F226" s="46">
        <f t="shared" si="43"/>
        <v>1.032428855062872</v>
      </c>
      <c r="G226" s="14">
        <f t="shared" si="44"/>
        <v>1</v>
      </c>
      <c r="H226" s="13">
        <f t="shared" si="45"/>
        <v>260.26971239161406</v>
      </c>
      <c r="I226" s="1"/>
      <c r="J226" s="1"/>
      <c r="K226" s="1"/>
      <c r="L226" s="1"/>
      <c r="M226" s="1"/>
    </row>
    <row r="227" spans="1:13">
      <c r="A227" s="1"/>
      <c r="B227" s="1"/>
      <c r="C227" s="1"/>
      <c r="D227" s="1"/>
      <c r="E227" s="1"/>
      <c r="F227" s="1"/>
      <c r="G227" s="1"/>
      <c r="H227" s="1"/>
      <c r="I227" s="1"/>
      <c r="J227" s="1"/>
      <c r="K227" s="1"/>
      <c r="L227" s="1"/>
      <c r="M227" s="1"/>
    </row>
    <row r="228" spans="1:13">
      <c r="A228" s="1"/>
      <c r="B228" s="1"/>
      <c r="C228" s="1"/>
      <c r="D228" s="1"/>
      <c r="E228" s="1"/>
      <c r="F228" s="1"/>
      <c r="G228" s="1"/>
      <c r="H228" s="1"/>
      <c r="I228" s="1"/>
      <c r="J228" s="1"/>
      <c r="K228" s="1"/>
      <c r="L228" s="1"/>
      <c r="M228" s="1"/>
    </row>
    <row r="229" spans="1:13">
      <c r="A229" s="1"/>
      <c r="B229" s="1"/>
      <c r="C229" s="1"/>
      <c r="D229" s="1"/>
      <c r="E229" s="1"/>
      <c r="F229" s="1"/>
      <c r="G229" s="1"/>
      <c r="H229" s="1"/>
      <c r="I229" s="1"/>
      <c r="J229" s="1"/>
      <c r="K229" s="1"/>
      <c r="L229" s="1"/>
      <c r="M229" s="1"/>
    </row>
    <row r="230" spans="1:13" ht="42.75" customHeight="1">
      <c r="A230" s="461" t="s">
        <v>905</v>
      </c>
      <c r="B230" s="461"/>
      <c r="C230" s="461"/>
      <c r="D230" s="461"/>
      <c r="E230" s="461"/>
      <c r="F230" s="461"/>
      <c r="G230" s="461"/>
      <c r="H230" s="461"/>
      <c r="I230" s="461"/>
      <c r="J230" s="461"/>
      <c r="K230" s="461"/>
      <c r="L230" s="461"/>
      <c r="M230" s="461"/>
    </row>
    <row r="231" spans="1:13" ht="48">
      <c r="A231" s="73" t="s">
        <v>906</v>
      </c>
      <c r="B231" s="73" t="s">
        <v>907</v>
      </c>
      <c r="C231" s="73" t="s">
        <v>908</v>
      </c>
      <c r="D231" s="73" t="s">
        <v>631</v>
      </c>
      <c r="E231" s="73" t="s">
        <v>909</v>
      </c>
      <c r="F231" s="73" t="s">
        <v>910</v>
      </c>
      <c r="G231" s="73" t="s">
        <v>911</v>
      </c>
      <c r="H231" s="73" t="s">
        <v>912</v>
      </c>
      <c r="I231" s="73" t="s">
        <v>913</v>
      </c>
      <c r="J231" s="1"/>
      <c r="K231" s="73" t="s">
        <v>914</v>
      </c>
      <c r="L231" s="73" t="s">
        <v>633</v>
      </c>
      <c r="M231" s="73" t="s">
        <v>634</v>
      </c>
    </row>
    <row r="232" spans="1:13" ht="30">
      <c r="A232" s="1" t="s">
        <v>915</v>
      </c>
      <c r="B232" s="81">
        <v>40</v>
      </c>
      <c r="C232" s="75">
        <v>150</v>
      </c>
      <c r="D232" s="77">
        <v>0.35</v>
      </c>
      <c r="E232" s="77">
        <v>0.35</v>
      </c>
      <c r="F232" s="46">
        <f t="shared" ref="F232:F241" si="46">B232*D232</f>
        <v>14</v>
      </c>
      <c r="G232" s="13">
        <f t="shared" ref="G232:G241" si="47">F232*$AB$11*MAX(1,$B$14*(1+E232-$B$15))</f>
        <v>25051.142006491529</v>
      </c>
      <c r="H232" s="13">
        <f t="shared" ref="H232:H241" si="48">F232*C232</f>
        <v>2100</v>
      </c>
      <c r="I232" s="13">
        <f t="shared" ref="I232:I241" si="49">G232-H232</f>
        <v>22951.142006491529</v>
      </c>
      <c r="J232" s="1"/>
      <c r="K232" s="1" t="s">
        <v>916</v>
      </c>
      <c r="L232" s="1" t="str">
        <f>INDEX($A$232:$A$241,MATCH(MAX($I$232:$I$241),$I$232:$I$241,0))</f>
        <v>WhatsApp referrals</v>
      </c>
      <c r="M232" s="1" t="s">
        <v>917</v>
      </c>
    </row>
    <row r="233" spans="1:13" ht="45">
      <c r="A233" s="1" t="s">
        <v>918</v>
      </c>
      <c r="B233" s="81">
        <v>25</v>
      </c>
      <c r="C233" s="75">
        <v>250</v>
      </c>
      <c r="D233" s="77">
        <v>0.3</v>
      </c>
      <c r="E233" s="77">
        <v>0.4</v>
      </c>
      <c r="F233" s="46">
        <f t="shared" si="46"/>
        <v>7.5</v>
      </c>
      <c r="G233" s="13">
        <f t="shared" si="47"/>
        <v>14059.314391398306</v>
      </c>
      <c r="H233" s="13">
        <f t="shared" si="48"/>
        <v>1875</v>
      </c>
      <c r="I233" s="13">
        <f t="shared" si="49"/>
        <v>12184.314391398306</v>
      </c>
      <c r="J233" s="1"/>
      <c r="K233" s="1" t="s">
        <v>919</v>
      </c>
      <c r="L233" s="1" t="str">
        <f>INDEX($A$232:$A$241,MATCH(MIN($C$232:$C$241),$C$232:$C$241,0))</f>
        <v>Nursing schools / Angel ecosystem</v>
      </c>
      <c r="M233" s="1" t="s">
        <v>920</v>
      </c>
    </row>
    <row r="234" spans="1:13" ht="30">
      <c r="A234" s="1" t="s">
        <v>921</v>
      </c>
      <c r="B234" s="81">
        <v>20</v>
      </c>
      <c r="C234" s="75">
        <v>200</v>
      </c>
      <c r="D234" s="77">
        <v>0.3</v>
      </c>
      <c r="E234" s="77">
        <v>0.35</v>
      </c>
      <c r="F234" s="46">
        <f t="shared" si="46"/>
        <v>6</v>
      </c>
      <c r="G234" s="13">
        <f t="shared" si="47"/>
        <v>10736.2037170678</v>
      </c>
      <c r="H234" s="13">
        <f t="shared" si="48"/>
        <v>1200</v>
      </c>
      <c r="I234" s="13">
        <f t="shared" si="49"/>
        <v>9536.2037170677995</v>
      </c>
      <c r="J234" s="1"/>
      <c r="K234" s="1" t="s">
        <v>922</v>
      </c>
      <c r="L234" s="1" t="str">
        <f>INDEX($A$232:$A$241,MATCH(MAX($D$232:$D$241),$D$232:$D$241,0))</f>
        <v>WhatsApp referrals</v>
      </c>
      <c r="M234" s="1" t="s">
        <v>923</v>
      </c>
    </row>
    <row r="235" spans="1:13" ht="30">
      <c r="A235" s="1" t="s">
        <v>924</v>
      </c>
      <c r="B235" s="81">
        <v>10</v>
      </c>
      <c r="C235" s="75">
        <v>100</v>
      </c>
      <c r="D235" s="77">
        <v>0.2</v>
      </c>
      <c r="E235" s="77">
        <v>0.25</v>
      </c>
      <c r="F235" s="46">
        <f t="shared" si="46"/>
        <v>2</v>
      </c>
      <c r="G235" s="13">
        <f t="shared" si="47"/>
        <v>3237.902708322034</v>
      </c>
      <c r="H235" s="13">
        <f t="shared" si="48"/>
        <v>200</v>
      </c>
      <c r="I235" s="13">
        <f t="shared" si="49"/>
        <v>3037.902708322034</v>
      </c>
      <c r="J235" s="1"/>
      <c r="K235" s="1" t="s">
        <v>925</v>
      </c>
      <c r="L235" s="1" t="str">
        <f>INDEX($A$232:$A$241,MATCH(MAX($E$232:$E$241),$E$232:$E$241,0))</f>
        <v>NRI communities</v>
      </c>
      <c r="M235" s="1" t="s">
        <v>926</v>
      </c>
    </row>
    <row r="236" spans="1:13" ht="15">
      <c r="A236" s="1" t="s">
        <v>927</v>
      </c>
      <c r="B236" s="81">
        <v>30</v>
      </c>
      <c r="C236" s="75">
        <v>100</v>
      </c>
      <c r="D236" s="77">
        <v>0.45</v>
      </c>
      <c r="E236" s="77">
        <v>0.5</v>
      </c>
      <c r="F236" s="46">
        <f t="shared" si="46"/>
        <v>13.5</v>
      </c>
      <c r="G236" s="13">
        <f t="shared" si="47"/>
        <v>27607.380986745764</v>
      </c>
      <c r="H236" s="13">
        <f t="shared" si="48"/>
        <v>1350</v>
      </c>
      <c r="I236" s="13">
        <f t="shared" si="49"/>
        <v>26257.380986745764</v>
      </c>
      <c r="J236" s="1"/>
      <c r="K236" s="1"/>
      <c r="L236" s="1"/>
      <c r="M236" s="1"/>
    </row>
    <row r="237" spans="1:13" ht="15">
      <c r="A237" s="1" t="s">
        <v>928</v>
      </c>
      <c r="B237" s="81">
        <v>35</v>
      </c>
      <c r="C237" s="75">
        <v>500</v>
      </c>
      <c r="D237" s="77">
        <v>0.25</v>
      </c>
      <c r="E237" s="77">
        <v>0.3</v>
      </c>
      <c r="F237" s="46">
        <f t="shared" si="46"/>
        <v>8.75</v>
      </c>
      <c r="G237" s="13">
        <f t="shared" si="47"/>
        <v>14911.394051483054</v>
      </c>
      <c r="H237" s="13">
        <f t="shared" si="48"/>
        <v>4375</v>
      </c>
      <c r="I237" s="13">
        <f t="shared" si="49"/>
        <v>10536.394051483054</v>
      </c>
      <c r="J237" s="1"/>
      <c r="K237" s="1"/>
      <c r="L237" s="1"/>
      <c r="M237" s="1"/>
    </row>
    <row r="238" spans="1:13" ht="15">
      <c r="A238" s="1" t="s">
        <v>929</v>
      </c>
      <c r="B238" s="81">
        <v>50</v>
      </c>
      <c r="C238" s="75">
        <v>650</v>
      </c>
      <c r="D238" s="77">
        <v>0.18</v>
      </c>
      <c r="E238" s="77">
        <v>0.25</v>
      </c>
      <c r="F238" s="46">
        <f t="shared" si="46"/>
        <v>9</v>
      </c>
      <c r="G238" s="13">
        <f t="shared" si="47"/>
        <v>14570.562187449153</v>
      </c>
      <c r="H238" s="13">
        <f t="shared" si="48"/>
        <v>5850</v>
      </c>
      <c r="I238" s="13">
        <f t="shared" si="49"/>
        <v>8720.5621874491535</v>
      </c>
      <c r="J238" s="1"/>
      <c r="K238" s="1"/>
      <c r="L238" s="1"/>
      <c r="M238" s="1"/>
    </row>
    <row r="239" spans="1:13" ht="15">
      <c r="A239" s="1" t="s">
        <v>930</v>
      </c>
      <c r="B239" s="81">
        <v>20</v>
      </c>
      <c r="C239" s="75">
        <v>400</v>
      </c>
      <c r="D239" s="77">
        <v>0.35</v>
      </c>
      <c r="E239" s="77">
        <v>0.55000000000000004</v>
      </c>
      <c r="F239" s="46">
        <f t="shared" si="46"/>
        <v>7</v>
      </c>
      <c r="G239" s="13">
        <f t="shared" si="47"/>
        <v>14911.394051483052</v>
      </c>
      <c r="H239" s="13">
        <f t="shared" si="48"/>
        <v>2800</v>
      </c>
      <c r="I239" s="13">
        <f t="shared" si="49"/>
        <v>12111.394051483052</v>
      </c>
      <c r="J239" s="1"/>
      <c r="K239" s="1"/>
      <c r="L239" s="1"/>
      <c r="M239" s="1"/>
    </row>
    <row r="240" spans="1:13" ht="15">
      <c r="A240" s="1" t="s">
        <v>931</v>
      </c>
      <c r="B240" s="81">
        <v>25</v>
      </c>
      <c r="C240" s="75">
        <v>300</v>
      </c>
      <c r="D240" s="77">
        <v>0.3</v>
      </c>
      <c r="E240" s="77">
        <v>0.45</v>
      </c>
      <c r="F240" s="46">
        <f t="shared" si="46"/>
        <v>7.5</v>
      </c>
      <c r="G240" s="13">
        <f t="shared" si="47"/>
        <v>14698.374136461864</v>
      </c>
      <c r="H240" s="13">
        <f t="shared" si="48"/>
        <v>2250</v>
      </c>
      <c r="I240" s="13">
        <f t="shared" si="49"/>
        <v>12448.374136461864</v>
      </c>
      <c r="J240" s="1"/>
      <c r="K240" s="1"/>
      <c r="L240" s="1"/>
      <c r="M240" s="1"/>
    </row>
    <row r="241" spans="1:27" ht="15">
      <c r="A241" s="1" t="s">
        <v>932</v>
      </c>
      <c r="B241" s="81">
        <v>30</v>
      </c>
      <c r="C241" s="75">
        <v>180</v>
      </c>
      <c r="D241" s="77">
        <v>0.35</v>
      </c>
      <c r="E241" s="77">
        <v>0.4</v>
      </c>
      <c r="F241" s="46">
        <f t="shared" si="46"/>
        <v>10.5</v>
      </c>
      <c r="G241" s="13">
        <f t="shared" si="47"/>
        <v>19683.040147957629</v>
      </c>
      <c r="H241" s="13">
        <f t="shared" si="48"/>
        <v>1890</v>
      </c>
      <c r="I241" s="13">
        <f t="shared" si="49"/>
        <v>17793.040147957629</v>
      </c>
      <c r="J241" s="1"/>
      <c r="K241" s="1"/>
      <c r="L241" s="1"/>
      <c r="M241" s="1"/>
    </row>
    <row r="242" spans="1:27">
      <c r="A242" s="1"/>
      <c r="B242" s="1"/>
      <c r="C242" s="1"/>
      <c r="D242" s="1"/>
      <c r="E242" s="1"/>
      <c r="F242" s="1"/>
      <c r="G242" s="1"/>
      <c r="H242" s="1"/>
      <c r="I242" s="1"/>
      <c r="J242" s="1"/>
      <c r="K242" s="1"/>
      <c r="L242" s="1"/>
      <c r="M242" s="1"/>
    </row>
    <row r="243" spans="1:27">
      <c r="A243" s="1"/>
      <c r="B243" s="1"/>
      <c r="C243" s="1"/>
      <c r="D243" s="1"/>
      <c r="E243" s="1"/>
      <c r="F243" s="1"/>
      <c r="G243" s="1"/>
      <c r="H243" s="1"/>
      <c r="I243" s="1"/>
      <c r="J243" s="1"/>
      <c r="K243" s="1"/>
      <c r="L243" s="1"/>
      <c r="M243" s="1"/>
    </row>
    <row r="244" spans="1:27">
      <c r="A244" s="1"/>
      <c r="B244" s="1"/>
      <c r="C244" s="1"/>
      <c r="D244" s="1"/>
      <c r="E244" s="1"/>
      <c r="F244" s="1"/>
      <c r="G244" s="1"/>
      <c r="H244" s="1"/>
      <c r="I244" s="1"/>
      <c r="J244" s="1"/>
      <c r="K244" s="1"/>
      <c r="L244" s="1"/>
      <c r="M244" s="1"/>
    </row>
    <row r="245" spans="1:27" ht="42.75" customHeight="1">
      <c r="A245" s="461" t="s">
        <v>933</v>
      </c>
      <c r="B245" s="461"/>
      <c r="C245" s="461"/>
      <c r="D245" s="461"/>
      <c r="E245" s="461"/>
      <c r="F245" s="461"/>
      <c r="G245" s="461"/>
      <c r="H245" s="461"/>
      <c r="I245" s="461"/>
      <c r="J245" s="461"/>
      <c r="K245" s="461"/>
      <c r="L245" s="461"/>
      <c r="M245" s="461"/>
    </row>
    <row r="246" spans="1:27" ht="48">
      <c r="A246" s="73" t="s">
        <v>934</v>
      </c>
      <c r="B246" s="73" t="s">
        <v>790</v>
      </c>
      <c r="C246" s="73" t="s">
        <v>935</v>
      </c>
      <c r="D246" s="73" t="s">
        <v>936</v>
      </c>
      <c r="E246" s="73" t="s">
        <v>807</v>
      </c>
      <c r="F246" s="73" t="s">
        <v>937</v>
      </c>
      <c r="G246" s="73" t="s">
        <v>938</v>
      </c>
      <c r="H246" s="1"/>
      <c r="I246" s="1"/>
      <c r="J246" s="1"/>
      <c r="K246" s="1"/>
      <c r="L246" s="1"/>
      <c r="M246" s="1"/>
    </row>
    <row r="247" spans="1:27" ht="30">
      <c r="A247" s="75">
        <v>100</v>
      </c>
      <c r="B247" s="75">
        <v>100</v>
      </c>
      <c r="C247" s="13">
        <f>$AB$11-B247</f>
        <v>1210.8917847457628</v>
      </c>
      <c r="D247" s="13">
        <f>4*$AB$11-B247</f>
        <v>5143.5671389830513</v>
      </c>
      <c r="E247" s="46">
        <f>IF($AB$11&lt;=0,0,B247/$AB$11)</f>
        <v>7.628394743460401E-2</v>
      </c>
      <c r="F247" s="13">
        <f>$B$28-B247</f>
        <v>200</v>
      </c>
      <c r="G247" s="42" t="str">
        <f>IF(D247&gt;0,"Economically viable if referral converts","Too expensive")</f>
        <v>Economically viable if referral converts</v>
      </c>
      <c r="H247" s="1"/>
      <c r="I247" s="1"/>
      <c r="J247" s="1"/>
      <c r="K247" s="1"/>
      <c r="L247" s="1"/>
      <c r="M247" s="1"/>
    </row>
    <row r="248" spans="1:27" ht="30">
      <c r="A248" s="75">
        <v>200</v>
      </c>
      <c r="B248" s="75">
        <v>200</v>
      </c>
      <c r="C248" s="13">
        <f>$AB$11-B248</f>
        <v>1110.8917847457628</v>
      </c>
      <c r="D248" s="13">
        <f>4*$AB$11-B248</f>
        <v>5043.5671389830513</v>
      </c>
      <c r="E248" s="46">
        <f>IF($AB$11&lt;=0,0,B248/$AB$11)</f>
        <v>0.15256789486920802</v>
      </c>
      <c r="F248" s="13">
        <f>$B$28-B248</f>
        <v>100</v>
      </c>
      <c r="G248" s="42" t="str">
        <f>IF(D248&gt;0,"Economically viable if referral converts","Too expensive")</f>
        <v>Economically viable if referral converts</v>
      </c>
      <c r="H248" s="1"/>
      <c r="I248" s="1"/>
      <c r="J248" s="1"/>
      <c r="K248" s="1"/>
      <c r="L248" s="1"/>
      <c r="M248" s="1"/>
    </row>
    <row r="249" spans="1:27" ht="30">
      <c r="A249" s="75">
        <v>300</v>
      </c>
      <c r="B249" s="75">
        <v>300</v>
      </c>
      <c r="C249" s="13">
        <f>$AB$11-B249</f>
        <v>1010.8917847457628</v>
      </c>
      <c r="D249" s="13">
        <f>4*$AB$11-B249</f>
        <v>4943.5671389830513</v>
      </c>
      <c r="E249" s="46">
        <f>IF($AB$11&lt;=0,0,B249/$AB$11)</f>
        <v>0.228851842303812</v>
      </c>
      <c r="F249" s="13">
        <f>$B$28-B249</f>
        <v>0</v>
      </c>
      <c r="G249" s="42" t="str">
        <f>IF(D249&gt;0,"Economically viable if referral converts","Too expensive")</f>
        <v>Economically viable if referral converts</v>
      </c>
      <c r="H249" s="1"/>
      <c r="I249" s="1"/>
      <c r="J249" s="1"/>
      <c r="K249" s="1"/>
      <c r="L249" s="1"/>
      <c r="M249" s="1"/>
    </row>
    <row r="250" spans="1:27" ht="30">
      <c r="A250" s="75">
        <v>500</v>
      </c>
      <c r="B250" s="75">
        <v>500</v>
      </c>
      <c r="C250" s="13">
        <f>$AB$11-B250</f>
        <v>810.89178474576283</v>
      </c>
      <c r="D250" s="13">
        <f>4*$AB$11-B250</f>
        <v>4743.5671389830513</v>
      </c>
      <c r="E250" s="46">
        <f>IF($AB$11&lt;=0,0,B250/$AB$11)</f>
        <v>0.38141973717302002</v>
      </c>
      <c r="F250" s="13">
        <f>$B$28-B250</f>
        <v>-200</v>
      </c>
      <c r="G250" s="42" t="str">
        <f>IF(D250&gt;0,"Economically viable if referral converts","Too expensive")</f>
        <v>Economically viable if referral converts</v>
      </c>
      <c r="H250" s="1"/>
      <c r="I250" s="1"/>
      <c r="J250" s="1"/>
      <c r="K250" s="1"/>
      <c r="L250" s="1"/>
      <c r="M250" s="1"/>
    </row>
    <row r="251" spans="1:27">
      <c r="A251" s="1"/>
      <c r="B251" s="1"/>
      <c r="C251" s="1"/>
      <c r="D251" s="1"/>
      <c r="E251" s="1"/>
      <c r="F251" s="1"/>
      <c r="G251" s="1"/>
      <c r="H251" s="1"/>
      <c r="I251" s="1"/>
      <c r="J251" s="1"/>
      <c r="K251" s="1"/>
      <c r="L251" s="1"/>
      <c r="M251" s="1"/>
    </row>
    <row r="252" spans="1:27">
      <c r="A252" s="1"/>
      <c r="B252" s="1"/>
      <c r="C252" s="1"/>
      <c r="D252" s="1"/>
      <c r="E252" s="1"/>
      <c r="F252" s="1"/>
      <c r="G252" s="1"/>
      <c r="H252" s="1"/>
      <c r="I252" s="1"/>
      <c r="J252" s="1"/>
      <c r="K252" s="1"/>
      <c r="L252" s="1"/>
      <c r="M252" s="1"/>
    </row>
    <row r="253" spans="1:27">
      <c r="A253" s="1"/>
      <c r="B253" s="1"/>
      <c r="C253" s="1"/>
      <c r="D253" s="1"/>
      <c r="E253" s="1"/>
      <c r="F253" s="1"/>
      <c r="G253" s="1"/>
      <c r="H253" s="1"/>
      <c r="I253" s="1"/>
      <c r="J253" s="1"/>
      <c r="K253" s="1"/>
      <c r="L253" s="1"/>
      <c r="M253" s="1"/>
    </row>
    <row r="254" spans="1:27" ht="42.75" customHeight="1">
      <c r="A254" s="461" t="s">
        <v>939</v>
      </c>
      <c r="B254" s="461"/>
      <c r="C254" s="461"/>
      <c r="D254" s="461"/>
      <c r="E254" s="461"/>
      <c r="F254" s="461"/>
      <c r="G254" s="461"/>
      <c r="H254" s="461"/>
      <c r="I254" s="461"/>
      <c r="J254" s="461"/>
      <c r="K254" s="461"/>
      <c r="L254" s="461"/>
      <c r="M254" s="461"/>
    </row>
    <row r="255" spans="1:27" ht="32">
      <c r="A255" s="73" t="s">
        <v>432</v>
      </c>
      <c r="B255" s="73" t="s">
        <v>940</v>
      </c>
      <c r="C255" s="73" t="s">
        <v>941</v>
      </c>
      <c r="D255" s="73" t="s">
        <v>631</v>
      </c>
      <c r="E255" s="73" t="s">
        <v>942</v>
      </c>
      <c r="F255" s="73" t="s">
        <v>168</v>
      </c>
      <c r="G255" s="73" t="s">
        <v>435</v>
      </c>
      <c r="H255" s="73" t="s">
        <v>492</v>
      </c>
      <c r="I255" s="73" t="s">
        <v>436</v>
      </c>
      <c r="J255" s="73" t="s">
        <v>943</v>
      </c>
      <c r="K255" s="1"/>
      <c r="L255" s="73" t="s">
        <v>944</v>
      </c>
      <c r="M255" s="73" t="s">
        <v>633</v>
      </c>
    </row>
    <row r="256" spans="1:27" ht="30">
      <c r="A256" s="1" t="s">
        <v>945</v>
      </c>
      <c r="B256" s="75">
        <v>299</v>
      </c>
      <c r="C256" s="75">
        <v>99</v>
      </c>
      <c r="D256" s="77">
        <v>0.5</v>
      </c>
      <c r="E256" s="76">
        <v>1.5</v>
      </c>
      <c r="F256" s="13">
        <f>'Path to Profitability'!$I$20</f>
        <v>182000</v>
      </c>
      <c r="G256" s="13">
        <v>1229.6460220338986</v>
      </c>
      <c r="H256" s="46">
        <f t="shared" ref="H256:H261" si="50">MIN($B$6*$B$7*D256*E256*(1-$B$12)*(1-$B$13),$B$8*$B$7*$B$9*$B$10/$B$11)</f>
        <v>146.32034632034632</v>
      </c>
      <c r="I256" s="13">
        <f t="shared" ref="I256:I261" si="51">H256*G256-F256</f>
        <v>-2077.768204563763</v>
      </c>
      <c r="J256" s="46">
        <v>3</v>
      </c>
      <c r="K256" s="1"/>
      <c r="L256" s="1" t="s">
        <v>946</v>
      </c>
      <c r="M256" s="42" t="str">
        <f>INDEX($A$256:$A$261,MATCH(MAX($AA$256:$AA$261),$AA$256:$AA$261,0))</f>
        <v>Lean-cost strategy</v>
      </c>
      <c r="AA256">
        <f t="shared" ref="AA256:AA261" si="52">I256-MAX(-I256,0)*0.25-J256*10000</f>
        <v>-32597.210255704704</v>
      </c>
    </row>
    <row r="257" spans="1:27" ht="15">
      <c r="A257" s="1" t="s">
        <v>947</v>
      </c>
      <c r="B257" s="75">
        <v>349</v>
      </c>
      <c r="C257" s="75">
        <v>199</v>
      </c>
      <c r="D257" s="77">
        <v>0.4</v>
      </c>
      <c r="E257" s="76">
        <v>1.35</v>
      </c>
      <c r="F257" s="13">
        <f>'Path to Profitability'!$I$20</f>
        <v>182000</v>
      </c>
      <c r="G257" s="13">
        <v>1498.5694966101696</v>
      </c>
      <c r="H257" s="46">
        <f t="shared" si="50"/>
        <v>125.29296000000001</v>
      </c>
      <c r="I257" s="13">
        <f t="shared" si="51"/>
        <v>5760.2079959981202</v>
      </c>
      <c r="J257" s="46">
        <v>2</v>
      </c>
      <c r="K257" s="1"/>
      <c r="L257" s="1" t="s">
        <v>948</v>
      </c>
      <c r="M257" s="13">
        <f>INDEX($I$256:$I$261,MATCH(M256,$A$256:$A$261,0))</f>
        <v>67932.637946352741</v>
      </c>
      <c r="AA257">
        <f t="shared" si="52"/>
        <v>-14239.79200400188</v>
      </c>
    </row>
    <row r="258" spans="1:27" ht="15">
      <c r="A258" s="1" t="s">
        <v>949</v>
      </c>
      <c r="B258" s="75">
        <v>449</v>
      </c>
      <c r="C258" s="75">
        <v>199</v>
      </c>
      <c r="D258" s="77">
        <v>0.3</v>
      </c>
      <c r="E258" s="76">
        <v>1.2</v>
      </c>
      <c r="F258" s="13">
        <f>'Path to Profitability'!$I$20</f>
        <v>182000</v>
      </c>
      <c r="G258" s="13">
        <v>1873.9249203389834</v>
      </c>
      <c r="H258" s="46">
        <f t="shared" si="50"/>
        <v>83.528639999999996</v>
      </c>
      <c r="I258" s="13">
        <f t="shared" si="51"/>
        <v>-25473.599941976398</v>
      </c>
      <c r="J258" s="46">
        <v>2</v>
      </c>
      <c r="K258" s="1"/>
      <c r="L258" s="1" t="s">
        <v>325</v>
      </c>
      <c r="M258" s="46">
        <f>INDEX($H$256:$H$261,MATCH(M256,$A$256:$A$261,0))</f>
        <v>135.73403999999999</v>
      </c>
      <c r="AA258">
        <f t="shared" si="52"/>
        <v>-51841.999927470497</v>
      </c>
    </row>
    <row r="259" spans="1:27" ht="15">
      <c r="A259" s="1" t="s">
        <v>950</v>
      </c>
      <c r="B259" s="75">
        <v>299</v>
      </c>
      <c r="C259" s="75">
        <v>199</v>
      </c>
      <c r="D259" s="77">
        <v>0.45</v>
      </c>
      <c r="E259" s="76">
        <v>1.3</v>
      </c>
      <c r="F259" s="13">
        <f>'Path to Profitability'!$H$20</f>
        <v>110000</v>
      </c>
      <c r="G259" s="13">
        <v>1310.8917847457628</v>
      </c>
      <c r="H259" s="46">
        <f t="shared" si="50"/>
        <v>135.73403999999999</v>
      </c>
      <c r="I259" s="13">
        <f t="shared" si="51"/>
        <v>67932.637946352741</v>
      </c>
      <c r="J259" s="46">
        <v>1</v>
      </c>
      <c r="K259" s="1"/>
      <c r="L259" s="1" t="s">
        <v>655</v>
      </c>
      <c r="M259" s="46">
        <f>M258*$B$11/($B$7*$B$9*$B$10)</f>
        <v>4.6382489999999992</v>
      </c>
      <c r="AA259">
        <f t="shared" si="52"/>
        <v>57932.637946352741</v>
      </c>
    </row>
    <row r="260" spans="1:27" ht="15">
      <c r="A260" s="1" t="s">
        <v>951</v>
      </c>
      <c r="B260" s="75">
        <v>349</v>
      </c>
      <c r="C260" s="75">
        <v>149</v>
      </c>
      <c r="D260" s="77">
        <v>0.38</v>
      </c>
      <c r="E260" s="76">
        <v>2.2000000000000002</v>
      </c>
      <c r="F260" s="13">
        <f>'Path to Profitability'!$I$20</f>
        <v>182000</v>
      </c>
      <c r="G260" s="13">
        <v>1457.9466152542375</v>
      </c>
      <c r="H260" s="46">
        <f t="shared" si="50"/>
        <v>146.32034632034632</v>
      </c>
      <c r="I260" s="13">
        <f t="shared" si="51"/>
        <v>31327.253660576738</v>
      </c>
      <c r="J260" s="46">
        <v>2</v>
      </c>
      <c r="K260" s="1"/>
      <c r="L260" s="1" t="s">
        <v>952</v>
      </c>
      <c r="M260" s="13">
        <f>MAX($B$5-M257,0)</f>
        <v>0</v>
      </c>
      <c r="AA260">
        <f t="shared" si="52"/>
        <v>11327.253660576738</v>
      </c>
    </row>
    <row r="261" spans="1:27" ht="15">
      <c r="A261" s="1" t="s">
        <v>953</v>
      </c>
      <c r="B261" s="75">
        <v>349</v>
      </c>
      <c r="C261" s="75">
        <v>199</v>
      </c>
      <c r="D261" s="77">
        <v>0.42</v>
      </c>
      <c r="E261" s="76">
        <v>1.6</v>
      </c>
      <c r="F261" s="13">
        <f>'Path to Profitability'!$I$20</f>
        <v>182000</v>
      </c>
      <c r="G261" s="13">
        <v>1498.5694966101696</v>
      </c>
      <c r="H261" s="46">
        <f t="shared" si="50"/>
        <v>146.32034632034632</v>
      </c>
      <c r="I261" s="13">
        <f t="shared" si="51"/>
        <v>37271.20772910706</v>
      </c>
      <c r="J261" s="46">
        <v>2</v>
      </c>
      <c r="K261" s="1"/>
      <c r="L261" s="1"/>
      <c r="M261" s="1"/>
      <c r="AA261">
        <f t="shared" si="52"/>
        <v>17271.20772910706</v>
      </c>
    </row>
    <row r="262" spans="1:27">
      <c r="A262" s="1"/>
      <c r="B262" s="1"/>
      <c r="C262" s="1"/>
      <c r="D262" s="1"/>
      <c r="E262" s="1"/>
      <c r="F262" s="1"/>
      <c r="G262" s="1"/>
      <c r="H262" s="1"/>
      <c r="I262" s="1"/>
      <c r="J262" s="1"/>
      <c r="K262" s="1"/>
      <c r="L262" s="1"/>
      <c r="M262" s="1"/>
    </row>
    <row r="263" spans="1:27">
      <c r="A263" s="1"/>
      <c r="B263" s="1"/>
      <c r="C263" s="1"/>
      <c r="D263" s="1"/>
      <c r="E263" s="1"/>
      <c r="F263" s="1"/>
      <c r="G263" s="1"/>
      <c r="H263" s="1"/>
      <c r="I263" s="1"/>
      <c r="J263" s="1"/>
      <c r="K263" s="1"/>
      <c r="L263" s="1"/>
      <c r="M263" s="1"/>
    </row>
    <row r="264" spans="1:27">
      <c r="A264" s="1"/>
      <c r="B264" s="1"/>
      <c r="C264" s="1"/>
      <c r="D264" s="1"/>
      <c r="E264" s="1"/>
      <c r="F264" s="1"/>
      <c r="G264" s="1"/>
      <c r="H264" s="1"/>
      <c r="I264" s="1"/>
      <c r="J264" s="1"/>
      <c r="K264" s="1"/>
      <c r="L264" s="1"/>
      <c r="M264" s="1"/>
    </row>
    <row r="265" spans="1:27" ht="42.75" customHeight="1">
      <c r="A265" s="461" t="s">
        <v>954</v>
      </c>
      <c r="B265" s="461"/>
      <c r="C265" s="461"/>
      <c r="D265" s="461"/>
      <c r="E265" s="461"/>
      <c r="F265" s="461"/>
      <c r="G265" s="461"/>
      <c r="H265" s="461"/>
      <c r="I265" s="461"/>
      <c r="J265" s="461"/>
      <c r="K265" s="461"/>
      <c r="L265" s="461"/>
      <c r="M265" s="461"/>
    </row>
    <row r="266" spans="1:27" ht="32">
      <c r="A266" s="73" t="s">
        <v>492</v>
      </c>
      <c r="B266" s="73" t="s">
        <v>955</v>
      </c>
      <c r="C266" s="73" t="s">
        <v>956</v>
      </c>
      <c r="D266" s="73" t="s">
        <v>238</v>
      </c>
      <c r="E266" s="73" t="s">
        <v>251</v>
      </c>
      <c r="F266" s="73" t="s">
        <v>470</v>
      </c>
      <c r="G266" s="73" t="s">
        <v>168</v>
      </c>
      <c r="H266" s="73" t="s">
        <v>536</v>
      </c>
      <c r="I266" s="73" t="s">
        <v>957</v>
      </c>
      <c r="J266" s="73" t="s">
        <v>958</v>
      </c>
      <c r="K266" s="1"/>
      <c r="L266" s="1"/>
      <c r="M266" s="1"/>
    </row>
    <row r="267" spans="1:27" ht="45">
      <c r="A267" s="57">
        <v>25</v>
      </c>
      <c r="B267" s="46">
        <f>IF($B$14=0,0,A267/$B$14)</f>
        <v>19.23076923076923</v>
      </c>
      <c r="C267" s="13">
        <f>A267*$AB$23</f>
        <v>49244.500000000007</v>
      </c>
      <c r="D267" s="13">
        <f>A267*$AB$11</f>
        <v>32772.294618644068</v>
      </c>
      <c r="E267" s="46">
        <f>A267*$B$11/($B$7*$B$9*$B$10)</f>
        <v>0.85428994082840226</v>
      </c>
      <c r="F267" s="14">
        <f>MIN(1,A267*$B$11/($B$8*$B$7*$B$9))</f>
        <v>0.1110576923076923</v>
      </c>
      <c r="G267" s="13">
        <f>IF(A267&lt;=50,'Path to Profitability'!$H$20,IF(A267&lt;=150,'Path to Profitability'!$I$20,IF(A267&lt;=400,'Path to Profitability'!$J$20,'Path to Profitability'!$J$20*(A267/400))))</f>
        <v>110000</v>
      </c>
      <c r="H267" s="13">
        <f>D267-G267</f>
        <v>-77227.705381355932</v>
      </c>
      <c r="I267" s="13">
        <f>B267*$AB$22</f>
        <v>5769.2307692307686</v>
      </c>
      <c r="J267" s="1" t="s">
        <v>959</v>
      </c>
      <c r="K267" s="1"/>
      <c r="L267" s="1"/>
      <c r="M267" s="1"/>
    </row>
    <row r="268" spans="1:27" ht="30">
      <c r="A268" s="57">
        <v>50</v>
      </c>
      <c r="B268" s="46">
        <f>IF($B$14=0,0,A268/$B$14)</f>
        <v>38.46153846153846</v>
      </c>
      <c r="C268" s="13">
        <f>A268*$AB$23</f>
        <v>98489.000000000015</v>
      </c>
      <c r="D268" s="13">
        <f>A268*$AB$11</f>
        <v>65544.589237288135</v>
      </c>
      <c r="E268" s="46">
        <f>A268*$B$11/($B$7*$B$9*$B$10)</f>
        <v>1.7085798816568045</v>
      </c>
      <c r="F268" s="14">
        <f>MIN(1,A268*$B$11/($B$8*$B$7*$B$9))</f>
        <v>0.2221153846153846</v>
      </c>
      <c r="G268" s="13">
        <f>IF(A268&lt;=50,'Path to Profitability'!$H$20,IF(A268&lt;=150,'Path to Profitability'!$I$20,IF(A268&lt;=400,'Path to Profitability'!$J$20,'Path to Profitability'!$J$20*(A268/400))))</f>
        <v>110000</v>
      </c>
      <c r="H268" s="13">
        <f>D268-G268</f>
        <v>-44455.410762711865</v>
      </c>
      <c r="I268" s="13">
        <f>B268*$AB$22</f>
        <v>11538.461538461537</v>
      </c>
      <c r="J268" s="1" t="s">
        <v>960</v>
      </c>
      <c r="K268" s="1"/>
      <c r="L268" s="1"/>
      <c r="M268" s="1"/>
    </row>
    <row r="269" spans="1:27" ht="45">
      <c r="A269" s="57">
        <v>100</v>
      </c>
      <c r="B269" s="46">
        <f>IF($B$14=0,0,A269/$B$14)</f>
        <v>76.92307692307692</v>
      </c>
      <c r="C269" s="13">
        <f>A269*$AB$23</f>
        <v>196978.00000000003</v>
      </c>
      <c r="D269" s="13">
        <f>A269*$AB$11</f>
        <v>131089.17847457627</v>
      </c>
      <c r="E269" s="46">
        <f>A269*$B$11/($B$7*$B$9*$B$10)</f>
        <v>3.417159763313609</v>
      </c>
      <c r="F269" s="14">
        <f>MIN(1,A269*$B$11/($B$8*$B$7*$B$9))</f>
        <v>0.44423076923076921</v>
      </c>
      <c r="G269" s="13">
        <f>IF(A269&lt;=50,'Path to Profitability'!$H$20,IF(A269&lt;=150,'Path to Profitability'!$I$20,IF(A269&lt;=400,'Path to Profitability'!$J$20,'Path to Profitability'!$J$20*(A269/400))))</f>
        <v>182000</v>
      </c>
      <c r="H269" s="13">
        <f>D269-G269</f>
        <v>-50910.821525423729</v>
      </c>
      <c r="I269" s="13">
        <f>B269*$AB$22</f>
        <v>23076.923076923074</v>
      </c>
      <c r="J269" s="1" t="s">
        <v>961</v>
      </c>
      <c r="K269" s="1"/>
      <c r="L269" s="1"/>
      <c r="M269" s="1"/>
    </row>
    <row r="270" spans="1:27" ht="45">
      <c r="A270" s="57">
        <v>250</v>
      </c>
      <c r="B270" s="46">
        <f>IF($B$14=0,0,A270/$B$14)</f>
        <v>192.30769230769229</v>
      </c>
      <c r="C270" s="13">
        <f>A270*$AB$23</f>
        <v>492445.00000000006</v>
      </c>
      <c r="D270" s="13">
        <f>A270*$AB$11</f>
        <v>327722.94618644071</v>
      </c>
      <c r="E270" s="46">
        <f>A270*$B$11/($B$7*$B$9*$B$10)</f>
        <v>8.5428994082840219</v>
      </c>
      <c r="F270" s="14">
        <f>MIN(1,A270*$B$11/($B$8*$B$7*$B$9))</f>
        <v>1</v>
      </c>
      <c r="G270" s="13">
        <f>IF(A270&lt;=50,'Path to Profitability'!$H$20,IF(A270&lt;=150,'Path to Profitability'!$I$20,IF(A270&lt;=400,'Path to Profitability'!$J$20,'Path to Profitability'!$J$20*(A270/400))))</f>
        <v>282000</v>
      </c>
      <c r="H270" s="13">
        <f>D270-G270</f>
        <v>45722.946186440706</v>
      </c>
      <c r="I270" s="13">
        <f>B270*$AB$22</f>
        <v>57692.307692307688</v>
      </c>
      <c r="J270" s="1" t="s">
        <v>962</v>
      </c>
      <c r="K270" s="1"/>
      <c r="L270" s="1"/>
      <c r="M270" s="1"/>
    </row>
    <row r="271" spans="1:27" ht="45">
      <c r="A271" s="57">
        <v>500</v>
      </c>
      <c r="B271" s="46">
        <f>IF($B$14=0,0,A271/$B$14)</f>
        <v>384.61538461538458</v>
      </c>
      <c r="C271" s="13">
        <f>A271*$AB$23</f>
        <v>984890.00000000012</v>
      </c>
      <c r="D271" s="13">
        <f>A271*$AB$11</f>
        <v>655445.89237288141</v>
      </c>
      <c r="E271" s="46">
        <f>A271*$B$11/($B$7*$B$9*$B$10)</f>
        <v>17.085798816568044</v>
      </c>
      <c r="F271" s="14">
        <f>MIN(1,A271*$B$11/($B$8*$B$7*$B$9))</f>
        <v>1</v>
      </c>
      <c r="G271" s="13">
        <f>IF(A271&lt;=50,'Path to Profitability'!$H$20,IF(A271&lt;=150,'Path to Profitability'!$I$20,IF(A271&lt;=400,'Path to Profitability'!$J$20,'Path to Profitability'!$J$20*(A271/400))))</f>
        <v>352500</v>
      </c>
      <c r="H271" s="13">
        <f>D271-G271</f>
        <v>302945.89237288141</v>
      </c>
      <c r="I271" s="13">
        <f>B271*$AB$22</f>
        <v>115384.61538461538</v>
      </c>
      <c r="J271" s="1" t="s">
        <v>963</v>
      </c>
      <c r="K271" s="1"/>
      <c r="L271" s="1"/>
      <c r="M271" s="1"/>
    </row>
    <row r="272" spans="1:27">
      <c r="A272" s="1"/>
      <c r="B272" s="1"/>
      <c r="C272" s="1"/>
      <c r="D272" s="1"/>
      <c r="E272" s="1"/>
      <c r="F272" s="1"/>
      <c r="G272" s="1"/>
      <c r="H272" s="1"/>
      <c r="I272" s="1"/>
      <c r="J272" s="1"/>
      <c r="K272" s="1"/>
      <c r="L272" s="1"/>
      <c r="M272" s="1"/>
    </row>
    <row r="273" spans="1:53">
      <c r="A273" s="1"/>
      <c r="B273" s="1"/>
      <c r="C273" s="1"/>
      <c r="D273" s="1"/>
      <c r="E273" s="1"/>
      <c r="F273" s="1"/>
      <c r="G273" s="1"/>
      <c r="H273" s="1"/>
      <c r="I273" s="1"/>
      <c r="J273" s="1"/>
      <c r="K273" s="1"/>
      <c r="L273" s="1"/>
      <c r="M273" s="1"/>
    </row>
    <row r="274" spans="1:53">
      <c r="A274" s="1"/>
      <c r="B274" s="1"/>
      <c r="C274" s="1"/>
      <c r="D274" s="1"/>
      <c r="E274" s="1"/>
      <c r="F274" s="1"/>
      <c r="G274" s="1"/>
      <c r="H274" s="1"/>
      <c r="I274" s="1"/>
      <c r="J274" s="1"/>
      <c r="K274" s="1"/>
      <c r="L274" s="1"/>
      <c r="M274" s="1"/>
    </row>
    <row r="275" spans="1:53" ht="42.75" customHeight="1">
      <c r="A275" s="461" t="s">
        <v>964</v>
      </c>
      <c r="B275" s="461"/>
      <c r="C275" s="461"/>
      <c r="D275" s="461"/>
      <c r="E275" s="461"/>
      <c r="F275" s="461"/>
      <c r="G275" s="461"/>
      <c r="H275" s="461"/>
      <c r="I275" s="461"/>
      <c r="J275" s="461"/>
      <c r="K275" s="461"/>
      <c r="L275" s="461"/>
      <c r="M275" s="461"/>
    </row>
    <row r="276" spans="1:53" ht="16">
      <c r="A276" s="73" t="s">
        <v>550</v>
      </c>
      <c r="B276" s="73" t="s">
        <v>551</v>
      </c>
      <c r="C276" s="73" t="s">
        <v>965</v>
      </c>
      <c r="D276" s="73" t="s">
        <v>966</v>
      </c>
      <c r="E276" s="73" t="s">
        <v>967</v>
      </c>
      <c r="F276" s="73" t="s">
        <v>554</v>
      </c>
      <c r="G276" s="1"/>
      <c r="H276" s="1"/>
      <c r="I276" s="1"/>
      <c r="J276" s="1"/>
      <c r="K276" s="1"/>
      <c r="L276" s="1"/>
      <c r="M276" s="1"/>
    </row>
    <row r="277" spans="1:53" ht="15">
      <c r="A277" s="1" t="s">
        <v>561</v>
      </c>
      <c r="B277" s="76">
        <v>75</v>
      </c>
      <c r="C277" s="57" t="s">
        <v>236</v>
      </c>
      <c r="D277" s="46">
        <f>$AB$16</f>
        <v>135.73403999999999</v>
      </c>
      <c r="E277" s="42" t="str">
        <f>IF(D277&gt;=B277,"HIRE","WAIT")</f>
        <v>HIRE</v>
      </c>
      <c r="F277" s="50">
        <v>45000</v>
      </c>
      <c r="G277" s="1"/>
      <c r="H277" s="1"/>
      <c r="I277" s="1"/>
      <c r="J277" s="1"/>
      <c r="K277" s="1"/>
      <c r="L277" s="1"/>
      <c r="M277" s="1"/>
    </row>
    <row r="278" spans="1:53" ht="15">
      <c r="A278" s="1" t="s">
        <v>173</v>
      </c>
      <c r="B278" s="76">
        <v>120</v>
      </c>
      <c r="C278" s="57" t="s">
        <v>236</v>
      </c>
      <c r="D278" s="46">
        <f>$AB$16</f>
        <v>135.73403999999999</v>
      </c>
      <c r="E278" s="42" t="str">
        <f>IF(D278&gt;=B278,"HIRE","WAIT")</f>
        <v>HIRE</v>
      </c>
      <c r="F278" s="50">
        <v>35000</v>
      </c>
      <c r="G278" s="1"/>
      <c r="H278" s="1"/>
      <c r="I278" s="1"/>
      <c r="J278" s="1"/>
      <c r="K278" s="1"/>
      <c r="L278" s="1"/>
      <c r="M278" s="1"/>
    </row>
    <row r="279" spans="1:53" ht="15">
      <c r="A279" s="1" t="s">
        <v>968</v>
      </c>
      <c r="B279" s="77">
        <v>0.75</v>
      </c>
      <c r="C279" s="49" t="s">
        <v>314</v>
      </c>
      <c r="D279" s="14">
        <f>$F$14</f>
        <v>0.60297236999999992</v>
      </c>
      <c r="E279" s="42" t="str">
        <f>IF(D279&gt;=B279,"HIRE / ADD CAPACITY","WAIT")</f>
        <v>WAIT</v>
      </c>
      <c r="F279" s="50">
        <v>0</v>
      </c>
      <c r="G279" s="1"/>
      <c r="H279" s="1"/>
      <c r="I279" s="1"/>
      <c r="J279" s="1"/>
      <c r="K279" s="1"/>
      <c r="L279" s="1"/>
      <c r="M279" s="1"/>
    </row>
    <row r="280" spans="1:53" ht="15">
      <c r="A280" s="1" t="s">
        <v>969</v>
      </c>
      <c r="B280" s="76">
        <v>250</v>
      </c>
      <c r="C280" s="57" t="s">
        <v>236</v>
      </c>
      <c r="D280" s="46">
        <f>$AB$16</f>
        <v>135.73403999999999</v>
      </c>
      <c r="E280" s="42" t="str">
        <f>IF(D280&gt;=B280,"HIRE","WAIT")</f>
        <v>WAIT</v>
      </c>
      <c r="F280" s="50">
        <v>60000</v>
      </c>
      <c r="G280" s="1"/>
      <c r="H280" s="1"/>
      <c r="I280" s="1"/>
      <c r="J280" s="1"/>
      <c r="K280" s="1"/>
      <c r="L280" s="1"/>
      <c r="M280" s="1"/>
    </row>
    <row r="281" spans="1:53" ht="15">
      <c r="A281" s="1" t="s">
        <v>970</v>
      </c>
      <c r="B281" s="76">
        <v>300</v>
      </c>
      <c r="C281" s="57" t="s">
        <v>236</v>
      </c>
      <c r="D281" s="46">
        <f>$AB$16</f>
        <v>135.73403999999999</v>
      </c>
      <c r="E281" s="42" t="str">
        <f>IF(D281&gt;=B281,"HIRE","WAIT")</f>
        <v>WAIT</v>
      </c>
      <c r="F281" s="50">
        <v>100000</v>
      </c>
      <c r="G281" s="1"/>
      <c r="H281" s="1"/>
      <c r="I281" s="1"/>
      <c r="J281" s="1"/>
      <c r="K281" s="1"/>
      <c r="L281" s="1"/>
      <c r="M281" s="1"/>
    </row>
    <row r="282" spans="1:53">
      <c r="A282" s="1"/>
      <c r="B282" s="1"/>
      <c r="C282" s="1"/>
      <c r="D282" s="1"/>
      <c r="E282" s="1"/>
      <c r="F282" s="1"/>
      <c r="G282" s="1"/>
      <c r="H282" s="1"/>
      <c r="I282" s="1"/>
      <c r="J282" s="1"/>
      <c r="K282" s="1"/>
      <c r="L282" s="1"/>
      <c r="M282" s="1"/>
    </row>
    <row r="283" spans="1:53">
      <c r="A283" s="1"/>
      <c r="B283" s="1"/>
      <c r="C283" s="1"/>
      <c r="D283" s="1"/>
      <c r="E283" s="1"/>
      <c r="F283" s="1"/>
      <c r="G283" s="1"/>
      <c r="H283" s="1"/>
      <c r="I283" s="1"/>
      <c r="J283" s="1"/>
      <c r="K283" s="1"/>
      <c r="L283" s="1"/>
      <c r="M283" s="1"/>
    </row>
    <row r="284" spans="1:53">
      <c r="A284" s="1"/>
      <c r="B284" s="1"/>
      <c r="C284" s="1"/>
      <c r="D284" s="1"/>
      <c r="E284" s="1"/>
      <c r="F284" s="1"/>
      <c r="G284" s="1"/>
      <c r="H284" s="1"/>
      <c r="I284" s="1"/>
      <c r="J284" s="1"/>
      <c r="K284" s="1"/>
      <c r="L284" s="1"/>
      <c r="M284" s="1"/>
    </row>
    <row r="285" spans="1:53" ht="42.75" customHeight="1">
      <c r="A285" s="461" t="s">
        <v>971</v>
      </c>
      <c r="B285" s="461"/>
      <c r="C285" s="461"/>
      <c r="D285" s="461"/>
      <c r="E285" s="461"/>
      <c r="F285" s="461"/>
      <c r="G285" s="461"/>
      <c r="H285" s="461"/>
      <c r="I285" s="461"/>
      <c r="J285" s="461"/>
      <c r="K285" s="461"/>
      <c r="L285" s="461"/>
      <c r="M285" s="461"/>
    </row>
    <row r="286" spans="1:53" ht="32">
      <c r="A286" s="73" t="s">
        <v>243</v>
      </c>
      <c r="B286" s="73" t="s">
        <v>492</v>
      </c>
      <c r="C286" s="73" t="s">
        <v>435</v>
      </c>
      <c r="D286" s="73" t="s">
        <v>494</v>
      </c>
      <c r="E286" s="73" t="s">
        <v>168</v>
      </c>
      <c r="F286" s="73" t="s">
        <v>972</v>
      </c>
      <c r="G286" s="73" t="s">
        <v>500</v>
      </c>
      <c r="H286" s="73" t="s">
        <v>558</v>
      </c>
      <c r="I286" s="1"/>
      <c r="J286" s="73" t="s">
        <v>973</v>
      </c>
      <c r="K286" s="73" t="s">
        <v>633</v>
      </c>
      <c r="L286" s="73" t="s">
        <v>974</v>
      </c>
      <c r="M286" s="73" t="s">
        <v>634</v>
      </c>
    </row>
    <row r="287" spans="1:53" ht="30">
      <c r="A287" s="1" t="s">
        <v>254</v>
      </c>
      <c r="B287" s="46">
        <f>$AB$16</f>
        <v>135.73403999999999</v>
      </c>
      <c r="C287" s="13">
        <f t="shared" ref="C287:C298" si="53">$AB$11</f>
        <v>1310.8917847457628</v>
      </c>
      <c r="D287" s="13">
        <f t="shared" ref="D287:D298" si="54">B287*C287</f>
        <v>177932.63794635274</v>
      </c>
      <c r="E287" s="13">
        <f>IF(B287&lt;=50,'Path to Profitability'!$H$20,IF(B287&lt;=150,'Path to Profitability'!$I$20,IF(B287&lt;=400,'Path to Profitability'!$J$20,'Path to Profitability'!$J$20*(B287/400))))</f>
        <v>182000</v>
      </c>
      <c r="F287" s="13">
        <f t="shared" ref="F287:F298" si="55">D287-E287</f>
        <v>-4067.362053647259</v>
      </c>
      <c r="G287" s="13">
        <f>$B$32+$B$33-$B$34+F287</f>
        <v>1295932.6379463528</v>
      </c>
      <c r="H287" s="42" t="str">
        <f t="shared" ref="H287:H298" si="56">IF(G287&lt;0,"CASH OUT",IF(F287&gt;=$B$5,"TARGET PROFIT ACHIEVED",IF(F287&gt;=0,"PROFITABLE","BURNING CASH")))</f>
        <v>BURNING CASH</v>
      </c>
      <c r="I287" s="1"/>
      <c r="J287" s="1" t="s">
        <v>975</v>
      </c>
      <c r="K287" s="13">
        <f>$B$32+$B$33-$B$34</f>
        <v>1300000</v>
      </c>
      <c r="L287" s="1" t="s">
        <v>976</v>
      </c>
      <c r="M287" s="1" t="s">
        <v>977</v>
      </c>
      <c r="AZ287">
        <f t="shared" ref="AZ287:AZ298" si="57">IF(F287&gt;=0,ROW()-286,999)</f>
        <v>999</v>
      </c>
      <c r="BA287">
        <f t="shared" ref="BA287:BA298" si="58">IF(F287&gt;=$B$5,ROW()-286,999)</f>
        <v>999</v>
      </c>
    </row>
    <row r="288" spans="1:53" ht="15">
      <c r="A288" s="1" t="s">
        <v>256</v>
      </c>
      <c r="B288" s="46">
        <f t="shared" ref="B288:B298" si="59">B287*(1+$B$35)</f>
        <v>152.0221248</v>
      </c>
      <c r="C288" s="13">
        <f t="shared" si="53"/>
        <v>1310.8917847457628</v>
      </c>
      <c r="D288" s="13">
        <f t="shared" si="54"/>
        <v>199284.5544999151</v>
      </c>
      <c r="E288" s="13">
        <f>IF(B288&lt;=50,'Path to Profitability'!$H$20,IF(B288&lt;=150,'Path to Profitability'!$I$20,IF(B288&lt;=400,'Path to Profitability'!$J$20,'Path to Profitability'!$J$20*(B288/400))))</f>
        <v>282000</v>
      </c>
      <c r="F288" s="13">
        <f t="shared" si="55"/>
        <v>-82715.445500084898</v>
      </c>
      <c r="G288" s="13">
        <f t="shared" ref="G288:G298" si="60">G287+F288</f>
        <v>1213217.1924462679</v>
      </c>
      <c r="H288" s="42" t="str">
        <f t="shared" si="56"/>
        <v>BURNING CASH</v>
      </c>
      <c r="I288" s="1"/>
      <c r="J288" s="1" t="s">
        <v>978</v>
      </c>
      <c r="K288" s="13">
        <f>$G$298</f>
        <v>2243994.5517966473</v>
      </c>
      <c r="L288" s="1" t="s">
        <v>976</v>
      </c>
      <c r="M288" s="1" t="s">
        <v>979</v>
      </c>
      <c r="AZ288">
        <f t="shared" si="57"/>
        <v>999</v>
      </c>
      <c r="BA288">
        <f t="shared" si="58"/>
        <v>999</v>
      </c>
    </row>
    <row r="289" spans="1:53" ht="30">
      <c r="A289" s="1" t="s">
        <v>258</v>
      </c>
      <c r="B289" s="46">
        <f t="shared" si="59"/>
        <v>170.26477977600001</v>
      </c>
      <c r="C289" s="13">
        <f t="shared" si="53"/>
        <v>1310.8917847457628</v>
      </c>
      <c r="D289" s="13">
        <f t="shared" si="54"/>
        <v>223198.70103990493</v>
      </c>
      <c r="E289" s="13">
        <f>IF(B289&lt;=50,'Path to Profitability'!$H$20,IF(B289&lt;=150,'Path to Profitability'!$I$20,IF(B289&lt;=400,'Path to Profitability'!$J$20,'Path to Profitability'!$J$20*(B289/400))))</f>
        <v>282000</v>
      </c>
      <c r="F289" s="13">
        <f t="shared" si="55"/>
        <v>-58801.298960095068</v>
      </c>
      <c r="G289" s="13">
        <f t="shared" si="60"/>
        <v>1154415.8934861729</v>
      </c>
      <c r="H289" s="42" t="str">
        <f t="shared" si="56"/>
        <v>BURNING CASH</v>
      </c>
      <c r="I289" s="1"/>
      <c r="J289" s="1" t="s">
        <v>541</v>
      </c>
      <c r="K289" s="42">
        <f>IF(MIN($AZ$287:$AZ$298)=999,"Not within 12 months",MIN($AZ$287:$AZ$298))</f>
        <v>6</v>
      </c>
      <c r="L289" s="1" t="s">
        <v>980</v>
      </c>
      <c r="M289" s="1" t="s">
        <v>981</v>
      </c>
      <c r="AZ289">
        <f t="shared" si="57"/>
        <v>999</v>
      </c>
      <c r="BA289">
        <f t="shared" si="58"/>
        <v>999</v>
      </c>
    </row>
    <row r="290" spans="1:53" ht="15">
      <c r="A290" s="1" t="s">
        <v>259</v>
      </c>
      <c r="B290" s="46">
        <f t="shared" si="59"/>
        <v>190.69655334912002</v>
      </c>
      <c r="C290" s="13">
        <f t="shared" si="53"/>
        <v>1310.8917847457628</v>
      </c>
      <c r="D290" s="13">
        <f t="shared" si="54"/>
        <v>249982.54516469353</v>
      </c>
      <c r="E290" s="13">
        <f>IF(B290&lt;=50,'Path to Profitability'!$H$20,IF(B290&lt;=150,'Path to Profitability'!$I$20,IF(B290&lt;=400,'Path to Profitability'!$J$20,'Path to Profitability'!$J$20*(B290/400))))</f>
        <v>282000</v>
      </c>
      <c r="F290" s="13">
        <f t="shared" si="55"/>
        <v>-32017.454835306475</v>
      </c>
      <c r="G290" s="13">
        <f t="shared" si="60"/>
        <v>1122398.4386508665</v>
      </c>
      <c r="H290" s="42" t="str">
        <f t="shared" si="56"/>
        <v>BURNING CASH</v>
      </c>
      <c r="I290" s="1"/>
      <c r="J290" s="1" t="s">
        <v>982</v>
      </c>
      <c r="K290" s="42">
        <f>IF(MIN($BA$287:$BA$298)=999,"Not within 12 months",MIN($BA$287:$BA$298))</f>
        <v>6</v>
      </c>
      <c r="L290" s="1" t="s">
        <v>980</v>
      </c>
      <c r="M290" s="1" t="s">
        <v>983</v>
      </c>
      <c r="AZ290">
        <f t="shared" si="57"/>
        <v>999</v>
      </c>
      <c r="BA290">
        <f t="shared" si="58"/>
        <v>999</v>
      </c>
    </row>
    <row r="291" spans="1:53" ht="30">
      <c r="A291" s="1" t="s">
        <v>260</v>
      </c>
      <c r="B291" s="46">
        <f t="shared" si="59"/>
        <v>213.58013975101446</v>
      </c>
      <c r="C291" s="13">
        <f t="shared" si="53"/>
        <v>1310.8917847457628</v>
      </c>
      <c r="D291" s="13">
        <f t="shared" si="54"/>
        <v>279980.45058445679</v>
      </c>
      <c r="E291" s="13">
        <f>IF(B291&lt;=50,'Path to Profitability'!$H$20,IF(B291&lt;=150,'Path to Profitability'!$I$20,IF(B291&lt;=400,'Path to Profitability'!$J$20,'Path to Profitability'!$J$20*(B291/400))))</f>
        <v>282000</v>
      </c>
      <c r="F291" s="13">
        <f t="shared" si="55"/>
        <v>-2019.5494155432098</v>
      </c>
      <c r="G291" s="13">
        <f t="shared" si="60"/>
        <v>1120378.8892353233</v>
      </c>
      <c r="H291" s="42" t="str">
        <f t="shared" si="56"/>
        <v>BURNING CASH</v>
      </c>
      <c r="I291" s="1"/>
      <c r="J291" s="1" t="s">
        <v>984</v>
      </c>
      <c r="K291" s="13">
        <f>MAX(-MIN($G$287:$G$298),0)</f>
        <v>0</v>
      </c>
      <c r="L291" s="1" t="s">
        <v>976</v>
      </c>
      <c r="M291" s="1" t="s">
        <v>985</v>
      </c>
      <c r="AZ291">
        <f t="shared" si="57"/>
        <v>999</v>
      </c>
      <c r="BA291">
        <f t="shared" si="58"/>
        <v>999</v>
      </c>
    </row>
    <row r="292" spans="1:53" ht="30">
      <c r="A292" s="1" t="s">
        <v>261</v>
      </c>
      <c r="B292" s="46">
        <f t="shared" si="59"/>
        <v>239.20975652113623</v>
      </c>
      <c r="C292" s="13">
        <f t="shared" si="53"/>
        <v>1310.8917847457628</v>
      </c>
      <c r="D292" s="13">
        <f t="shared" si="54"/>
        <v>313578.10465459165</v>
      </c>
      <c r="E292" s="13">
        <f>IF(B292&lt;=50,'Path to Profitability'!$H$20,IF(B292&lt;=150,'Path to Profitability'!$I$20,IF(B292&lt;=400,'Path to Profitability'!$J$20,'Path to Profitability'!$J$20*(B292/400))))</f>
        <v>282000</v>
      </c>
      <c r="F292" s="13">
        <f t="shared" si="55"/>
        <v>31578.104654591647</v>
      </c>
      <c r="G292" s="13">
        <f t="shared" si="60"/>
        <v>1151956.9938899148</v>
      </c>
      <c r="H292" s="42" t="str">
        <f t="shared" si="56"/>
        <v>TARGET PROFIT ACHIEVED</v>
      </c>
      <c r="I292" s="1"/>
      <c r="J292" s="1"/>
      <c r="K292" s="1"/>
      <c r="L292" s="1"/>
      <c r="M292" s="1"/>
      <c r="AZ292">
        <f t="shared" si="57"/>
        <v>6</v>
      </c>
      <c r="BA292">
        <f t="shared" si="58"/>
        <v>6</v>
      </c>
    </row>
    <row r="293" spans="1:53" ht="30">
      <c r="A293" s="1" t="s">
        <v>262</v>
      </c>
      <c r="B293" s="46">
        <f t="shared" si="59"/>
        <v>267.91492730367258</v>
      </c>
      <c r="C293" s="13">
        <f t="shared" si="53"/>
        <v>1310.8917847457628</v>
      </c>
      <c r="D293" s="13">
        <f t="shared" si="54"/>
        <v>351207.47721314267</v>
      </c>
      <c r="E293" s="13">
        <f>IF(B293&lt;=50,'Path to Profitability'!$H$20,IF(B293&lt;=150,'Path to Profitability'!$I$20,IF(B293&lt;=400,'Path to Profitability'!$J$20,'Path to Profitability'!$J$20*(B293/400))))</f>
        <v>282000</v>
      </c>
      <c r="F293" s="13">
        <f t="shared" si="55"/>
        <v>69207.477213142673</v>
      </c>
      <c r="G293" s="13">
        <f t="shared" si="60"/>
        <v>1221164.4711030575</v>
      </c>
      <c r="H293" s="42" t="str">
        <f t="shared" si="56"/>
        <v>TARGET PROFIT ACHIEVED</v>
      </c>
      <c r="I293" s="1"/>
      <c r="J293" s="1"/>
      <c r="K293" s="1"/>
      <c r="L293" s="1"/>
      <c r="M293" s="1"/>
      <c r="AZ293">
        <f t="shared" si="57"/>
        <v>7</v>
      </c>
      <c r="BA293">
        <f t="shared" si="58"/>
        <v>7</v>
      </c>
    </row>
    <row r="294" spans="1:53" ht="30">
      <c r="A294" s="1" t="s">
        <v>263</v>
      </c>
      <c r="B294" s="46">
        <f t="shared" si="59"/>
        <v>300.06471858011332</v>
      </c>
      <c r="C294" s="13">
        <f t="shared" si="53"/>
        <v>1310.8917847457628</v>
      </c>
      <c r="D294" s="13">
        <f t="shared" si="54"/>
        <v>393352.37447871984</v>
      </c>
      <c r="E294" s="13">
        <f>IF(B294&lt;=50,'Path to Profitability'!$H$20,IF(B294&lt;=150,'Path to Profitability'!$I$20,IF(B294&lt;=400,'Path to Profitability'!$J$20,'Path to Profitability'!$J$20*(B294/400))))</f>
        <v>282000</v>
      </c>
      <c r="F294" s="13">
        <f t="shared" si="55"/>
        <v>111352.37447871984</v>
      </c>
      <c r="G294" s="13">
        <f t="shared" si="60"/>
        <v>1332516.8455817774</v>
      </c>
      <c r="H294" s="42" t="str">
        <f t="shared" si="56"/>
        <v>TARGET PROFIT ACHIEVED</v>
      </c>
      <c r="I294" s="1"/>
      <c r="J294" s="1"/>
      <c r="K294" s="1"/>
      <c r="L294" s="1"/>
      <c r="M294" s="1"/>
      <c r="AZ294">
        <f t="shared" si="57"/>
        <v>8</v>
      </c>
      <c r="BA294">
        <f t="shared" si="58"/>
        <v>8</v>
      </c>
    </row>
    <row r="295" spans="1:53" ht="30">
      <c r="A295" s="1" t="s">
        <v>264</v>
      </c>
      <c r="B295" s="46">
        <f t="shared" si="59"/>
        <v>336.07248480972697</v>
      </c>
      <c r="C295" s="13">
        <f t="shared" si="53"/>
        <v>1310.8917847457628</v>
      </c>
      <c r="D295" s="13">
        <f t="shared" si="54"/>
        <v>440554.65941616625</v>
      </c>
      <c r="E295" s="13">
        <f>IF(B295&lt;=50,'Path to Profitability'!$H$20,IF(B295&lt;=150,'Path to Profitability'!$I$20,IF(B295&lt;=400,'Path to Profitability'!$J$20,'Path to Profitability'!$J$20*(B295/400))))</f>
        <v>282000</v>
      </c>
      <c r="F295" s="13">
        <f t="shared" si="55"/>
        <v>158554.65941616625</v>
      </c>
      <c r="G295" s="13">
        <f t="shared" si="60"/>
        <v>1491071.5049979435</v>
      </c>
      <c r="H295" s="42" t="str">
        <f t="shared" si="56"/>
        <v>TARGET PROFIT ACHIEVED</v>
      </c>
      <c r="I295" s="1"/>
      <c r="J295" s="1"/>
      <c r="K295" s="1"/>
      <c r="L295" s="1"/>
      <c r="M295" s="1"/>
      <c r="AZ295">
        <f t="shared" si="57"/>
        <v>9</v>
      </c>
      <c r="BA295">
        <f t="shared" si="58"/>
        <v>9</v>
      </c>
    </row>
    <row r="296" spans="1:53" ht="30">
      <c r="A296" s="1" t="s">
        <v>265</v>
      </c>
      <c r="B296" s="46">
        <f t="shared" si="59"/>
        <v>376.40118298689424</v>
      </c>
      <c r="C296" s="13">
        <f t="shared" si="53"/>
        <v>1310.8917847457628</v>
      </c>
      <c r="D296" s="13">
        <f t="shared" si="54"/>
        <v>493421.21854610625</v>
      </c>
      <c r="E296" s="13">
        <f>IF(B296&lt;=50,'Path to Profitability'!$H$20,IF(B296&lt;=150,'Path to Profitability'!$I$20,IF(B296&lt;=400,'Path to Profitability'!$J$20,'Path to Profitability'!$J$20*(B296/400))))</f>
        <v>282000</v>
      </c>
      <c r="F296" s="13">
        <f t="shared" si="55"/>
        <v>211421.21854610625</v>
      </c>
      <c r="G296" s="13">
        <f t="shared" si="60"/>
        <v>1702492.7235440498</v>
      </c>
      <c r="H296" s="42" t="str">
        <f t="shared" si="56"/>
        <v>TARGET PROFIT ACHIEVED</v>
      </c>
      <c r="I296" s="1"/>
      <c r="J296" s="1"/>
      <c r="K296" s="1"/>
      <c r="L296" s="1"/>
      <c r="M296" s="1"/>
      <c r="AZ296">
        <f t="shared" si="57"/>
        <v>10</v>
      </c>
      <c r="BA296">
        <f t="shared" si="58"/>
        <v>10</v>
      </c>
    </row>
    <row r="297" spans="1:53" ht="30">
      <c r="A297" s="1" t="s">
        <v>266</v>
      </c>
      <c r="B297" s="46">
        <f t="shared" si="59"/>
        <v>421.56932494532157</v>
      </c>
      <c r="C297" s="13">
        <f t="shared" si="53"/>
        <v>1310.8917847457628</v>
      </c>
      <c r="D297" s="13">
        <f t="shared" si="54"/>
        <v>552631.76477163902</v>
      </c>
      <c r="E297" s="13">
        <f>IF(B297&lt;=50,'Path to Profitability'!$H$20,IF(B297&lt;=150,'Path to Profitability'!$I$20,IF(B297&lt;=400,'Path to Profitability'!$J$20,'Path to Profitability'!$J$20*(B297/400))))</f>
        <v>297206.37408645166</v>
      </c>
      <c r="F297" s="13">
        <f t="shared" si="55"/>
        <v>255425.39068518736</v>
      </c>
      <c r="G297" s="13">
        <f t="shared" si="60"/>
        <v>1957918.1142292372</v>
      </c>
      <c r="H297" s="42" t="str">
        <f t="shared" si="56"/>
        <v>TARGET PROFIT ACHIEVED</v>
      </c>
      <c r="I297" s="1"/>
      <c r="J297" s="1"/>
      <c r="K297" s="1"/>
      <c r="L297" s="1"/>
      <c r="M297" s="1"/>
      <c r="AZ297">
        <f t="shared" si="57"/>
        <v>11</v>
      </c>
      <c r="BA297">
        <f t="shared" si="58"/>
        <v>11</v>
      </c>
    </row>
    <row r="298" spans="1:53" ht="30">
      <c r="A298" s="1" t="s">
        <v>267</v>
      </c>
      <c r="B298" s="46">
        <f t="shared" si="59"/>
        <v>472.1576439387602</v>
      </c>
      <c r="C298" s="13">
        <f t="shared" si="53"/>
        <v>1310.8917847457628</v>
      </c>
      <c r="D298" s="13">
        <f t="shared" si="54"/>
        <v>618947.57654423581</v>
      </c>
      <c r="E298" s="13">
        <f>IF(B298&lt;=50,'Path to Profitability'!$H$20,IF(B298&lt;=150,'Path to Profitability'!$I$20,IF(B298&lt;=400,'Path to Profitability'!$J$20,'Path to Profitability'!$J$20*(B298/400))))</f>
        <v>332871.13897682593</v>
      </c>
      <c r="F298" s="13">
        <f t="shared" si="55"/>
        <v>286076.43756740988</v>
      </c>
      <c r="G298" s="13">
        <f t="shared" si="60"/>
        <v>2243994.5517966473</v>
      </c>
      <c r="H298" s="42" t="str">
        <f t="shared" si="56"/>
        <v>TARGET PROFIT ACHIEVED</v>
      </c>
      <c r="I298" s="1"/>
      <c r="J298" s="1"/>
      <c r="K298" s="1"/>
      <c r="L298" s="1"/>
      <c r="M298" s="1"/>
      <c r="AZ298">
        <f t="shared" si="57"/>
        <v>12</v>
      </c>
      <c r="BA298">
        <f t="shared" si="58"/>
        <v>12</v>
      </c>
    </row>
    <row r="299" spans="1:53">
      <c r="A299" s="1"/>
      <c r="B299" s="1"/>
      <c r="C299" s="1"/>
      <c r="D299" s="1"/>
      <c r="E299" s="1"/>
      <c r="F299" s="1"/>
      <c r="G299" s="1"/>
      <c r="H299" s="1"/>
      <c r="I299" s="1"/>
      <c r="J299" s="1"/>
      <c r="K299" s="1"/>
      <c r="L299" s="1"/>
      <c r="M299" s="1"/>
    </row>
    <row r="300" spans="1:53">
      <c r="A300" s="1"/>
      <c r="B300" s="1"/>
      <c r="C300" s="1"/>
      <c r="D300" s="1"/>
      <c r="E300" s="1"/>
      <c r="F300" s="1"/>
      <c r="G300" s="1"/>
      <c r="H300" s="1"/>
      <c r="I300" s="1"/>
      <c r="J300" s="1"/>
      <c r="K300" s="1"/>
      <c r="L300" s="1"/>
      <c r="M300" s="1"/>
    </row>
    <row r="301" spans="1:53">
      <c r="A301" s="1"/>
      <c r="B301" s="1"/>
      <c r="C301" s="1"/>
      <c r="D301" s="1"/>
      <c r="E301" s="1"/>
      <c r="F301" s="1"/>
      <c r="G301" s="1"/>
      <c r="H301" s="1"/>
      <c r="I301" s="1"/>
      <c r="J301" s="1"/>
      <c r="K301" s="1"/>
      <c r="L301" s="1"/>
      <c r="M301" s="1"/>
    </row>
    <row r="302" spans="1:53" ht="15">
      <c r="A302" s="461" t="s">
        <v>986</v>
      </c>
      <c r="B302" s="461"/>
      <c r="C302" s="461"/>
      <c r="D302" s="461"/>
      <c r="E302" s="461"/>
      <c r="F302" s="461"/>
      <c r="G302" s="461"/>
      <c r="H302" s="461"/>
      <c r="I302" s="461"/>
      <c r="J302" s="461"/>
      <c r="K302" s="461"/>
      <c r="L302" s="461"/>
      <c r="M302" s="461"/>
    </row>
    <row r="303" spans="1:53" ht="32">
      <c r="A303" s="73" t="s">
        <v>987</v>
      </c>
      <c r="B303" s="73" t="s">
        <v>988</v>
      </c>
      <c r="C303" s="73" t="s">
        <v>989</v>
      </c>
      <c r="D303" s="73" t="s">
        <v>990</v>
      </c>
      <c r="E303" s="73" t="s">
        <v>655</v>
      </c>
      <c r="F303" s="73" t="s">
        <v>991</v>
      </c>
      <c r="G303" s="73" t="s">
        <v>992</v>
      </c>
      <c r="H303" s="1"/>
      <c r="I303" s="1"/>
      <c r="J303" s="1"/>
      <c r="K303" s="1"/>
      <c r="L303" s="1"/>
      <c r="M303" s="1"/>
    </row>
    <row r="304" spans="1:53" ht="15">
      <c r="A304" s="90">
        <v>0</v>
      </c>
      <c r="B304" s="50">
        <f t="shared" ref="B304:B312" si="61">$B$27+A304</f>
        <v>182000</v>
      </c>
      <c r="C304" s="57">
        <f t="shared" ref="C304:C312" si="62">IF($AB$11&lt;=0,0,B304/$AB$11)</f>
        <v>138.8367843309793</v>
      </c>
      <c r="D304" s="57">
        <f t="shared" ref="D304:D312" si="63">C304/$B$7</f>
        <v>5.339876320422281</v>
      </c>
      <c r="E304" s="57">
        <f t="shared" ref="E304:E312" si="64">C304*$B$11/($B$7*$B$9*$B$10)</f>
        <v>4.7442747308367181</v>
      </c>
      <c r="F304" s="57">
        <f t="shared" ref="F304:F312" si="65">IF($AB$13*$B$14*(1-$B$12)*(1-$B$13)=0,0,C304/($B$7*$AB$13*$B$14*(1-$B$12)*(1-$B$13)))</f>
        <v>10.22858999341501</v>
      </c>
      <c r="G304" s="50">
        <f t="shared" ref="G304:G312" si="66">$AB$18-A304</f>
        <v>177932.63794635274</v>
      </c>
      <c r="H304" s="1"/>
      <c r="I304" s="1"/>
      <c r="J304" s="1"/>
      <c r="K304" s="1"/>
      <c r="L304" s="1"/>
      <c r="M304" s="1"/>
    </row>
    <row r="305" spans="1:13" ht="15">
      <c r="A305" s="90">
        <v>50000</v>
      </c>
      <c r="B305" s="50">
        <f t="shared" si="61"/>
        <v>232000</v>
      </c>
      <c r="C305" s="57">
        <f t="shared" si="62"/>
        <v>176.97875804828129</v>
      </c>
      <c r="D305" s="57">
        <f t="shared" si="63"/>
        <v>6.8068753095492802</v>
      </c>
      <c r="E305" s="57">
        <f t="shared" si="64"/>
        <v>6.0476469096380141</v>
      </c>
      <c r="F305" s="57">
        <f t="shared" si="65"/>
        <v>13.038642189408144</v>
      </c>
      <c r="G305" s="50">
        <f t="shared" si="66"/>
        <v>127932.63794635274</v>
      </c>
      <c r="H305" s="1"/>
      <c r="I305" s="1"/>
      <c r="J305" s="1"/>
      <c r="K305" s="1"/>
      <c r="L305" s="1"/>
      <c r="M305" s="1"/>
    </row>
    <row r="306" spans="1:13" ht="15">
      <c r="A306" s="90">
        <v>100000</v>
      </c>
      <c r="B306" s="50">
        <f t="shared" si="61"/>
        <v>282000</v>
      </c>
      <c r="C306" s="57">
        <f t="shared" si="62"/>
        <v>215.12073176558329</v>
      </c>
      <c r="D306" s="57">
        <f t="shared" si="63"/>
        <v>8.2738742986762794</v>
      </c>
      <c r="E306" s="57">
        <f t="shared" si="64"/>
        <v>7.3510190884393092</v>
      </c>
      <c r="F306" s="57">
        <f t="shared" si="65"/>
        <v>15.848694385401277</v>
      </c>
      <c r="G306" s="50">
        <f t="shared" si="66"/>
        <v>77932.637946352741</v>
      </c>
      <c r="H306" s="1"/>
      <c r="I306" s="1"/>
      <c r="J306" s="1"/>
      <c r="K306" s="1"/>
      <c r="L306" s="1"/>
      <c r="M306" s="1"/>
    </row>
    <row r="307" spans="1:13" ht="15">
      <c r="A307" s="90">
        <v>200000</v>
      </c>
      <c r="B307" s="50">
        <f t="shared" si="61"/>
        <v>382000</v>
      </c>
      <c r="C307" s="57">
        <f t="shared" si="62"/>
        <v>291.40467920018727</v>
      </c>
      <c r="D307" s="57">
        <f t="shared" si="63"/>
        <v>11.20787227693028</v>
      </c>
      <c r="E307" s="57">
        <f t="shared" si="64"/>
        <v>9.957763446041902</v>
      </c>
      <c r="F307" s="57">
        <f t="shared" si="65"/>
        <v>21.468798777387544</v>
      </c>
      <c r="G307" s="50">
        <f t="shared" si="66"/>
        <v>-22067.362053647259</v>
      </c>
      <c r="H307" s="1"/>
      <c r="I307" s="1"/>
      <c r="J307" s="1"/>
      <c r="K307" s="1"/>
      <c r="L307" s="1"/>
      <c r="M307" s="1"/>
    </row>
    <row r="308" spans="1:13" ht="15">
      <c r="A308" s="90">
        <v>300000</v>
      </c>
      <c r="B308" s="50">
        <f t="shared" si="61"/>
        <v>482000</v>
      </c>
      <c r="C308" s="57">
        <f t="shared" si="62"/>
        <v>367.68862663479132</v>
      </c>
      <c r="D308" s="57">
        <f t="shared" si="63"/>
        <v>14.141870255184282</v>
      </c>
      <c r="E308" s="57">
        <f t="shared" si="64"/>
        <v>12.564507803644496</v>
      </c>
      <c r="F308" s="57">
        <f t="shared" si="65"/>
        <v>27.088903169373815</v>
      </c>
      <c r="G308" s="50">
        <f t="shared" si="66"/>
        <v>-122067.36205364726</v>
      </c>
      <c r="H308" s="1"/>
      <c r="I308" s="1"/>
      <c r="J308" s="1"/>
      <c r="K308" s="1"/>
      <c r="L308" s="1"/>
      <c r="M308" s="1"/>
    </row>
    <row r="309" spans="1:13" ht="15">
      <c r="A309" s="90">
        <v>500000</v>
      </c>
      <c r="B309" s="50">
        <f t="shared" si="61"/>
        <v>682000</v>
      </c>
      <c r="C309" s="57">
        <f t="shared" si="62"/>
        <v>520.25652150399935</v>
      </c>
      <c r="D309" s="57">
        <f t="shared" si="63"/>
        <v>20.009866211692284</v>
      </c>
      <c r="E309" s="57">
        <f t="shared" si="64"/>
        <v>17.77799651884968</v>
      </c>
      <c r="F309" s="57">
        <f t="shared" si="65"/>
        <v>38.329111953346356</v>
      </c>
      <c r="G309" s="50">
        <f t="shared" si="66"/>
        <v>-322067.36205364729</v>
      </c>
      <c r="H309" s="1"/>
      <c r="I309" s="1"/>
      <c r="J309" s="1"/>
      <c r="K309" s="1"/>
      <c r="L309" s="1"/>
      <c r="M309" s="1"/>
    </row>
    <row r="310" spans="1:13" ht="15">
      <c r="A310" s="90">
        <v>1000000</v>
      </c>
      <c r="B310" s="50">
        <f t="shared" si="61"/>
        <v>1182000</v>
      </c>
      <c r="C310" s="57">
        <f t="shared" si="62"/>
        <v>901.67625867701929</v>
      </c>
      <c r="D310" s="57">
        <f t="shared" si="63"/>
        <v>34.679856102962283</v>
      </c>
      <c r="E310" s="57">
        <f t="shared" si="64"/>
        <v>30.811718306862637</v>
      </c>
      <c r="F310" s="57">
        <f t="shared" si="65"/>
        <v>66.429633913277684</v>
      </c>
      <c r="G310" s="50">
        <f t="shared" si="66"/>
        <v>-822067.36205364729</v>
      </c>
      <c r="H310" s="1"/>
      <c r="I310" s="1"/>
      <c r="J310" s="1"/>
      <c r="K310" s="1"/>
      <c r="L310" s="1"/>
      <c r="M310" s="1"/>
    </row>
    <row r="311" spans="1:13" ht="15">
      <c r="A311" s="91">
        <v>5000000</v>
      </c>
      <c r="B311" s="16">
        <f t="shared" si="61"/>
        <v>5182000</v>
      </c>
      <c r="C311" s="15">
        <f t="shared" si="62"/>
        <v>3953.0341560611796</v>
      </c>
      <c r="D311" s="15">
        <f t="shared" si="63"/>
        <v>152.0397752331223</v>
      </c>
      <c r="E311" s="15">
        <f t="shared" si="64"/>
        <v>135.08149261096634</v>
      </c>
      <c r="F311" s="15">
        <f t="shared" si="65"/>
        <v>291.23380959272845</v>
      </c>
      <c r="G311" s="16">
        <f t="shared" si="66"/>
        <v>-4822067.3620536476</v>
      </c>
    </row>
    <row r="312" spans="1:13" ht="15">
      <c r="A312" s="91">
        <v>10000000</v>
      </c>
      <c r="B312" s="16">
        <f t="shared" si="61"/>
        <v>10182000</v>
      </c>
      <c r="C312" s="15">
        <f t="shared" si="62"/>
        <v>7767.2315277913794</v>
      </c>
      <c r="D312" s="15">
        <f t="shared" si="63"/>
        <v>298.73967414582228</v>
      </c>
      <c r="E312" s="15">
        <f t="shared" si="64"/>
        <v>265.41871049109596</v>
      </c>
      <c r="F312" s="15">
        <f t="shared" si="65"/>
        <v>572.23902919204181</v>
      </c>
      <c r="G312" s="16">
        <f t="shared" si="66"/>
        <v>-9822067.3620536476</v>
      </c>
    </row>
    <row r="316" spans="1:13">
      <c r="A316" s="462" t="s">
        <v>993</v>
      </c>
      <c r="B316" s="462"/>
      <c r="C316" s="462"/>
      <c r="D316" s="462"/>
      <c r="E316" s="462"/>
      <c r="F316" s="462"/>
      <c r="G316" s="462"/>
      <c r="H316" s="462"/>
      <c r="I316" s="462"/>
      <c r="J316" s="462"/>
      <c r="K316" s="462"/>
      <c r="L316" s="462"/>
      <c r="M316" s="462"/>
    </row>
    <row r="317" spans="1:13">
      <c r="A317" s="462"/>
      <c r="B317" s="462"/>
      <c r="C317" s="462"/>
      <c r="D317" s="462"/>
      <c r="E317" s="462"/>
      <c r="F317" s="462"/>
      <c r="G317" s="462"/>
      <c r="H317" s="462"/>
      <c r="I317" s="462"/>
      <c r="J317" s="462"/>
      <c r="K317" s="462"/>
      <c r="L317" s="462"/>
      <c r="M317" s="462"/>
    </row>
    <row r="318" spans="1:13">
      <c r="A318" s="462"/>
      <c r="B318" s="462"/>
      <c r="C318" s="462"/>
      <c r="D318" s="462"/>
      <c r="E318" s="462"/>
      <c r="F318" s="462"/>
      <c r="G318" s="462"/>
      <c r="H318" s="462"/>
      <c r="I318" s="462"/>
      <c r="J318" s="462"/>
      <c r="K318" s="462"/>
      <c r="L318" s="462"/>
      <c r="M318" s="462"/>
    </row>
    <row r="319" spans="1:13">
      <c r="A319" s="462"/>
      <c r="B319" s="462"/>
      <c r="C319" s="462"/>
      <c r="D319" s="462"/>
      <c r="E319" s="462"/>
      <c r="F319" s="462"/>
      <c r="G319" s="462"/>
      <c r="H319" s="462"/>
      <c r="I319" s="462"/>
      <c r="J319" s="462"/>
      <c r="K319" s="462"/>
      <c r="L319" s="462"/>
      <c r="M319" s="462"/>
    </row>
    <row r="320" spans="1:13">
      <c r="A320" s="462"/>
      <c r="B320" s="462"/>
      <c r="C320" s="462"/>
      <c r="D320" s="462"/>
      <c r="E320" s="462"/>
      <c r="F320" s="462"/>
      <c r="G320" s="462"/>
      <c r="H320" s="462"/>
      <c r="I320" s="462"/>
      <c r="J320" s="462"/>
      <c r="K320" s="462"/>
      <c r="L320" s="462"/>
      <c r="M320" s="462"/>
    </row>
  </sheetData>
  <mergeCells count="27">
    <mergeCell ref="A1:M1"/>
    <mergeCell ref="A2:M2"/>
    <mergeCell ref="E4:M4"/>
    <mergeCell ref="A38:M38"/>
    <mergeCell ref="A51:M51"/>
    <mergeCell ref="A62:M62"/>
    <mergeCell ref="A72:M72"/>
    <mergeCell ref="A82:M82"/>
    <mergeCell ref="A93:M93"/>
    <mergeCell ref="A105:M105"/>
    <mergeCell ref="A114:M114"/>
    <mergeCell ref="A123:M123"/>
    <mergeCell ref="A133:M133"/>
    <mergeCell ref="A142:M142"/>
    <mergeCell ref="A155:M155"/>
    <mergeCell ref="A164:M164"/>
    <mergeCell ref="A175:M175"/>
    <mergeCell ref="A210:M210"/>
    <mergeCell ref="A219:M219"/>
    <mergeCell ref="A230:M230"/>
    <mergeCell ref="A302:M302"/>
    <mergeCell ref="A316:M320"/>
    <mergeCell ref="A245:M245"/>
    <mergeCell ref="A254:M254"/>
    <mergeCell ref="A265:M265"/>
    <mergeCell ref="A275:M275"/>
    <mergeCell ref="A285:M285"/>
  </mergeCells>
  <conditionalFormatting sqref="B74:H78">
    <cfRule type="colorScale" priority="4">
      <colorScale>
        <cfvo type="min"/>
        <cfvo type="percentile" val="50"/>
        <cfvo type="max"/>
        <color rgb="FFF4CCCC"/>
        <color rgb="FFFFF2CC"/>
        <color rgb="FFD9EAD3"/>
      </colorScale>
    </cfRule>
    <cfRule type="expression" dxfId="64" priority="15">
      <formula>B74&lt;0</formula>
    </cfRule>
  </conditionalFormatting>
  <conditionalFormatting sqref="E53:E59">
    <cfRule type="colorScale" priority="2">
      <colorScale>
        <cfvo type="min"/>
        <cfvo type="percentile" val="50"/>
        <cfvo type="max"/>
        <color rgb="FFF4CCCC"/>
        <color rgb="FFFFF2CC"/>
        <color rgb="FFD9EAD3"/>
      </colorScale>
    </cfRule>
  </conditionalFormatting>
  <conditionalFormatting sqref="F40:F48">
    <cfRule type="colorScale" priority="1">
      <colorScale>
        <cfvo type="min"/>
        <cfvo type="percentile" val="50"/>
        <cfvo type="max"/>
        <color rgb="FFF4CCCC"/>
        <color rgb="FFFFF2CC"/>
        <color rgb="FFD9EAD3"/>
      </colorScale>
    </cfRule>
  </conditionalFormatting>
  <conditionalFormatting sqref="F287:G298">
    <cfRule type="colorScale" priority="13">
      <colorScale>
        <cfvo type="min"/>
        <cfvo type="percentile" val="50"/>
        <cfvo type="max"/>
        <color rgb="FFF4CCCC"/>
        <color rgb="FFFFF2CC"/>
        <color rgb="FFD9EAD3"/>
      </colorScale>
    </cfRule>
    <cfRule type="expression" dxfId="63" priority="22">
      <formula>F287&lt;0</formula>
    </cfRule>
  </conditionalFormatting>
  <conditionalFormatting sqref="F107:H109">
    <cfRule type="colorScale" priority="7">
      <colorScale>
        <cfvo type="min"/>
        <cfvo type="percentile" val="50"/>
        <cfvo type="max"/>
        <color rgb="FFF4CCCC"/>
        <color rgb="FFFFF2CC"/>
        <color rgb="FFD9EAD3"/>
      </colorScale>
    </cfRule>
    <cfRule type="expression" dxfId="62" priority="18">
      <formula>F107&lt;0</formula>
    </cfRule>
  </conditionalFormatting>
  <conditionalFormatting sqref="G84:G89">
    <cfRule type="colorScale" priority="5">
      <colorScale>
        <cfvo type="min"/>
        <cfvo type="percentile" val="50"/>
        <cfvo type="max"/>
        <color rgb="FFF4CCCC"/>
        <color rgb="FFFFF2CC"/>
        <color rgb="FFD9EAD3"/>
      </colorScale>
    </cfRule>
    <cfRule type="expression" dxfId="61" priority="16">
      <formula>G84&lt;0</formula>
    </cfRule>
  </conditionalFormatting>
  <conditionalFormatting sqref="G304:G312">
    <cfRule type="expression" dxfId="60" priority="23">
      <formula>G304&lt;0</formula>
    </cfRule>
  </conditionalFormatting>
  <conditionalFormatting sqref="H64:H68">
    <cfRule type="expression" dxfId="59" priority="14">
      <formula>H64&lt;0</formula>
    </cfRule>
    <cfRule type="colorScale" priority="3">
      <colorScale>
        <cfvo type="min"/>
        <cfvo type="percentile" val="50"/>
        <cfvo type="max"/>
        <color rgb="FFF4CCCC"/>
        <color rgb="FFFFF2CC"/>
        <color rgb="FFD9EAD3"/>
      </colorScale>
    </cfRule>
  </conditionalFormatting>
  <conditionalFormatting sqref="H95:H101">
    <cfRule type="expression" dxfId="58" priority="17">
      <formula>H95&lt;0</formula>
    </cfRule>
    <cfRule type="colorScale" priority="6">
      <colorScale>
        <cfvo type="min"/>
        <cfvo type="percentile" val="50"/>
        <cfvo type="max"/>
        <color rgb="FFF4CCCC"/>
        <color rgb="FFFFF2CC"/>
        <color rgb="FFD9EAD3"/>
      </colorScale>
    </cfRule>
  </conditionalFormatting>
  <conditionalFormatting sqref="H157:H160">
    <cfRule type="colorScale" priority="8">
      <colorScale>
        <cfvo type="min"/>
        <cfvo type="percentile" val="50"/>
        <cfvo type="max"/>
        <color rgb="FFF4CCCC"/>
        <color rgb="FFFFF2CC"/>
        <color rgb="FFD9EAD3"/>
      </colorScale>
    </cfRule>
  </conditionalFormatting>
  <conditionalFormatting sqref="H221:H226">
    <cfRule type="dataBar" priority="10">
      <dataBar>
        <cfvo type="min"/>
        <cfvo type="max"/>
        <color rgb="FFA02B93"/>
      </dataBar>
    </cfRule>
    <cfRule type="dataBar" priority="25">
      <dataBar>
        <cfvo type="min"/>
        <cfvo type="max"/>
        <color rgb="FFA02B93"/>
      </dataBar>
    </cfRule>
    <cfRule type="dataBar" priority="26">
      <dataBar>
        <cfvo type="min"/>
        <cfvo type="max"/>
        <color rgb="FFA02B93"/>
      </dataBar>
      <extLst>
        <ext xmlns:x14="http://schemas.microsoft.com/office/spreadsheetml/2009/9/main" uri="{B025F937-C7B1-47D3-B67F-A62EFF666E3E}">
          <x14:id>{327DE131-B6CC-A2F4-C439-205FB5F44527}</x14:id>
        </ext>
      </extLst>
    </cfRule>
  </conditionalFormatting>
  <conditionalFormatting sqref="H267:H271">
    <cfRule type="colorScale" priority="12">
      <colorScale>
        <cfvo type="min"/>
        <cfvo type="percentile" val="50"/>
        <cfvo type="max"/>
        <color rgb="FFF4CCCC"/>
        <color rgb="FFFFF2CC"/>
        <color rgb="FFD9EAD3"/>
      </colorScale>
    </cfRule>
    <cfRule type="expression" dxfId="57" priority="21">
      <formula>H267&lt;0</formula>
    </cfRule>
  </conditionalFormatting>
  <conditionalFormatting sqref="I232:I241">
    <cfRule type="colorScale" priority="11">
      <colorScale>
        <cfvo type="min"/>
        <cfvo type="percentile" val="50"/>
        <cfvo type="max"/>
        <color rgb="FFF4CCCC"/>
        <color rgb="FFFFF2CC"/>
        <color rgb="FFD9EAD3"/>
      </colorScale>
    </cfRule>
    <cfRule type="expression" dxfId="56" priority="19">
      <formula>I232&lt;0</formula>
    </cfRule>
  </conditionalFormatting>
  <conditionalFormatting sqref="I256:I261">
    <cfRule type="expression" dxfId="55" priority="20">
      <formula>I256&lt;0</formula>
    </cfRule>
  </conditionalFormatting>
  <conditionalFormatting sqref="K177:K206">
    <cfRule type="dataBar" priority="9">
      <dataBar>
        <cfvo type="min"/>
        <cfvo type="max"/>
        <color rgb="FFA02B93"/>
      </dataBar>
    </cfRule>
    <cfRule type="dataBar" priority="24">
      <dataBar>
        <cfvo type="min"/>
        <cfvo type="max"/>
        <color rgb="FFA02B93"/>
      </dataBar>
    </cfRule>
    <cfRule type="dataBar" priority="27">
      <dataBar>
        <cfvo type="min"/>
        <cfvo type="max"/>
        <color rgb="FFA02B93"/>
      </dataBar>
      <extLst>
        <ext xmlns:x14="http://schemas.microsoft.com/office/spreadsheetml/2009/9/main" uri="{B025F937-C7B1-47D3-B67F-A62EFF666E3E}">
          <x14:id>{3AEFF887-C229-3497-E9D1-0579FFFF1B57}</x14:id>
        </ext>
      </extLst>
    </cfRule>
  </conditionalFormatting>
  <dataValidations count="4">
    <dataValidation type="list" sqref="B5" xr:uid="{00000000-0002-0000-0700-000000000000}">
      <formula1>"0,50000,100000,200000,300000,500000,1000000,5000000,10000000"</formula1>
    </dataValidation>
    <dataValidation type="list" sqref="B17 B20" xr:uid="{00000000-0002-0000-0700-000001000000}">
      <formula1>"249,299,349,399,449"</formula1>
    </dataValidation>
    <dataValidation type="list" sqref="B18" xr:uid="{00000000-0002-0000-0700-000002000000}">
      <formula1>"0,99,199,299"</formula1>
    </dataValidation>
    <dataValidation type="list" sqref="B19" xr:uid="{00000000-0002-0000-0700-000003000000}">
      <formula1>"1,2,3"</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27DE131-B6CC-A2F4-C439-205FB5F44527}">
            <x14:dataBar>
              <x14:cfvo type="min"/>
              <x14:cfvo type="max"/>
              <x14:negativeFillColor auto="1"/>
              <x14:axisColor auto="1"/>
            </x14:dataBar>
          </x14:cfRule>
          <xm:sqref>H221:H226</xm:sqref>
        </x14:conditionalFormatting>
        <x14:conditionalFormatting xmlns:xm="http://schemas.microsoft.com/office/excel/2006/main">
          <x14:cfRule type="dataBar" id="{3AEFF887-C229-3497-E9D1-0579FFFF1B57}">
            <x14:dataBar>
              <x14:cfvo type="min"/>
              <x14:cfvo type="max"/>
              <x14:negativeFillColor auto="1"/>
              <x14:axisColor auto="1"/>
            </x14:dataBar>
          </x14:cfRule>
          <xm:sqref>K177:K206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5"/>
  <sheetViews>
    <sheetView workbookViewId="0"/>
  </sheetViews>
  <sheetFormatPr baseColWidth="10" defaultColWidth="8.83203125" defaultRowHeight="14"/>
  <cols>
    <col min="1" max="1" width="24" customWidth="1"/>
    <col min="2" max="2" width="26" customWidth="1"/>
    <col min="3" max="3" width="44" customWidth="1"/>
    <col min="4" max="4" width="18" customWidth="1"/>
    <col min="5" max="5" width="22" customWidth="1"/>
    <col min="6" max="6" width="18" customWidth="1"/>
    <col min="7" max="7" width="26" customWidth="1"/>
    <col min="8" max="8" width="22" customWidth="1"/>
    <col min="9" max="9" width="30" customWidth="1"/>
  </cols>
  <sheetData>
    <row r="1" spans="1:9" ht="49.75" customHeight="1">
      <c r="A1" s="463" t="s">
        <v>1392</v>
      </c>
      <c r="B1" s="463"/>
      <c r="C1" s="463"/>
      <c r="D1" s="463"/>
      <c r="E1" s="463"/>
      <c r="F1" s="463"/>
      <c r="G1" s="463"/>
      <c r="H1" s="463"/>
      <c r="I1" s="1"/>
    </row>
    <row r="2" spans="1:9" ht="60.25" customHeight="1">
      <c r="A2" s="464" t="s">
        <v>1393</v>
      </c>
      <c r="B2" s="464"/>
      <c r="C2" s="464"/>
      <c r="D2" s="464"/>
      <c r="E2" s="464"/>
      <c r="F2" s="464"/>
      <c r="G2" s="464"/>
      <c r="H2" s="464"/>
      <c r="I2" s="1"/>
    </row>
    <row r="3" spans="1:9">
      <c r="A3" s="1"/>
      <c r="B3" s="1"/>
      <c r="C3" s="1"/>
      <c r="D3" s="1"/>
      <c r="E3" s="1"/>
      <c r="F3" s="1"/>
      <c r="G3" s="1"/>
      <c r="H3" s="1"/>
      <c r="I3" s="1"/>
    </row>
    <row r="4" spans="1:9" ht="42.75" customHeight="1">
      <c r="A4" s="461" t="s">
        <v>1394</v>
      </c>
      <c r="B4" s="461"/>
      <c r="C4" s="461"/>
      <c r="D4" s="461"/>
      <c r="E4" s="461"/>
      <c r="F4" s="461"/>
      <c r="G4" s="461"/>
      <c r="H4" s="461"/>
      <c r="I4" s="1"/>
    </row>
    <row r="5" spans="1:9" ht="16">
      <c r="A5" s="73" t="s">
        <v>994</v>
      </c>
      <c r="B5" s="73" t="s">
        <v>836</v>
      </c>
      <c r="C5" s="73" t="s">
        <v>995</v>
      </c>
      <c r="D5" s="1"/>
      <c r="E5" s="1"/>
      <c r="F5" s="1"/>
      <c r="G5" s="1"/>
      <c r="H5" s="1"/>
      <c r="I5" s="1"/>
    </row>
    <row r="6" spans="1:9" ht="30">
      <c r="A6" s="1" t="s">
        <v>1395</v>
      </c>
      <c r="B6" s="12" t="s">
        <v>1396</v>
      </c>
      <c r="C6" s="1" t="s">
        <v>1397</v>
      </c>
      <c r="D6" s="1"/>
      <c r="E6" s="1"/>
      <c r="F6" s="1"/>
      <c r="G6" s="1"/>
      <c r="H6" s="1"/>
      <c r="I6" s="1"/>
    </row>
    <row r="7" spans="1:9" ht="30">
      <c r="A7" s="1" t="s">
        <v>1398</v>
      </c>
      <c r="B7" s="171">
        <f>'Growth &amp; Pricing Strategy'!$B$18</f>
        <v>2</v>
      </c>
      <c r="C7" s="1" t="s">
        <v>1399</v>
      </c>
      <c r="D7" s="1"/>
      <c r="E7" s="1"/>
      <c r="F7" s="1"/>
      <c r="G7" s="1"/>
      <c r="H7" s="1"/>
      <c r="I7" s="1"/>
    </row>
    <row r="8" spans="1:9" ht="30">
      <c r="A8" s="1" t="s">
        <v>1174</v>
      </c>
      <c r="B8" s="171" t="s">
        <v>1400</v>
      </c>
      <c r="C8" s="1" t="s">
        <v>1401</v>
      </c>
      <c r="D8" s="1"/>
      <c r="E8" s="1"/>
      <c r="F8" s="1"/>
      <c r="G8" s="1"/>
      <c r="H8" s="1"/>
      <c r="I8" s="1"/>
    </row>
    <row r="9" spans="1:9" ht="30">
      <c r="A9" s="1" t="s">
        <v>1349</v>
      </c>
      <c r="B9" s="171">
        <f>'Growth &amp; Pricing Strategy'!$B$17</f>
        <v>199</v>
      </c>
      <c r="C9" s="1" t="s">
        <v>1402</v>
      </c>
      <c r="D9" s="1"/>
      <c r="E9" s="1"/>
      <c r="F9" s="1"/>
      <c r="G9" s="1"/>
      <c r="H9" s="1"/>
      <c r="I9" s="1"/>
    </row>
    <row r="10" spans="1:9" ht="30">
      <c r="A10" s="1" t="s">
        <v>1403</v>
      </c>
      <c r="B10" s="40" t="s">
        <v>1404</v>
      </c>
      <c r="C10" s="1" t="s">
        <v>1405</v>
      </c>
      <c r="D10" s="1"/>
      <c r="E10" s="1"/>
      <c r="F10" s="1"/>
      <c r="G10" s="1"/>
      <c r="H10" s="1"/>
      <c r="I10" s="1"/>
    </row>
    <row r="11" spans="1:9" ht="30">
      <c r="A11" s="1" t="s">
        <v>1406</v>
      </c>
      <c r="B11" s="141">
        <f>'Whitefield Monthly Projection'!$Q$32</f>
        <v>56844.399258732206</v>
      </c>
      <c r="C11" s="1" t="s">
        <v>1407</v>
      </c>
      <c r="D11" s="1"/>
      <c r="E11" s="1"/>
      <c r="F11" s="1"/>
      <c r="G11" s="1"/>
      <c r="H11" s="1"/>
      <c r="I11" s="1"/>
    </row>
    <row r="12" spans="1:9" ht="30">
      <c r="A12" s="1" t="s">
        <v>221</v>
      </c>
      <c r="B12" s="141">
        <f>'Whitefield Monthly Projection'!$Q$39</f>
        <v>91.329314192769729</v>
      </c>
      <c r="C12" s="1" t="s">
        <v>1408</v>
      </c>
      <c r="D12" s="1"/>
      <c r="E12" s="1"/>
      <c r="F12" s="1"/>
      <c r="G12" s="1"/>
      <c r="H12" s="1"/>
      <c r="I12" s="1"/>
    </row>
    <row r="13" spans="1:9" ht="30">
      <c r="A13" s="1" t="s">
        <v>222</v>
      </c>
      <c r="B13" s="172">
        <f>'Whitefield Monthly Projection'!$Q$40</f>
        <v>3.0443104730923243</v>
      </c>
      <c r="C13" s="1" t="s">
        <v>1409</v>
      </c>
      <c r="D13" s="1"/>
      <c r="E13" s="1"/>
      <c r="F13" s="1"/>
      <c r="G13" s="1"/>
      <c r="H13" s="1"/>
      <c r="I13" s="1"/>
    </row>
    <row r="14" spans="1:9" ht="15">
      <c r="A14" s="1" t="s">
        <v>1410</v>
      </c>
      <c r="B14" s="64">
        <f>'Customer Economics'!$G$8</f>
        <v>0.4</v>
      </c>
      <c r="C14" s="1" t="s">
        <v>1411</v>
      </c>
      <c r="D14" s="1"/>
      <c r="E14" s="1"/>
      <c r="F14" s="1"/>
      <c r="G14" s="1"/>
      <c r="H14" s="1"/>
      <c r="I14" s="1"/>
    </row>
    <row r="15" spans="1:9" ht="30">
      <c r="A15" s="1" t="s">
        <v>1412</v>
      </c>
      <c r="B15" s="141">
        <f>'Customer Economics'!$B$20*'Growth &amp; Pricing Strategy'!$B$31</f>
        <v>1239.1356369158559</v>
      </c>
      <c r="C15" s="1" t="s">
        <v>1413</v>
      </c>
      <c r="D15" s="1"/>
      <c r="E15" s="1"/>
      <c r="F15" s="1"/>
      <c r="G15" s="1"/>
      <c r="H15" s="1"/>
      <c r="I15" s="1"/>
    </row>
    <row r="16" spans="1:9" ht="30">
      <c r="A16" s="1" t="s">
        <v>349</v>
      </c>
      <c r="B16" s="40" t="str">
        <f>IF('Whitefield Monthly Projection'!$Q$19&lt;=50,"Ultra-Lean Pilot",IF('Whitefield Monthly Projection'!$Q$19&lt;=150,"Lean MVP","Full Team / Scale"))</f>
        <v>Ultra-Lean Pilot</v>
      </c>
      <c r="C16" s="1" t="s">
        <v>1414</v>
      </c>
      <c r="D16" s="1"/>
      <c r="E16" s="1"/>
      <c r="F16" s="1"/>
      <c r="G16" s="1"/>
      <c r="H16" s="1"/>
      <c r="I16" s="1"/>
    </row>
    <row r="17" spans="1:9" ht="30">
      <c r="A17" s="1" t="s">
        <v>1415</v>
      </c>
      <c r="B17" s="40" t="str">
        <f>IF('Whitefield Monthly Projection'!$Q$37&lt;0,"Protect cash + grow density","Scale contribution-positive channels")</f>
        <v>Protect cash + grow density</v>
      </c>
      <c r="C17" s="1" t="s">
        <v>1416</v>
      </c>
      <c r="D17" s="1"/>
      <c r="E17" s="1"/>
      <c r="F17" s="1"/>
      <c r="G17" s="1"/>
      <c r="H17" s="1"/>
      <c r="I17" s="1"/>
    </row>
    <row r="18" spans="1:9" ht="46">
      <c r="A18" s="129" t="s">
        <v>1417</v>
      </c>
      <c r="B18" s="129" t="s">
        <v>1418</v>
      </c>
      <c r="C18" s="139" t="s">
        <v>1419</v>
      </c>
      <c r="D18" s="1"/>
      <c r="E18" s="1"/>
      <c r="F18" s="1"/>
      <c r="G18" s="1"/>
      <c r="H18" s="1"/>
      <c r="I18" s="1"/>
    </row>
    <row r="19" spans="1:9" ht="15">
      <c r="A19" s="465" t="s">
        <v>1420</v>
      </c>
      <c r="B19" s="465"/>
      <c r="C19" s="465"/>
      <c r="D19" s="465"/>
      <c r="E19" s="1"/>
      <c r="F19" s="1"/>
      <c r="G19" s="1"/>
      <c r="H19" s="1"/>
      <c r="I19" s="1"/>
    </row>
    <row r="20" spans="1:9" ht="42.75" customHeight="1">
      <c r="A20" s="466" t="s">
        <v>1421</v>
      </c>
      <c r="B20" s="467">
        <f>'Service Economics'!$D$6</f>
        <v>0.8</v>
      </c>
      <c r="C20" s="466" t="s">
        <v>1422</v>
      </c>
      <c r="D20" s="466" t="s">
        <v>1423</v>
      </c>
      <c r="E20" s="1"/>
      <c r="F20" s="461" t="s">
        <v>996</v>
      </c>
      <c r="G20" s="461"/>
      <c r="H20" s="461"/>
      <c r="I20" s="461"/>
    </row>
    <row r="21" spans="1:9" ht="32">
      <c r="A21" s="73" t="s">
        <v>383</v>
      </c>
      <c r="B21" s="73" t="s">
        <v>38</v>
      </c>
      <c r="C21" s="73" t="s">
        <v>386</v>
      </c>
      <c r="D21" s="73" t="s">
        <v>997</v>
      </c>
      <c r="E21" s="1"/>
      <c r="F21" s="73" t="s">
        <v>383</v>
      </c>
      <c r="G21" s="73" t="s">
        <v>906</v>
      </c>
      <c r="H21" s="73" t="s">
        <v>913</v>
      </c>
      <c r="I21" s="73" t="s">
        <v>998</v>
      </c>
    </row>
    <row r="22" spans="1:9" ht="45">
      <c r="A22" s="1">
        <v>1</v>
      </c>
      <c r="B22" s="1" t="s">
        <v>59</v>
      </c>
      <c r="C22" s="1" t="s">
        <v>999</v>
      </c>
      <c r="D22" s="1" t="s">
        <v>848</v>
      </c>
      <c r="E22" s="1"/>
      <c r="F22" s="1">
        <v>1</v>
      </c>
      <c r="G22" s="40" t="str">
        <f>INDEX('Growth &amp; Pricing Strategy'!$A$232:$A$241,MATCH(LARGE('Growth &amp; Pricing Strategy'!$I$232:$I$241,F22),'Growth &amp; Pricing Strategy'!$I$232:$I$241,0))</f>
        <v>WhatsApp referrals</v>
      </c>
      <c r="H22" s="12">
        <f>LARGE('Growth &amp; Pricing Strategy'!$I$232:$I$241,F22)</f>
        <v>26257.380986745764</v>
      </c>
      <c r="I22" s="1" t="s">
        <v>1000</v>
      </c>
    </row>
    <row r="23" spans="1:9" ht="45">
      <c r="A23" s="1">
        <v>2</v>
      </c>
      <c r="B23" s="1" t="s">
        <v>62</v>
      </c>
      <c r="C23" s="1" t="s">
        <v>1001</v>
      </c>
      <c r="D23" s="1" t="s">
        <v>844</v>
      </c>
      <c r="E23" s="1"/>
      <c r="F23" s="1">
        <v>2</v>
      </c>
      <c r="G23" s="40" t="str">
        <f>INDEX('Growth &amp; Pricing Strategy'!$A$232:$A$241,MATCH(LARGE('Growth &amp; Pricing Strategy'!$I$232:$I$241,F23),'Growth &amp; Pricing Strategy'!$I$232:$I$241,0))</f>
        <v>Apartment communities</v>
      </c>
      <c r="H23" s="12">
        <f>LARGE('Growth &amp; Pricing Strategy'!$I$232:$I$241,F23)</f>
        <v>22951.142006491529</v>
      </c>
      <c r="I23" s="1" t="s">
        <v>1000</v>
      </c>
    </row>
    <row r="24" spans="1:9" ht="45">
      <c r="A24" s="1">
        <v>3</v>
      </c>
      <c r="B24" s="1" t="s">
        <v>1002</v>
      </c>
      <c r="C24" s="1" t="s">
        <v>1003</v>
      </c>
      <c r="D24" s="1" t="s">
        <v>1004</v>
      </c>
      <c r="E24" s="1"/>
      <c r="F24" s="1">
        <v>3</v>
      </c>
      <c r="G24" s="40" t="str">
        <f>INDEX('Growth &amp; Pricing Strategy'!$A$232:$A$241,MATCH(LARGE('Growth &amp; Pricing Strategy'!$I$232:$I$241,F24),'Growth &amp; Pricing Strategy'!$I$232:$I$241,0))</f>
        <v>Resident welfare associations</v>
      </c>
      <c r="H24" s="12">
        <f>LARGE('Growth &amp; Pricing Strategy'!$I$232:$I$241,F24)</f>
        <v>17793.040147957629</v>
      </c>
      <c r="I24" s="1" t="s">
        <v>1000</v>
      </c>
    </row>
    <row r="25" spans="1:9" ht="45">
      <c r="A25" s="1">
        <v>4</v>
      </c>
      <c r="B25" s="1" t="s">
        <v>73</v>
      </c>
      <c r="C25" s="1" t="s">
        <v>1005</v>
      </c>
      <c r="D25" s="1" t="s">
        <v>860</v>
      </c>
      <c r="E25" s="1"/>
      <c r="F25" s="1">
        <v>4</v>
      </c>
      <c r="G25" s="40" t="str">
        <f>INDEX('Growth &amp; Pricing Strategy'!$A$232:$A$241,MATCH(LARGE('Growth &amp; Pricing Strategy'!$I$232:$I$241,F25),'Growth &amp; Pricing Strategy'!$I$232:$I$241,0))</f>
        <v>Corporate employee programs</v>
      </c>
      <c r="H25" s="12">
        <f>LARGE('Growth &amp; Pricing Strategy'!$I$232:$I$241,F25)</f>
        <v>12448.374136461864</v>
      </c>
      <c r="I25" s="1" t="s">
        <v>1000</v>
      </c>
    </row>
    <row r="26" spans="1:9" ht="45">
      <c r="A26" s="1">
        <v>5</v>
      </c>
      <c r="B26" s="1" t="s">
        <v>77</v>
      </c>
      <c r="C26" s="1" t="s">
        <v>1006</v>
      </c>
      <c r="D26" s="1" t="s">
        <v>860</v>
      </c>
      <c r="E26" s="1"/>
      <c r="F26" s="1">
        <v>5</v>
      </c>
      <c r="G26" s="40" t="str">
        <f>INDEX('Growth &amp; Pricing Strategy'!$A$232:$A$241,MATCH(LARGE('Growth &amp; Pricing Strategy'!$I$232:$I$241,F26),'Growth &amp; Pricing Strategy'!$I$232:$I$241,0))</f>
        <v>Hospitals / clinics</v>
      </c>
      <c r="H26" s="12">
        <f>LARGE('Growth &amp; Pricing Strategy'!$I$232:$I$241,F26)</f>
        <v>12184.314391398306</v>
      </c>
      <c r="I26" s="1" t="s">
        <v>1000</v>
      </c>
    </row>
    <row r="27" spans="1:9" ht="15">
      <c r="A27" s="1">
        <v>6</v>
      </c>
      <c r="B27" s="1" t="s">
        <v>80</v>
      </c>
      <c r="C27" s="1" t="s">
        <v>1007</v>
      </c>
      <c r="D27" s="1" t="s">
        <v>864</v>
      </c>
      <c r="E27" s="1"/>
      <c r="F27" s="1"/>
      <c r="G27" s="1"/>
      <c r="H27" s="1"/>
      <c r="I27" s="1"/>
    </row>
    <row r="28" spans="1:9" ht="15">
      <c r="A28" s="1">
        <v>7</v>
      </c>
      <c r="B28" s="1" t="s">
        <v>1008</v>
      </c>
      <c r="C28" s="1" t="s">
        <v>1009</v>
      </c>
      <c r="D28" s="1" t="s">
        <v>852</v>
      </c>
      <c r="E28" s="1"/>
      <c r="F28" s="1"/>
      <c r="G28" s="1"/>
      <c r="H28" s="1"/>
      <c r="I28" s="1"/>
    </row>
    <row r="29" spans="1:9">
      <c r="A29" s="1"/>
      <c r="B29" s="1"/>
      <c r="C29" s="1"/>
      <c r="D29" s="1"/>
      <c r="E29" s="1"/>
      <c r="F29" s="1"/>
      <c r="G29" s="1"/>
      <c r="H29" s="1"/>
      <c r="I29" s="1"/>
    </row>
    <row r="30" spans="1:9">
      <c r="A30" s="1"/>
      <c r="B30" s="1"/>
      <c r="C30" s="1"/>
      <c r="D30" s="1"/>
      <c r="E30" s="1"/>
      <c r="F30" s="1"/>
      <c r="G30" s="1"/>
      <c r="H30" s="1"/>
      <c r="I30" s="1"/>
    </row>
    <row r="31" spans="1:9">
      <c r="A31" s="1"/>
      <c r="B31" s="1"/>
      <c r="C31" s="1"/>
      <c r="D31" s="1"/>
      <c r="E31" s="1"/>
      <c r="F31" s="1"/>
      <c r="G31" s="1"/>
      <c r="H31" s="1"/>
      <c r="I31" s="1"/>
    </row>
    <row r="32" spans="1:9" ht="42.75" customHeight="1">
      <c r="A32" s="461" t="s">
        <v>1010</v>
      </c>
      <c r="B32" s="461"/>
      <c r="C32" s="461"/>
      <c r="D32" s="461"/>
      <c r="E32" s="1"/>
      <c r="F32" s="461" t="s">
        <v>1011</v>
      </c>
      <c r="G32" s="461"/>
      <c r="H32" s="461"/>
      <c r="I32" s="461"/>
    </row>
    <row r="33" spans="1:9" ht="31">
      <c r="A33" s="1" t="s">
        <v>1012</v>
      </c>
      <c r="B33" s="1" t="s">
        <v>1013</v>
      </c>
      <c r="C33" s="1" t="s">
        <v>1014</v>
      </c>
      <c r="D33" s="1"/>
      <c r="E33" s="1"/>
      <c r="F33" s="73" t="s">
        <v>1015</v>
      </c>
      <c r="G33" s="73" t="s">
        <v>336</v>
      </c>
      <c r="H33" s="73" t="s">
        <v>1016</v>
      </c>
      <c r="I33" s="73" t="s">
        <v>1017</v>
      </c>
    </row>
    <row r="34" spans="1:9" ht="30">
      <c r="A34" s="1" t="s">
        <v>1018</v>
      </c>
      <c r="B34" s="1" t="s">
        <v>1019</v>
      </c>
      <c r="C34" s="1" t="s">
        <v>1020</v>
      </c>
      <c r="D34" s="1"/>
      <c r="E34" s="1"/>
      <c r="F34" s="1" t="s">
        <v>325</v>
      </c>
      <c r="G34" s="45">
        <f>'Whitefield Monthly Projection'!$Q$19</f>
        <v>37.620000000000005</v>
      </c>
      <c r="H34" s="45">
        <v>250</v>
      </c>
      <c r="I34" s="40" t="str">
        <f>IF(G34&gt;=H34,"YES","NOT YET")</f>
        <v>NOT YET</v>
      </c>
    </row>
    <row r="35" spans="1:9" ht="30">
      <c r="A35" s="1" t="s">
        <v>1021</v>
      </c>
      <c r="B35" s="1" t="s">
        <v>1022</v>
      </c>
      <c r="C35" s="1" t="s">
        <v>1023</v>
      </c>
      <c r="D35" s="1"/>
      <c r="E35" s="1"/>
      <c r="F35" s="1" t="s">
        <v>666</v>
      </c>
      <c r="G35" s="64">
        <f>'Customer Economics'!$G$8</f>
        <v>0.4</v>
      </c>
      <c r="H35" s="64">
        <v>0.4</v>
      </c>
      <c r="I35" s="40" t="str">
        <f>IF(G35&gt;=H35,"YES","NOT YET")</f>
        <v>YES</v>
      </c>
    </row>
    <row r="36" spans="1:9" ht="15">
      <c r="A36" s="1"/>
      <c r="B36" s="1"/>
      <c r="C36" s="1"/>
      <c r="D36" s="1"/>
      <c r="E36" s="1"/>
      <c r="F36" s="1" t="s">
        <v>1024</v>
      </c>
      <c r="G36" s="12">
        <f>'Whitefield Monthly Projection'!$Q$37</f>
        <v>-81155.600741267786</v>
      </c>
      <c r="H36" s="12">
        <v>0</v>
      </c>
      <c r="I36" s="40" t="str">
        <f>IF(G36&gt;=H36,"YES","NOT YET")</f>
        <v>NOT YET</v>
      </c>
    </row>
    <row r="37" spans="1:9">
      <c r="A37" s="1"/>
      <c r="B37" s="1"/>
      <c r="C37" s="1"/>
      <c r="D37" s="1"/>
      <c r="E37" s="1"/>
      <c r="F37" s="1"/>
      <c r="G37" s="1"/>
      <c r="H37" s="1"/>
      <c r="I37" s="1"/>
    </row>
    <row r="38" spans="1:9">
      <c r="A38" s="1"/>
      <c r="B38" s="1"/>
      <c r="C38" s="1"/>
      <c r="D38" s="1"/>
      <c r="E38" s="1"/>
      <c r="F38" s="1"/>
      <c r="G38" s="1"/>
      <c r="H38" s="1"/>
      <c r="I38" s="1"/>
    </row>
    <row r="39" spans="1:9" ht="42.75" customHeight="1">
      <c r="A39" s="461" t="s">
        <v>1025</v>
      </c>
      <c r="B39" s="461"/>
      <c r="C39" s="461"/>
      <c r="D39" s="461"/>
      <c r="E39" s="461"/>
      <c r="F39" s="461" t="s">
        <v>1026</v>
      </c>
      <c r="G39" s="461"/>
      <c r="H39" s="461"/>
      <c r="I39" s="461"/>
    </row>
    <row r="40" spans="1:9" ht="16">
      <c r="A40" s="73" t="s">
        <v>994</v>
      </c>
      <c r="B40" s="73" t="s">
        <v>836</v>
      </c>
      <c r="C40" s="73" t="s">
        <v>1027</v>
      </c>
      <c r="D40" s="1"/>
      <c r="E40" s="1"/>
      <c r="F40" s="73" t="s">
        <v>235</v>
      </c>
      <c r="G40" s="73" t="s">
        <v>1028</v>
      </c>
      <c r="H40" s="73" t="s">
        <v>1029</v>
      </c>
      <c r="I40" s="73" t="s">
        <v>336</v>
      </c>
    </row>
    <row r="41" spans="1:9" ht="30">
      <c r="A41" s="1" t="s">
        <v>1030</v>
      </c>
      <c r="B41" s="40" t="str">
        <f>IF(AND('Whitefield Monthly Projection'!$Q$21&gt;=0.75,'Whitefield Monthly Projection'!$Q$37&gt;=0),"Add capacity / Ops as needed","WAIT — utilize current capacity")</f>
        <v>WAIT — utilize current capacity</v>
      </c>
      <c r="C41" s="1" t="s">
        <v>1031</v>
      </c>
      <c r="D41" s="1"/>
      <c r="E41" s="1"/>
      <c r="F41" s="1" t="s">
        <v>436</v>
      </c>
      <c r="G41" s="50">
        <f>'Growth &amp; Pricing Strategy'!$B$5</f>
        <v>0</v>
      </c>
      <c r="H41" s="50">
        <f>'Growth &amp; Pricing Strategy'!$B$5</f>
        <v>0</v>
      </c>
      <c r="I41" s="50">
        <f>'Growth &amp; Pricing Strategy'!$AB$19</f>
        <v>-4067.362053647259</v>
      </c>
    </row>
    <row r="42" spans="1:9" ht="30">
      <c r="A42" s="1" t="s">
        <v>1032</v>
      </c>
      <c r="B42" s="40" t="str">
        <f>IF('Executive Dashboard'!$B$34="YES","READY — review next cluster","NOT YET — PROVE WHITEFIELD")</f>
        <v>NOT YET — PROVE WHITEFIELD</v>
      </c>
      <c r="C42" s="1" t="s">
        <v>1033</v>
      </c>
      <c r="D42" s="1"/>
      <c r="E42" s="1"/>
      <c r="F42" s="1" t="s">
        <v>433</v>
      </c>
      <c r="G42" s="57">
        <f>'Growth &amp; Pricing Strategy'!$B$5</f>
        <v>0</v>
      </c>
      <c r="H42" s="57">
        <f>'Growth &amp; Pricing Strategy'!$I$9</f>
        <v>5.339876320422281</v>
      </c>
      <c r="I42" s="57">
        <f>'Growth &amp; Pricing Strategy'!$AB$17</f>
        <v>5.2205399999999997</v>
      </c>
    </row>
    <row r="43" spans="1:9" ht="15">
      <c r="A43" s="1" t="s">
        <v>1034</v>
      </c>
      <c r="B43" s="45" t="str">
        <f>'Cash Runway'!$G$8</f>
        <v>&gt;18 months</v>
      </c>
      <c r="C43" s="1" t="s">
        <v>1035</v>
      </c>
      <c r="D43" s="1"/>
      <c r="E43" s="1"/>
      <c r="F43" s="1" t="s">
        <v>1036</v>
      </c>
      <c r="G43" s="57">
        <f>'Growth &amp; Pricing Strategy'!$B$5</f>
        <v>0</v>
      </c>
      <c r="H43" s="57">
        <f>'Growth &amp; Pricing Strategy'!$I$10</f>
        <v>4.7442747308367181</v>
      </c>
      <c r="I43" s="57">
        <f>'Growth &amp; Pricing Strategy'!$B$8</f>
        <v>5</v>
      </c>
    </row>
    <row r="44" spans="1:9" ht="15">
      <c r="A44" s="1"/>
      <c r="B44" s="1"/>
      <c r="C44" s="1"/>
      <c r="D44" s="1"/>
      <c r="E44" s="1"/>
      <c r="F44" s="1" t="s">
        <v>245</v>
      </c>
      <c r="G44" s="57">
        <f>'Growth &amp; Pricing Strategy'!$B$5</f>
        <v>0</v>
      </c>
      <c r="H44" s="57">
        <f>'Growth &amp; Pricing Strategy'!$I$11</f>
        <v>10.22858999341501</v>
      </c>
      <c r="I44" s="57">
        <f>'Growth &amp; Pricing Strategy'!$B$6</f>
        <v>10</v>
      </c>
    </row>
    <row r="45" spans="1:9">
      <c r="A45" s="1"/>
      <c r="B45" s="1"/>
      <c r="C45" s="1"/>
      <c r="D45" s="1"/>
      <c r="E45" s="1"/>
      <c r="F45" s="1"/>
      <c r="G45" s="1"/>
      <c r="H45" s="1"/>
      <c r="I45" s="1"/>
    </row>
    <row r="46" spans="1:9">
      <c r="A46" s="1"/>
      <c r="B46" s="1"/>
      <c r="C46" s="1"/>
      <c r="D46" s="1"/>
      <c r="E46" s="1"/>
      <c r="F46" s="1"/>
      <c r="G46" s="1"/>
      <c r="H46" s="1"/>
      <c r="I46" s="1"/>
    </row>
    <row r="47" spans="1:9" ht="42.75" customHeight="1">
      <c r="A47" s="461" t="s">
        <v>1037</v>
      </c>
      <c r="B47" s="461"/>
      <c r="C47" s="461"/>
      <c r="D47" s="461"/>
      <c r="E47" s="461"/>
      <c r="F47" s="461"/>
      <c r="G47" s="461"/>
      <c r="H47" s="461"/>
      <c r="I47" s="461"/>
    </row>
    <row r="48" spans="1:9" ht="16">
      <c r="A48" s="73" t="s">
        <v>1038</v>
      </c>
      <c r="B48" s="73" t="s">
        <v>557</v>
      </c>
      <c r="C48" s="73" t="s">
        <v>1039</v>
      </c>
      <c r="D48" s="73" t="s">
        <v>1040</v>
      </c>
      <c r="E48" s="73" t="s">
        <v>1041</v>
      </c>
      <c r="F48" s="73" t="s">
        <v>1042</v>
      </c>
      <c r="G48" s="73" t="s">
        <v>1043</v>
      </c>
      <c r="H48" s="73" t="s">
        <v>1044</v>
      </c>
      <c r="I48" s="73" t="s">
        <v>560</v>
      </c>
    </row>
    <row r="49" spans="1:9" ht="92.25" customHeight="1">
      <c r="A49" s="1" t="s">
        <v>1045</v>
      </c>
      <c r="B49" s="1" t="s">
        <v>565</v>
      </c>
      <c r="C49" s="1" t="s">
        <v>1424</v>
      </c>
      <c r="D49" s="1" t="s">
        <v>1046</v>
      </c>
      <c r="E49" s="1" t="s">
        <v>1047</v>
      </c>
      <c r="F49" s="1" t="s">
        <v>1048</v>
      </c>
      <c r="G49" s="1" t="s">
        <v>1049</v>
      </c>
      <c r="H49" s="1" t="s">
        <v>1050</v>
      </c>
      <c r="I49" s="1" t="s">
        <v>1051</v>
      </c>
    </row>
    <row r="50" spans="1:9" ht="92.25" customHeight="1">
      <c r="A50" s="1" t="s">
        <v>1052</v>
      </c>
      <c r="B50" s="1" t="s">
        <v>1053</v>
      </c>
      <c r="C50" s="1" t="s">
        <v>1425</v>
      </c>
      <c r="D50" s="1" t="s">
        <v>1054</v>
      </c>
      <c r="E50" s="1" t="s">
        <v>1055</v>
      </c>
      <c r="F50" s="1" t="s">
        <v>1056</v>
      </c>
      <c r="G50" s="1" t="s">
        <v>1057</v>
      </c>
      <c r="H50" s="1" t="s">
        <v>1058</v>
      </c>
      <c r="I50" s="1" t="s">
        <v>1059</v>
      </c>
    </row>
    <row r="51" spans="1:9" ht="92.25" customHeight="1">
      <c r="A51" s="1" t="s">
        <v>1060</v>
      </c>
      <c r="B51" s="1" t="s">
        <v>1061</v>
      </c>
      <c r="C51" s="1" t="s">
        <v>1426</v>
      </c>
      <c r="D51" s="1" t="s">
        <v>1062</v>
      </c>
      <c r="E51" s="1" t="s">
        <v>1063</v>
      </c>
      <c r="F51" s="1" t="s">
        <v>1064</v>
      </c>
      <c r="G51" s="1" t="s">
        <v>1065</v>
      </c>
      <c r="H51" s="1" t="s">
        <v>1066</v>
      </c>
      <c r="I51" s="1" t="s">
        <v>1067</v>
      </c>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ht="42.75" customHeight="1">
      <c r="A55" s="461" t="s">
        <v>1068</v>
      </c>
      <c r="B55" s="461"/>
      <c r="C55" s="461"/>
      <c r="D55" s="461"/>
      <c r="E55" s="461"/>
      <c r="F55" s="461"/>
      <c r="G55" s="461"/>
      <c r="H55" s="461"/>
      <c r="I55" s="461"/>
    </row>
    <row r="56" spans="1:9" ht="16">
      <c r="A56" s="73" t="s">
        <v>235</v>
      </c>
      <c r="B56" s="73" t="s">
        <v>1069</v>
      </c>
      <c r="C56" s="73" t="s">
        <v>1070</v>
      </c>
      <c r="D56" s="73" t="s">
        <v>1071</v>
      </c>
      <c r="E56" s="1"/>
      <c r="F56" s="1"/>
      <c r="G56" s="1"/>
      <c r="H56" s="1"/>
      <c r="I56" s="1"/>
    </row>
    <row r="57" spans="1:9" ht="45">
      <c r="A57" s="1" t="s">
        <v>1072</v>
      </c>
      <c r="B57" s="64">
        <f>'Growth &amp; Pricing Strategy'!$AB$13</f>
        <v>0.45</v>
      </c>
      <c r="C57" s="1" t="s">
        <v>1073</v>
      </c>
      <c r="D57" s="1" t="s">
        <v>1074</v>
      </c>
      <c r="E57" s="1"/>
      <c r="F57" s="1"/>
      <c r="G57" s="1"/>
      <c r="H57" s="1"/>
      <c r="I57" s="1"/>
    </row>
    <row r="58" spans="1:9" ht="30">
      <c r="A58" s="1" t="s">
        <v>328</v>
      </c>
      <c r="B58" s="12">
        <f>'Growth &amp; Pricing Strategy'!$AB$12</f>
        <v>283.74281055103091</v>
      </c>
      <c r="C58" s="1" t="s">
        <v>1075</v>
      </c>
      <c r="D58" s="1" t="s">
        <v>1076</v>
      </c>
      <c r="E58" s="1"/>
      <c r="F58" s="1"/>
      <c r="G58" s="1"/>
      <c r="H58" s="1"/>
      <c r="I58" s="1"/>
    </row>
    <row r="59" spans="1:9" ht="30">
      <c r="A59" s="1" t="s">
        <v>666</v>
      </c>
      <c r="B59" s="64">
        <f>'Growth &amp; Pricing Strategy'!$B$15</f>
        <v>0.3</v>
      </c>
      <c r="C59" s="1" t="s">
        <v>1077</v>
      </c>
      <c r="D59" s="1" t="s">
        <v>1078</v>
      </c>
      <c r="E59" s="1"/>
      <c r="F59" s="1"/>
      <c r="G59" s="1"/>
      <c r="H59" s="1"/>
      <c r="I59" s="1"/>
    </row>
    <row r="60" spans="1:9" ht="30">
      <c r="A60" s="1" t="s">
        <v>314</v>
      </c>
      <c r="B60" s="64">
        <f>'Growth &amp; Pricing Strategy'!$F$14</f>
        <v>0.60297236999999992</v>
      </c>
      <c r="C60" s="1" t="s">
        <v>1079</v>
      </c>
      <c r="D60" s="1" t="s">
        <v>1080</v>
      </c>
      <c r="E60" s="1"/>
      <c r="F60" s="1"/>
      <c r="G60" s="1"/>
      <c r="H60" s="1"/>
      <c r="I60" s="1"/>
    </row>
    <row r="61" spans="1:9" ht="30">
      <c r="A61" s="1" t="s">
        <v>1081</v>
      </c>
      <c r="B61" s="12">
        <f>'Growth &amp; Pricing Strategy'!$AB$11-'Growth &amp; Pricing Strategy'!$AB$22</f>
        <v>1010.8917847457628</v>
      </c>
      <c r="C61" s="1" t="s">
        <v>1082</v>
      </c>
      <c r="D61" s="1" t="s">
        <v>1083</v>
      </c>
      <c r="E61" s="1"/>
      <c r="F61" s="1"/>
      <c r="G61" s="1"/>
      <c r="H61" s="1"/>
      <c r="I61" s="1"/>
    </row>
    <row r="62" spans="1:9">
      <c r="A62" s="1"/>
      <c r="B62" s="1"/>
      <c r="C62" s="1"/>
      <c r="D62" s="1"/>
      <c r="E62" s="1"/>
      <c r="F62" s="1"/>
      <c r="G62" s="1"/>
      <c r="H62" s="1"/>
      <c r="I62" s="1"/>
    </row>
    <row r="63" spans="1:9">
      <c r="A63" s="1"/>
      <c r="B63" s="1"/>
      <c r="C63" s="1"/>
      <c r="D63" s="1"/>
      <c r="E63" s="1"/>
      <c r="F63" s="1"/>
      <c r="G63" s="1"/>
      <c r="H63" s="1"/>
      <c r="I63" s="1"/>
    </row>
    <row r="64" spans="1:9">
      <c r="A64" s="1"/>
      <c r="B64" s="1"/>
      <c r="C64" s="1"/>
      <c r="D64" s="1"/>
      <c r="E64" s="1"/>
      <c r="F64" s="1"/>
      <c r="G64" s="1"/>
      <c r="H64" s="1"/>
      <c r="I64" s="1"/>
    </row>
    <row r="65" spans="1:9">
      <c r="A65" s="1"/>
      <c r="B65" s="1"/>
      <c r="C65" s="1"/>
      <c r="D65" s="1"/>
      <c r="E65" s="1"/>
      <c r="F65" s="1"/>
      <c r="G65" s="1"/>
      <c r="H65" s="1"/>
      <c r="I65" s="1"/>
    </row>
  </sheetData>
  <mergeCells count="11">
    <mergeCell ref="A1:H1"/>
    <mergeCell ref="A2:H2"/>
    <mergeCell ref="A4:H4"/>
    <mergeCell ref="F20:I20"/>
    <mergeCell ref="A19:D19"/>
    <mergeCell ref="A20:D20"/>
    <mergeCell ref="A32:D32"/>
    <mergeCell ref="F32:I32"/>
    <mergeCell ref="A39:I39"/>
    <mergeCell ref="A47:I47"/>
    <mergeCell ref="A55:I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0"/>
  <sheetViews>
    <sheetView workbookViewId="0">
      <selection sqref="A1:H1"/>
    </sheetView>
  </sheetViews>
  <sheetFormatPr baseColWidth="10" defaultColWidth="8.83203125" defaultRowHeight="14"/>
  <cols>
    <col min="1" max="1" width="38" customWidth="1"/>
    <col min="2" max="2" width="19" customWidth="1"/>
    <col min="3" max="3" width="22" customWidth="1"/>
    <col min="4" max="4" width="56" customWidth="1"/>
    <col min="5" max="7" width="20" customWidth="1"/>
  </cols>
  <sheetData>
    <row r="1" spans="1:8" ht="40" customHeight="1">
      <c r="A1" s="468" t="s">
        <v>1427</v>
      </c>
      <c r="B1" s="468"/>
      <c r="C1" s="468"/>
      <c r="D1" s="468"/>
      <c r="E1" s="468"/>
      <c r="F1" s="468"/>
      <c r="G1" s="468"/>
      <c r="H1" s="468"/>
    </row>
    <row r="2" spans="1:8" ht="45.25" customHeight="1">
      <c r="A2" s="469" t="s">
        <v>1428</v>
      </c>
      <c r="B2" s="469"/>
      <c r="C2" s="469"/>
      <c r="D2" s="469"/>
      <c r="E2" s="469"/>
      <c r="F2" s="469"/>
      <c r="G2" s="469"/>
      <c r="H2" s="469"/>
    </row>
    <row r="3" spans="1:8">
      <c r="A3" s="96"/>
      <c r="B3" s="96"/>
      <c r="C3" s="96"/>
      <c r="D3" s="96"/>
      <c r="E3" s="96"/>
      <c r="F3" s="96"/>
      <c r="G3" s="96"/>
      <c r="H3" s="96"/>
    </row>
    <row r="4" spans="1:8" ht="29.25" customHeight="1">
      <c r="A4" s="470" t="s">
        <v>1429</v>
      </c>
      <c r="B4" s="470"/>
      <c r="C4" s="470"/>
      <c r="D4" s="470"/>
      <c r="E4" s="96"/>
      <c r="F4" s="96"/>
      <c r="G4" s="96"/>
      <c r="H4" s="96"/>
    </row>
    <row r="5" spans="1:8" ht="15">
      <c r="A5" s="97" t="s">
        <v>1430</v>
      </c>
      <c r="B5" s="98">
        <f>'Global Pricing Config'!$B$11</f>
        <v>1</v>
      </c>
      <c r="C5" s="99" t="s">
        <v>1431</v>
      </c>
      <c r="D5" s="100" t="s">
        <v>1432</v>
      </c>
      <c r="E5" s="96"/>
      <c r="F5" s="96"/>
      <c r="G5" s="96"/>
      <c r="H5" s="96"/>
    </row>
    <row r="6" spans="1:8" ht="30">
      <c r="A6" s="101" t="s">
        <v>1355</v>
      </c>
      <c r="B6" s="102">
        <f>'Global Pricing Config'!$B$12</f>
        <v>0.05</v>
      </c>
      <c r="C6" s="103" t="s">
        <v>1433</v>
      </c>
      <c r="D6" s="104" t="str">
        <f>"Founder-configurable. Current setting = "&amp;ROUND(B6*100/B7,2)&amp;" NivrāaCredits per ₹100 eligible spend."</f>
        <v>Founder-configurable. Current setting = 5 NivrāaCredits per ₹100 eligible spend.</v>
      </c>
      <c r="E6" s="96"/>
      <c r="F6" s="96"/>
      <c r="G6" s="96"/>
      <c r="H6" s="96"/>
    </row>
    <row r="7" spans="1:8" ht="15">
      <c r="A7" s="101" t="s">
        <v>1434</v>
      </c>
      <c r="B7" s="135">
        <f>'Global Pricing Config'!$B$13</f>
        <v>1</v>
      </c>
      <c r="C7" s="103" t="s">
        <v>1435</v>
      </c>
      <c r="D7" s="104" t="s">
        <v>1436</v>
      </c>
      <c r="E7" s="96"/>
      <c r="F7" s="96"/>
      <c r="G7" s="96"/>
      <c r="H7" s="96"/>
    </row>
    <row r="8" spans="1:8" ht="15">
      <c r="A8" s="101" t="s">
        <v>1437</v>
      </c>
      <c r="B8" s="102">
        <f>'Global Pricing Config'!$B$16</f>
        <v>0.7</v>
      </c>
      <c r="C8" s="103" t="s">
        <v>1438</v>
      </c>
      <c r="D8" s="104" t="s">
        <v>1439</v>
      </c>
      <c r="E8" s="96"/>
      <c r="F8" s="96"/>
      <c r="G8" s="96"/>
      <c r="H8" s="96"/>
    </row>
    <row r="9" spans="1:8" ht="15">
      <c r="A9" s="101" t="s">
        <v>1440</v>
      </c>
      <c r="B9" s="102">
        <f>'Global Pricing Config'!$B$14</f>
        <v>0.2</v>
      </c>
      <c r="C9" s="103" t="s">
        <v>1441</v>
      </c>
      <c r="D9" s="104" t="s">
        <v>1442</v>
      </c>
      <c r="E9" s="96"/>
      <c r="F9" s="96"/>
      <c r="G9" s="96"/>
      <c r="H9" s="96"/>
    </row>
    <row r="10" spans="1:8" ht="15">
      <c r="A10" s="101" t="s">
        <v>1443</v>
      </c>
      <c r="B10" s="105">
        <f>'Global Pricing Config'!$B$15</f>
        <v>180</v>
      </c>
      <c r="C10" s="103" t="s">
        <v>1230</v>
      </c>
      <c r="D10" s="104" t="s">
        <v>1444</v>
      </c>
      <c r="E10" s="96"/>
      <c r="F10" s="96"/>
      <c r="G10" s="96"/>
      <c r="H10" s="96"/>
    </row>
    <row r="11" spans="1:8" ht="15">
      <c r="A11" s="101" t="s">
        <v>1445</v>
      </c>
      <c r="B11" s="105">
        <v>0</v>
      </c>
      <c r="C11" s="103" t="s">
        <v>1446</v>
      </c>
      <c r="D11" s="104" t="s">
        <v>1447</v>
      </c>
      <c r="E11" s="96"/>
      <c r="F11" s="96"/>
      <c r="G11" s="96"/>
      <c r="H11" s="96"/>
    </row>
    <row r="12" spans="1:8" ht="15">
      <c r="A12" s="101" t="s">
        <v>1448</v>
      </c>
      <c r="B12" s="105">
        <v>0</v>
      </c>
      <c r="C12" s="103" t="s">
        <v>1449</v>
      </c>
      <c r="D12" s="104" t="s">
        <v>1447</v>
      </c>
      <c r="E12" s="96"/>
      <c r="F12" s="96"/>
      <c r="G12" s="96"/>
      <c r="H12" s="96"/>
    </row>
    <row r="13" spans="1:8" ht="30">
      <c r="A13" s="101" t="s">
        <v>1450</v>
      </c>
      <c r="B13" s="102">
        <v>1</v>
      </c>
      <c r="C13" s="103" t="s">
        <v>1451</v>
      </c>
      <c r="D13" s="104" t="s">
        <v>1452</v>
      </c>
      <c r="E13" s="96"/>
      <c r="F13" s="96"/>
      <c r="G13" s="96"/>
      <c r="H13" s="96"/>
    </row>
    <row r="14" spans="1:8" ht="30">
      <c r="A14" s="101" t="s">
        <v>1453</v>
      </c>
      <c r="B14" s="106" t="s">
        <v>1454</v>
      </c>
      <c r="C14" s="103" t="s">
        <v>1455</v>
      </c>
      <c r="D14" s="104" t="s">
        <v>1456</v>
      </c>
      <c r="E14" s="96"/>
      <c r="F14" s="96"/>
      <c r="G14" s="96"/>
      <c r="H14" s="96"/>
    </row>
    <row r="15" spans="1:8" ht="30">
      <c r="A15" s="101" t="s">
        <v>1457</v>
      </c>
      <c r="B15" s="107">
        <f>B5*B6*B8*B13*(1+'Global Inputs'!$B$7)</f>
        <v>4.1299999999999996E-2</v>
      </c>
      <c r="C15" s="103" t="s">
        <v>1458</v>
      </c>
      <c r="D15" s="104" t="s">
        <v>1459</v>
      </c>
      <c r="E15" s="96"/>
      <c r="F15" s="96"/>
      <c r="G15" s="96"/>
      <c r="H15" s="96"/>
    </row>
    <row r="16" spans="1:8" ht="30">
      <c r="A16" s="108" t="s">
        <v>1460</v>
      </c>
      <c r="B16" s="109">
        <f>B5*B6*B13*(1+'Global Inputs'!$B$7)</f>
        <v>5.8999999999999997E-2</v>
      </c>
      <c r="C16" s="110" t="s">
        <v>1461</v>
      </c>
      <c r="D16" s="111" t="s">
        <v>1462</v>
      </c>
      <c r="E16" s="96"/>
      <c r="F16" s="96"/>
      <c r="G16" s="96"/>
      <c r="H16" s="96"/>
    </row>
    <row r="17" spans="1:8">
      <c r="A17" s="96"/>
      <c r="B17" s="96"/>
      <c r="C17" s="96"/>
      <c r="D17" s="96"/>
      <c r="E17" s="96"/>
      <c r="F17" s="96"/>
      <c r="G17" s="96"/>
      <c r="H17" s="96"/>
    </row>
    <row r="18" spans="1:8" ht="29.25" customHeight="1">
      <c r="A18" s="470" t="s">
        <v>1463</v>
      </c>
      <c r="B18" s="470"/>
      <c r="C18" s="470"/>
      <c r="D18" s="470"/>
      <c r="E18" s="96"/>
      <c r="F18" s="96"/>
      <c r="G18" s="96"/>
      <c r="H18" s="96"/>
    </row>
    <row r="19" spans="1:8" ht="15">
      <c r="A19" s="97" t="s">
        <v>1464</v>
      </c>
      <c r="B19" s="112">
        <f>'Growth &amp; Pricing Strategy'!$AB$5</f>
        <v>1580.38</v>
      </c>
      <c r="C19" s="99" t="s">
        <v>20</v>
      </c>
      <c r="D19" s="100" t="s">
        <v>1465</v>
      </c>
      <c r="E19" s="96"/>
      <c r="F19" s="96"/>
      <c r="G19" s="96"/>
      <c r="H19" s="96"/>
    </row>
    <row r="20" spans="1:8" ht="30">
      <c r="A20" s="101" t="s">
        <v>1466</v>
      </c>
      <c r="B20" s="113">
        <f>$B$19*$B$13</f>
        <v>1580.38</v>
      </c>
      <c r="C20" s="103" t="s">
        <v>20</v>
      </c>
      <c r="D20" s="104" t="s">
        <v>1467</v>
      </c>
      <c r="E20" s="96"/>
      <c r="F20" s="96"/>
      <c r="G20" s="96"/>
      <c r="H20" s="96"/>
    </row>
    <row r="21" spans="1:8" ht="15">
      <c r="A21" s="101" t="s">
        <v>1468</v>
      </c>
      <c r="B21" s="114">
        <f>IF($B$7=0,0,$B$5*$B$20*$B$6/$B$7)</f>
        <v>79.019000000000005</v>
      </c>
      <c r="C21" s="103" t="s">
        <v>1469</v>
      </c>
      <c r="D21" s="104" t="s">
        <v>1470</v>
      </c>
      <c r="E21" s="96"/>
      <c r="F21" s="96"/>
      <c r="G21" s="96"/>
      <c r="H21" s="96"/>
    </row>
    <row r="22" spans="1:8" ht="15">
      <c r="A22" s="101" t="s">
        <v>1471</v>
      </c>
      <c r="B22" s="113">
        <f>$B$21*$B$7</f>
        <v>79.019000000000005</v>
      </c>
      <c r="C22" s="103" t="s">
        <v>20</v>
      </c>
      <c r="D22" s="104" t="s">
        <v>1472</v>
      </c>
      <c r="E22" s="96"/>
      <c r="F22" s="96"/>
      <c r="G22" s="96"/>
      <c r="H22" s="96"/>
    </row>
    <row r="23" spans="1:8" ht="15">
      <c r="A23" s="121" t="s">
        <v>1473</v>
      </c>
      <c r="B23" s="122">
        <f>$B$22*$B$8</f>
        <v>55.313299999999998</v>
      </c>
      <c r="C23" s="123" t="s">
        <v>20</v>
      </c>
      <c r="D23" s="124" t="s">
        <v>1474</v>
      </c>
      <c r="E23" s="96"/>
      <c r="F23" s="96"/>
      <c r="G23" s="96"/>
      <c r="H23" s="96"/>
    </row>
    <row r="24" spans="1:8" ht="15">
      <c r="A24" s="121" t="s">
        <v>1475</v>
      </c>
      <c r="B24" s="122">
        <f>'Growth &amp; Pricing Strategy'!$AB$11+$B$23</f>
        <v>1366.2050847457629</v>
      </c>
      <c r="C24" s="123" t="s">
        <v>20</v>
      </c>
      <c r="D24" s="124" t="s">
        <v>1476</v>
      </c>
      <c r="E24" s="96"/>
      <c r="F24" s="96"/>
      <c r="G24" s="96"/>
      <c r="H24" s="96"/>
    </row>
    <row r="25" spans="1:8" ht="15">
      <c r="A25" s="125" t="s">
        <v>1477</v>
      </c>
      <c r="B25" s="126">
        <f>'Growth &amp; Pricing Strategy'!$AB$11</f>
        <v>1310.8917847457628</v>
      </c>
      <c r="C25" s="123" t="s">
        <v>20</v>
      </c>
      <c r="D25" s="124" t="s">
        <v>1478</v>
      </c>
      <c r="E25" s="96"/>
      <c r="F25" s="96"/>
      <c r="G25" s="96"/>
      <c r="H25" s="96"/>
    </row>
    <row r="26" spans="1:8" ht="15">
      <c r="A26" s="121" t="s">
        <v>1357</v>
      </c>
      <c r="B26" s="122">
        <f>'Growth &amp; Pricing Strategy'!$AB$16*$B$23</f>
        <v>7507.8976747319994</v>
      </c>
      <c r="C26" s="123" t="s">
        <v>1235</v>
      </c>
      <c r="D26" s="124" t="s">
        <v>1479</v>
      </c>
      <c r="E26" s="96"/>
      <c r="F26" s="96"/>
      <c r="G26" s="96"/>
      <c r="H26" s="96"/>
    </row>
    <row r="27" spans="1:8" ht="15">
      <c r="A27" s="121" t="s">
        <v>1480</v>
      </c>
      <c r="B27" s="122">
        <f>'Growth &amp; Pricing Strategy'!$AB$16*$B$22</f>
        <v>10725.56810676</v>
      </c>
      <c r="C27" s="123" t="s">
        <v>1235</v>
      </c>
      <c r="D27" s="124" t="s">
        <v>1481</v>
      </c>
      <c r="E27" s="96"/>
      <c r="F27" s="96"/>
      <c r="G27" s="96"/>
      <c r="H27" s="96"/>
    </row>
    <row r="28" spans="1:8" ht="15">
      <c r="A28" s="125" t="s">
        <v>1482</v>
      </c>
      <c r="B28" s="126">
        <f>'Growth &amp; Pricing Strategy'!$AB$19</f>
        <v>-4067.362053647259</v>
      </c>
      <c r="C28" s="123" t="s">
        <v>1235</v>
      </c>
      <c r="D28" s="124" t="s">
        <v>1483</v>
      </c>
      <c r="E28" s="96"/>
      <c r="F28" s="96"/>
      <c r="G28" s="96"/>
      <c r="H28" s="96"/>
    </row>
    <row r="29" spans="1:8" ht="15">
      <c r="A29" s="121" t="s">
        <v>1484</v>
      </c>
      <c r="B29" s="136">
        <f>'Growth &amp; Pricing Strategy'!$AB$21</f>
        <v>5.339876320422281</v>
      </c>
      <c r="C29" s="123" t="s">
        <v>1485</v>
      </c>
      <c r="D29" s="124" t="s">
        <v>1486</v>
      </c>
      <c r="E29" s="96"/>
      <c r="F29" s="96"/>
      <c r="G29" s="96"/>
      <c r="H29" s="96"/>
    </row>
    <row r="30" spans="1:8" ht="15">
      <c r="A30" s="108" t="s">
        <v>1487</v>
      </c>
      <c r="B30" s="115">
        <f>IF($B$24=0,0,$B$23/$B$24)</f>
        <v>4.0486820476365926E-2</v>
      </c>
      <c r="C30" s="110" t="s">
        <v>11</v>
      </c>
      <c r="D30" s="111" t="s">
        <v>1488</v>
      </c>
      <c r="E30" s="96"/>
      <c r="F30" s="96"/>
      <c r="G30" s="96"/>
      <c r="H30" s="96"/>
    </row>
    <row r="31" spans="1:8">
      <c r="A31" s="96"/>
      <c r="B31" s="96"/>
      <c r="C31" s="96"/>
      <c r="D31" s="96"/>
      <c r="E31" s="96"/>
      <c r="F31" s="96"/>
      <c r="G31" s="96"/>
      <c r="H31" s="96"/>
    </row>
    <row r="32" spans="1:8">
      <c r="A32" s="96"/>
      <c r="B32" s="96"/>
      <c r="C32" s="96"/>
      <c r="D32" s="96"/>
      <c r="E32" s="96"/>
      <c r="F32" s="96"/>
      <c r="G32" s="96"/>
      <c r="H32" s="96"/>
    </row>
    <row r="33" spans="1:8" ht="29.25" customHeight="1">
      <c r="A33" s="470" t="s">
        <v>1489</v>
      </c>
      <c r="B33" s="470"/>
      <c r="C33" s="470"/>
      <c r="D33" s="470"/>
      <c r="E33" s="96"/>
      <c r="F33" s="96"/>
      <c r="G33" s="96"/>
      <c r="H33" s="96"/>
    </row>
    <row r="34" spans="1:8" ht="15">
      <c r="A34" s="97" t="s">
        <v>1490</v>
      </c>
      <c r="B34" s="116">
        <v>1694</v>
      </c>
      <c r="C34" s="99" t="s">
        <v>976</v>
      </c>
      <c r="D34" s="100" t="s">
        <v>1491</v>
      </c>
      <c r="E34" s="96"/>
      <c r="F34" s="96"/>
      <c r="G34" s="96"/>
      <c r="H34" s="96"/>
    </row>
    <row r="35" spans="1:8" ht="15">
      <c r="A35" s="101" t="s">
        <v>1492</v>
      </c>
      <c r="B35" s="117">
        <f>FLOOR(IF($B$7=0,0,$B$34*$B$6/$B$7),1)</f>
        <v>84</v>
      </c>
      <c r="C35" s="103" t="s">
        <v>1469</v>
      </c>
      <c r="D35" s="104" t="s">
        <v>1493</v>
      </c>
      <c r="E35" s="96"/>
      <c r="F35" s="96"/>
      <c r="G35" s="96"/>
      <c r="H35" s="96"/>
    </row>
    <row r="36" spans="1:8" ht="30">
      <c r="A36" s="101" t="s">
        <v>1494</v>
      </c>
      <c r="B36" s="117">
        <f>FLOOR(IF($B$7=0,0,$B$34*$B$9/$B$7),1)</f>
        <v>338</v>
      </c>
      <c r="C36" s="103" t="s">
        <v>1469</v>
      </c>
      <c r="D36" s="104" t="s">
        <v>1495</v>
      </c>
      <c r="E36" s="96"/>
      <c r="F36" s="96"/>
      <c r="G36" s="96"/>
      <c r="H36" s="96"/>
    </row>
    <row r="37" spans="1:8" ht="15">
      <c r="A37" s="101" t="s">
        <v>1496</v>
      </c>
      <c r="B37" s="118">
        <f>$B$35*$B$7*$B$8</f>
        <v>58.8</v>
      </c>
      <c r="C37" s="103" t="s">
        <v>976</v>
      </c>
      <c r="D37" s="104" t="s">
        <v>1497</v>
      </c>
      <c r="E37" s="96"/>
      <c r="F37" s="96"/>
      <c r="G37" s="96"/>
      <c r="H37" s="96"/>
    </row>
    <row r="38" spans="1:8" ht="15">
      <c r="A38" s="108" t="s">
        <v>1498</v>
      </c>
      <c r="B38" s="471" t="str">
        <f>"Earn "&amp;ROUND($B$6*100/$B$7,2)&amp;" NivrāaCredits per ₹100 eligible care-service spend • 1 NivrāaCredit = ₹"&amp;ROUND($B$7,2)&amp;" • redeem up to "&amp;TEXT($B$9,"0%")&amp;" of an eligible booking."</f>
        <v>Earn 5 NivrāaCredits per ₹100 eligible care-service spend • 1 NivrāaCredit = ₹1 • redeem up to 20% of an eligible booking.</v>
      </c>
      <c r="C38" s="471"/>
      <c r="D38" s="472" t="s">
        <v>1499</v>
      </c>
      <c r="E38" s="96"/>
      <c r="F38" s="96"/>
      <c r="G38" s="96"/>
      <c r="H38" s="96"/>
    </row>
    <row r="39" spans="1:8">
      <c r="A39" s="96"/>
      <c r="B39" s="96"/>
      <c r="C39" s="96"/>
      <c r="D39" s="96"/>
      <c r="E39" s="96"/>
      <c r="F39" s="96"/>
      <c r="G39" s="96"/>
      <c r="H39" s="96"/>
    </row>
    <row r="40" spans="1:8">
      <c r="A40" s="96"/>
      <c r="B40" s="96"/>
      <c r="C40" s="96"/>
      <c r="D40" s="96"/>
      <c r="E40" s="96"/>
      <c r="F40" s="96"/>
      <c r="G40" s="96"/>
      <c r="H40" s="96"/>
    </row>
    <row r="41" spans="1:8" ht="29.25" customHeight="1">
      <c r="A41" s="470" t="s">
        <v>1500</v>
      </c>
      <c r="B41" s="470"/>
      <c r="C41" s="470"/>
      <c r="D41" s="470"/>
      <c r="E41" s="470"/>
      <c r="F41" s="470"/>
      <c r="G41" s="470"/>
      <c r="H41" s="96"/>
    </row>
    <row r="42" spans="1:8" ht="40" customHeight="1">
      <c r="A42" s="92" t="s">
        <v>1501</v>
      </c>
      <c r="B42" s="93" t="s">
        <v>1502</v>
      </c>
      <c r="C42" s="94" t="s">
        <v>1503</v>
      </c>
      <c r="D42" s="94" t="s">
        <v>1504</v>
      </c>
      <c r="E42" s="94" t="s">
        <v>1505</v>
      </c>
      <c r="F42" s="94" t="s">
        <v>462</v>
      </c>
      <c r="G42" s="95" t="s">
        <v>600</v>
      </c>
      <c r="H42" s="96"/>
    </row>
    <row r="43" spans="1:8">
      <c r="A43" s="307">
        <v>0.03</v>
      </c>
      <c r="B43" s="310">
        <f t="shared" ref="B43:B48" si="0">A43*100/$B$7</f>
        <v>3</v>
      </c>
      <c r="C43" s="313">
        <f t="shared" ref="C43:C48" si="1">$B$20*A43*$B$8*$B$5</f>
        <v>33.187979999999996</v>
      </c>
      <c r="D43" s="313">
        <f t="shared" ref="D43:D48" si="2">$B$24-C43</f>
        <v>1333.0171047457629</v>
      </c>
      <c r="E43" s="313">
        <f>'Growth &amp; Pricing Strategy'!$AB$16*C43</f>
        <v>4504.7386048391991</v>
      </c>
      <c r="F43" s="313">
        <f>'Growth &amp; Pricing Strategy'!$AB$16*D43-'Growth &amp; Pricing Strategy'!$B$27</f>
        <v>-1064.2029837544251</v>
      </c>
      <c r="G43" s="119">
        <f>IF(D43&lt;=0,0,'Growth &amp; Pricing Strategy'!$B$27/D43/'Growth &amp; Pricing Strategy'!$B$7)</f>
        <v>5.2512454454476503</v>
      </c>
      <c r="H43" s="96"/>
    </row>
    <row r="44" spans="1:8">
      <c r="A44" s="307">
        <v>0.05</v>
      </c>
      <c r="B44" s="310">
        <f t="shared" si="0"/>
        <v>5</v>
      </c>
      <c r="C44" s="313">
        <f t="shared" si="1"/>
        <v>55.313299999999998</v>
      </c>
      <c r="D44" s="313">
        <f t="shared" si="2"/>
        <v>1310.8917847457628</v>
      </c>
      <c r="E44" s="313">
        <f>'Growth &amp; Pricing Strategy'!$AB$16*C44</f>
        <v>7507.8976747319994</v>
      </c>
      <c r="F44" s="313">
        <f>'Growth &amp; Pricing Strategy'!$AB$16*D44-'Growth &amp; Pricing Strategy'!$B$27</f>
        <v>-4067.362053647259</v>
      </c>
      <c r="G44" s="119">
        <f>IF(D44&lt;=0,0,'Growth &amp; Pricing Strategy'!$B$27/D44/'Growth &amp; Pricing Strategy'!$B$7)</f>
        <v>5.339876320422281</v>
      </c>
      <c r="H44" s="96"/>
    </row>
    <row r="45" spans="1:8">
      <c r="A45" s="307">
        <v>7.0000000000000007E-2</v>
      </c>
      <c r="B45" s="310">
        <f t="shared" si="0"/>
        <v>7.0000000000000009</v>
      </c>
      <c r="C45" s="313">
        <f t="shared" si="1"/>
        <v>77.438620000000014</v>
      </c>
      <c r="D45" s="313">
        <f t="shared" si="2"/>
        <v>1288.7664647457627</v>
      </c>
      <c r="E45" s="313">
        <f>'Growth &amp; Pricing Strategy'!$AB$16*C45</f>
        <v>10511.056744624801</v>
      </c>
      <c r="F45" s="313">
        <f>'Growth &amp; Pricing Strategy'!$AB$16*D45-'Growth &amp; Pricing Strategy'!$B$27</f>
        <v>-7070.5211235400639</v>
      </c>
      <c r="G45" s="119">
        <f>IF(D45&lt;=0,0,'Growth &amp; Pricing Strategy'!$B$27/D45/'Growth &amp; Pricing Strategy'!$B$7)</f>
        <v>5.4315503944936232</v>
      </c>
      <c r="H45" s="96"/>
    </row>
    <row r="46" spans="1:8">
      <c r="A46" s="308">
        <v>0.1</v>
      </c>
      <c r="B46" s="311">
        <f t="shared" si="0"/>
        <v>10</v>
      </c>
      <c r="C46" s="314">
        <f t="shared" si="1"/>
        <v>110.6266</v>
      </c>
      <c r="D46" s="314">
        <f t="shared" si="2"/>
        <v>1255.5784847457628</v>
      </c>
      <c r="E46" s="314">
        <f>'Growth &amp; Pricing Strategy'!$AB$16*C46</f>
        <v>15015.795349463999</v>
      </c>
      <c r="F46" s="314">
        <f>'Growth &amp; Pricing Strategy'!$AB$16*D46-'Growth &amp; Pricing Strategy'!$B$27</f>
        <v>-11575.259728379257</v>
      </c>
      <c r="G46" s="120">
        <f>IF(D46&lt;=0,0,'Growth &amp; Pricing Strategy'!$B$27/D46/'Growth &amp; Pricing Strategy'!$B$7)</f>
        <v>5.5751194250651741</v>
      </c>
      <c r="H46" s="96"/>
    </row>
    <row r="47" spans="1:8">
      <c r="A47" s="309">
        <v>0.12</v>
      </c>
      <c r="B47" s="312">
        <f t="shared" si="0"/>
        <v>12</v>
      </c>
      <c r="C47" s="315">
        <f t="shared" si="1"/>
        <v>132.75191999999998</v>
      </c>
      <c r="D47" s="315">
        <f t="shared" si="2"/>
        <v>1233.4531647457629</v>
      </c>
      <c r="E47" s="315">
        <f>'Growth &amp; Pricing Strategy'!$AB$16*C47</f>
        <v>18018.954419356796</v>
      </c>
      <c r="F47" s="315">
        <f>'Growth &amp; Pricing Strategy'!$AB$16*D47-'Growth &amp; Pricing Strategy'!$B$27</f>
        <v>-14578.418798272032</v>
      </c>
      <c r="G47" s="316">
        <f>IF(D47&lt;=0,0,'Growth &amp; Pricing Strategy'!$B$27/D47/'Growth &amp; Pricing Strategy'!$B$7)</f>
        <v>5.6751242771693136</v>
      </c>
      <c r="H47" s="96"/>
    </row>
    <row r="48" spans="1:8">
      <c r="A48" s="309">
        <v>0.15</v>
      </c>
      <c r="B48" s="312">
        <f t="shared" si="0"/>
        <v>15</v>
      </c>
      <c r="C48" s="315">
        <f t="shared" si="1"/>
        <v>165.93989999999999</v>
      </c>
      <c r="D48" s="315">
        <f t="shared" si="2"/>
        <v>1200.2651847457628</v>
      </c>
      <c r="E48" s="315">
        <f>'Growth &amp; Pricing Strategy'!$AB$16*C48</f>
        <v>22523.693024196</v>
      </c>
      <c r="F48" s="315">
        <f>'Growth &amp; Pricing Strategy'!$AB$16*D48-'Growth &amp; Pricing Strategy'!$B$27</f>
        <v>-19083.157403111254</v>
      </c>
      <c r="G48" s="316">
        <f>IF(D48&lt;=0,0,'Growth &amp; Pricing Strategy'!$B$27/D48/'Growth &amp; Pricing Strategy'!$B$7)</f>
        <v>5.8320445256293283</v>
      </c>
      <c r="H48" s="96"/>
    </row>
    <row r="49" spans="1:8" ht="45.25" customHeight="1">
      <c r="A49" s="473" t="s">
        <v>1506</v>
      </c>
      <c r="B49" s="473"/>
      <c r="C49" s="473"/>
      <c r="D49" s="473"/>
      <c r="E49" s="473"/>
      <c r="F49" s="473"/>
      <c r="G49" s="473"/>
      <c r="H49" s="96"/>
    </row>
    <row r="50" spans="1:8">
      <c r="A50" s="96"/>
      <c r="B50" s="96"/>
      <c r="C50" s="96"/>
      <c r="D50" s="96"/>
      <c r="E50" s="96"/>
      <c r="F50" s="96"/>
      <c r="G50" s="96"/>
      <c r="H50" s="96"/>
    </row>
    <row r="51" spans="1:8">
      <c r="A51" s="96"/>
      <c r="B51" s="96"/>
      <c r="C51" s="96"/>
      <c r="D51" s="96"/>
      <c r="E51" s="96"/>
      <c r="F51" s="96"/>
      <c r="G51" s="96"/>
      <c r="H51" s="96"/>
    </row>
    <row r="52" spans="1:8">
      <c r="A52" s="96"/>
      <c r="B52" s="96"/>
      <c r="C52" s="96"/>
      <c r="D52" s="96"/>
      <c r="E52" s="96"/>
      <c r="F52" s="96"/>
      <c r="G52" s="96"/>
      <c r="H52" s="96"/>
    </row>
    <row r="53" spans="1:8">
      <c r="A53" s="96"/>
      <c r="B53" s="96"/>
      <c r="C53" s="96"/>
      <c r="D53" s="96"/>
      <c r="E53" s="96"/>
      <c r="F53" s="96"/>
      <c r="G53" s="96"/>
      <c r="H53" s="96"/>
    </row>
    <row r="54" spans="1:8">
      <c r="A54" s="96"/>
      <c r="B54" s="96"/>
      <c r="C54" s="96"/>
      <c r="D54" s="96"/>
      <c r="E54" s="96"/>
      <c r="F54" s="96"/>
      <c r="G54" s="96"/>
      <c r="H54" s="96"/>
    </row>
    <row r="55" spans="1:8">
      <c r="A55" s="96"/>
      <c r="B55" s="96"/>
      <c r="C55" s="96"/>
      <c r="D55" s="96"/>
      <c r="E55" s="96"/>
      <c r="F55" s="96"/>
      <c r="G55" s="96"/>
      <c r="H55" s="96"/>
    </row>
    <row r="56" spans="1:8">
      <c r="A56" s="96"/>
      <c r="B56" s="96"/>
      <c r="C56" s="96"/>
      <c r="D56" s="96"/>
      <c r="E56" s="96"/>
      <c r="F56" s="96"/>
      <c r="G56" s="96"/>
      <c r="H56" s="96"/>
    </row>
    <row r="57" spans="1:8">
      <c r="A57" s="96"/>
      <c r="B57" s="96"/>
      <c r="C57" s="96"/>
      <c r="D57" s="96"/>
      <c r="E57" s="96"/>
      <c r="F57" s="96"/>
      <c r="G57" s="96"/>
      <c r="H57" s="96"/>
    </row>
    <row r="58" spans="1:8">
      <c r="A58" s="96"/>
      <c r="B58" s="96"/>
      <c r="C58" s="96"/>
      <c r="D58" s="96"/>
      <c r="E58" s="96"/>
      <c r="F58" s="96"/>
      <c r="G58" s="96"/>
      <c r="H58" s="96"/>
    </row>
    <row r="59" spans="1:8">
      <c r="A59" s="96"/>
      <c r="B59" s="96"/>
      <c r="C59" s="96"/>
      <c r="D59" s="96"/>
      <c r="E59" s="96"/>
      <c r="F59" s="96"/>
      <c r="G59" s="96"/>
      <c r="H59" s="96"/>
    </row>
    <row r="60" spans="1:8">
      <c r="A60" s="96"/>
      <c r="B60" s="96"/>
      <c r="C60" s="96"/>
      <c r="D60" s="96"/>
      <c r="E60" s="96"/>
      <c r="F60" s="96"/>
      <c r="G60" s="96"/>
      <c r="H60" s="96"/>
    </row>
  </sheetData>
  <mergeCells count="8">
    <mergeCell ref="B38:D38"/>
    <mergeCell ref="A41:G41"/>
    <mergeCell ref="A49:G49"/>
    <mergeCell ref="A1:H1"/>
    <mergeCell ref="A2:H2"/>
    <mergeCell ref="A4:D4"/>
    <mergeCell ref="A18:D18"/>
    <mergeCell ref="A33:D33"/>
  </mergeCells>
  <conditionalFormatting sqref="A43:G48">
    <cfRule type="expression" dxfId="54" priority="1">
      <formula>ABS($A43-$B$6)&lt;0.000001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39"/>
  <sheetViews>
    <sheetView showGridLines="0" workbookViewId="0">
      <selection sqref="A1:S1"/>
    </sheetView>
  </sheetViews>
  <sheetFormatPr baseColWidth="10" defaultColWidth="8.83203125" defaultRowHeight="14"/>
  <cols>
    <col min="1" max="1" width="28" customWidth="1"/>
    <col min="2" max="2" width="14" customWidth="1"/>
    <col min="3" max="3" width="18" customWidth="1"/>
    <col min="4" max="4" width="44" customWidth="1"/>
    <col min="5" max="5" width="18" customWidth="1"/>
    <col min="6" max="6" width="16" customWidth="1"/>
    <col min="7" max="7" width="18" customWidth="1"/>
    <col min="8" max="8" width="16" customWidth="1"/>
    <col min="9" max="9" width="18" customWidth="1"/>
    <col min="10" max="11" width="15" customWidth="1"/>
    <col min="12" max="12" width="17" customWidth="1"/>
    <col min="13" max="13" width="16" customWidth="1"/>
    <col min="14" max="14" width="17" customWidth="1"/>
    <col min="15" max="15" width="20" customWidth="1"/>
    <col min="16" max="17" width="18" customWidth="1"/>
    <col min="18" max="18" width="14" customWidth="1"/>
    <col min="19" max="19" width="20" customWidth="1"/>
    <col min="21" max="21" width="34" customWidth="1"/>
    <col min="22" max="24" width="15" customWidth="1"/>
    <col min="25" max="26" width="18" customWidth="1"/>
    <col min="27" max="28" width="19" customWidth="1"/>
    <col min="29" max="29" width="18" customWidth="1"/>
    <col min="30" max="30" width="16" customWidth="1"/>
    <col min="31" max="31" width="22" customWidth="1"/>
  </cols>
  <sheetData>
    <row r="1" spans="1:31" ht="26" customHeight="1">
      <c r="A1" s="474" t="s">
        <v>1507</v>
      </c>
      <c r="B1" s="474"/>
      <c r="C1" s="474"/>
      <c r="D1" s="474"/>
      <c r="E1" s="474"/>
      <c r="F1" s="474"/>
      <c r="G1" s="474"/>
      <c r="H1" s="474"/>
      <c r="I1" s="474"/>
      <c r="J1" s="474"/>
      <c r="K1" s="474"/>
      <c r="L1" s="474"/>
      <c r="M1" s="474"/>
      <c r="N1" s="474"/>
      <c r="O1" s="474"/>
      <c r="P1" s="474"/>
      <c r="Q1" s="474"/>
      <c r="R1" s="474"/>
      <c r="S1" s="474"/>
    </row>
    <row r="2" spans="1:31" ht="34" customHeight="1">
      <c r="A2" s="475" t="s">
        <v>1508</v>
      </c>
      <c r="B2" s="475"/>
      <c r="C2" s="475"/>
      <c r="D2" s="475"/>
      <c r="E2" s="475"/>
      <c r="F2" s="475"/>
      <c r="G2" s="475"/>
      <c r="H2" s="475"/>
      <c r="I2" s="475"/>
      <c r="J2" s="475"/>
      <c r="K2" s="475"/>
      <c r="L2" s="475"/>
      <c r="M2" s="475"/>
      <c r="N2" s="475"/>
      <c r="O2" s="475"/>
      <c r="P2" s="475"/>
      <c r="Q2" s="475"/>
      <c r="R2" s="475"/>
      <c r="S2" s="475"/>
    </row>
    <row r="4" spans="1:31" ht="15">
      <c r="A4" s="476" t="s">
        <v>1509</v>
      </c>
      <c r="B4" s="476"/>
      <c r="C4" s="476"/>
      <c r="D4" s="476"/>
      <c r="F4" s="477" t="s">
        <v>1510</v>
      </c>
      <c r="G4" s="477"/>
      <c r="H4" s="477"/>
      <c r="I4" s="477"/>
      <c r="J4" s="477"/>
      <c r="U4" s="476" t="s">
        <v>1511</v>
      </c>
      <c r="V4" s="476"/>
      <c r="W4" s="476"/>
      <c r="X4" s="476"/>
      <c r="Y4" s="476"/>
      <c r="Z4" s="476"/>
      <c r="AA4" s="476"/>
      <c r="AB4" s="476"/>
      <c r="AC4" s="476"/>
      <c r="AD4" s="476"/>
      <c r="AE4" s="476"/>
    </row>
    <row r="5" spans="1:31" ht="15">
      <c r="A5" s="1" t="s">
        <v>312</v>
      </c>
      <c r="B5" s="142">
        <f>'Global Pricing Config'!$B$6</f>
        <v>2</v>
      </c>
      <c r="C5" s="1" t="s">
        <v>36</v>
      </c>
      <c r="D5" s="1" t="s">
        <v>1512</v>
      </c>
      <c r="F5" s="478" t="str">
        <f>IF(B10=0,"Angel cost/hour is currently ₹0. Ensure all Angel payroll salaries are included in monthly fixed costs; otherwise profitability will be overstated.","Angel cost/hour is variable in the current model.")</f>
        <v>Angel cost/hour is currently ₹0. Ensure all Angel payroll salaries are included in monthly fixed costs; otherwise profitability will be overstated.</v>
      </c>
      <c r="G5" s="478"/>
      <c r="H5" s="478"/>
      <c r="I5" s="478"/>
      <c r="J5" s="478"/>
      <c r="U5" s="479" t="s">
        <v>1513</v>
      </c>
      <c r="V5" s="479"/>
      <c r="W5" s="479"/>
      <c r="X5" s="479"/>
      <c r="Y5" s="479"/>
      <c r="Z5" s="479"/>
      <c r="AA5" s="479"/>
      <c r="AB5" s="479"/>
      <c r="AC5" s="479"/>
      <c r="AD5" s="479"/>
      <c r="AE5" s="479"/>
    </row>
    <row r="6" spans="1:31" ht="30">
      <c r="A6" s="1" t="s">
        <v>1514</v>
      </c>
      <c r="B6" s="142">
        <v>4</v>
      </c>
      <c r="C6" s="1" t="s">
        <v>36</v>
      </c>
      <c r="D6" s="1" t="s">
        <v>1515</v>
      </c>
      <c r="F6" s="478"/>
      <c r="G6" s="478"/>
      <c r="H6" s="478"/>
      <c r="I6" s="478"/>
      <c r="J6" s="478"/>
      <c r="U6" s="479"/>
      <c r="V6" s="479"/>
      <c r="W6" s="479"/>
      <c r="X6" s="479"/>
      <c r="Y6" s="479"/>
      <c r="Z6" s="479"/>
      <c r="AA6" s="479"/>
      <c r="AB6" s="479"/>
      <c r="AC6" s="479"/>
      <c r="AD6" s="479"/>
      <c r="AE6" s="479"/>
    </row>
    <row r="7" spans="1:31" ht="15">
      <c r="A7" s="1" t="s">
        <v>1371</v>
      </c>
      <c r="B7" s="140">
        <f>'Global Pricing Config'!$B$5</f>
        <v>299</v>
      </c>
      <c r="C7" s="1" t="s">
        <v>5</v>
      </c>
      <c r="D7" s="1" t="s">
        <v>1512</v>
      </c>
      <c r="F7" s="478"/>
      <c r="G7" s="478"/>
      <c r="H7" s="478"/>
      <c r="I7" s="478"/>
      <c r="J7" s="478"/>
      <c r="U7" s="479"/>
      <c r="V7" s="479"/>
      <c r="W7" s="479"/>
      <c r="X7" s="479"/>
      <c r="Y7" s="479"/>
      <c r="Z7" s="479"/>
      <c r="AA7" s="479"/>
      <c r="AB7" s="479"/>
      <c r="AC7" s="479"/>
      <c r="AD7" s="479"/>
      <c r="AE7" s="479"/>
    </row>
    <row r="8" spans="1:31" ht="30">
      <c r="A8" s="290" t="s">
        <v>1219</v>
      </c>
      <c r="B8" s="294">
        <v>269</v>
      </c>
      <c r="C8" s="290" t="s">
        <v>5</v>
      </c>
      <c r="D8" s="290" t="s">
        <v>1516</v>
      </c>
      <c r="F8" s="478"/>
      <c r="G8" s="478"/>
      <c r="H8" s="478"/>
      <c r="I8" s="478"/>
      <c r="J8" s="478"/>
      <c r="U8" s="479"/>
      <c r="V8" s="479"/>
      <c r="W8" s="479"/>
      <c r="X8" s="479"/>
      <c r="Y8" s="479"/>
      <c r="Z8" s="479"/>
      <c r="AA8" s="479"/>
      <c r="AB8" s="479"/>
      <c r="AC8" s="479"/>
      <c r="AD8" s="479"/>
      <c r="AE8" s="479"/>
    </row>
    <row r="9" spans="1:31" ht="15">
      <c r="A9" s="1" t="s">
        <v>1517</v>
      </c>
      <c r="B9" s="140">
        <f>'Global Pricing Config'!$B$7</f>
        <v>199</v>
      </c>
      <c r="C9" s="1" t="s">
        <v>20</v>
      </c>
      <c r="D9" s="1" t="s">
        <v>1518</v>
      </c>
      <c r="U9" s="479"/>
      <c r="V9" s="479"/>
      <c r="W9" s="479"/>
      <c r="X9" s="479"/>
      <c r="Y9" s="479"/>
      <c r="Z9" s="479"/>
      <c r="AA9" s="479"/>
      <c r="AB9" s="479"/>
      <c r="AC9" s="479"/>
      <c r="AD9" s="479"/>
      <c r="AE9" s="479"/>
    </row>
    <row r="10" spans="1:31" ht="15">
      <c r="A10" s="1" t="s">
        <v>311</v>
      </c>
      <c r="B10" s="12">
        <f>'Global Inputs'!$B$6</f>
        <v>0</v>
      </c>
      <c r="C10" s="1" t="s">
        <v>7</v>
      </c>
      <c r="D10" s="1" t="s">
        <v>1519</v>
      </c>
    </row>
    <row r="11" spans="1:31" ht="15">
      <c r="A11" s="1" t="s">
        <v>10</v>
      </c>
      <c r="B11" s="64">
        <f>'Global Pricing Config'!$B$8</f>
        <v>0.18</v>
      </c>
      <c r="C11" s="1" t="s">
        <v>11</v>
      </c>
      <c r="D11" s="1" t="s">
        <v>1520</v>
      </c>
    </row>
    <row r="12" spans="1:31" ht="16">
      <c r="A12" s="1" t="s">
        <v>1521</v>
      </c>
      <c r="B12" s="64">
        <f>'Global Inputs'!$B$8</f>
        <v>0</v>
      </c>
      <c r="C12" s="1" t="s">
        <v>1522</v>
      </c>
      <c r="D12" s="1" t="s">
        <v>1519</v>
      </c>
      <c r="U12" s="476" t="s">
        <v>1523</v>
      </c>
      <c r="V12" s="476"/>
      <c r="W12" s="476"/>
      <c r="X12" s="476"/>
      <c r="Y12" s="476"/>
      <c r="Z12" s="476"/>
      <c r="AA12" s="476"/>
      <c r="AB12" s="476"/>
      <c r="AC12" s="476"/>
      <c r="AD12" s="476"/>
      <c r="AE12" s="476"/>
    </row>
    <row r="13" spans="1:31" ht="32">
      <c r="A13" s="1" t="s">
        <v>649</v>
      </c>
      <c r="B13" s="141">
        <f>SUM('Global Inputs'!$B$10:$B$14)</f>
        <v>56.5</v>
      </c>
      <c r="C13" s="1" t="s">
        <v>20</v>
      </c>
      <c r="D13" s="1" t="s">
        <v>1524</v>
      </c>
      <c r="U13" s="144" t="s">
        <v>1364</v>
      </c>
      <c r="V13" s="144" t="s">
        <v>1179</v>
      </c>
      <c r="W13" s="144" t="s">
        <v>1365</v>
      </c>
      <c r="X13" s="144" t="s">
        <v>941</v>
      </c>
      <c r="Y13" s="144" t="s">
        <v>1366</v>
      </c>
      <c r="Z13" s="144" t="s">
        <v>1525</v>
      </c>
      <c r="AA13" s="144" t="s">
        <v>435</v>
      </c>
      <c r="AB13" s="144" t="s">
        <v>280</v>
      </c>
      <c r="AC13" s="144" t="s">
        <v>599</v>
      </c>
      <c r="AD13" s="144" t="s">
        <v>600</v>
      </c>
      <c r="AE13" s="144" t="s">
        <v>1368</v>
      </c>
    </row>
    <row r="14" spans="1:31" ht="15">
      <c r="A14" s="1" t="s">
        <v>1355</v>
      </c>
      <c r="B14" s="64">
        <f>'NC Credits'!$B$6</f>
        <v>0.05</v>
      </c>
      <c r="C14" s="1" t="s">
        <v>11</v>
      </c>
      <c r="D14" s="1" t="s">
        <v>1526</v>
      </c>
      <c r="U14" t="s">
        <v>1370</v>
      </c>
      <c r="V14" s="153">
        <v>249</v>
      </c>
      <c r="W14" s="153">
        <v>249</v>
      </c>
      <c r="X14" s="153">
        <v>199</v>
      </c>
      <c r="Y14" s="154">
        <v>0.5</v>
      </c>
      <c r="Z14" s="148">
        <f>$X14+MIN(MAX('Growth &amp; Pricing Strategy'!$B$11,$B$5),$B$6)*$V14+MAX(MAX('Growth &amp; Pricing Strategy'!$B$11,$B$5)-$B$6,0)*$W14</f>
        <v>1349.38</v>
      </c>
      <c r="AA14" s="148">
        <f>Z14/(1+$B$11)-'Growth &amp; Pricing Strategy'!$B$11*$B$10-($B$13+Z14*$B$12+(Z14/(1+$B$11))*$B$18)+$B$16*$B$17</f>
        <v>1123.2140728813563</v>
      </c>
      <c r="AB14" s="148">
        <f>IF('Growth &amp; Pricing Strategy'!$B$11=0,0,AA14/'Growth &amp; Pricing Strategy'!$B$11)</f>
        <v>243.11992919509876</v>
      </c>
      <c r="AC14" s="151">
        <f>IF(AA14&lt;=0,0,'Growth &amp; Pricing Strategy'!$B$27/AA14)</f>
        <v>162.0350068559232</v>
      </c>
      <c r="AD14" s="155">
        <f>IF($B$19=0,0,AC14/$B$19)</f>
        <v>6.2321156483047382</v>
      </c>
      <c r="AE14" s="148">
        <f>MIN('Growth &amp; Pricing Strategy'!$B$6*'Growth &amp; Pricing Strategy'!$B$7*$Y14*'Growth &amp; Pricing Strategy'!$B$14*(1-'Growth &amp; Pricing Strategy'!$B$12)*(1-'Growth &amp; Pricing Strategy'!$B$13),'Growth &amp; Pricing Strategy'!$B$8*'Growth &amp; Pricing Strategy'!$B$7*'Growth &amp; Pricing Strategy'!$B$9*'Growth &amp; Pricing Strategy'!$B$10/'Growth &amp; Pricing Strategy'!$B$11)*AA14-'Growth &amp; Pricing Strategy'!$B$27</f>
        <v>-17650.927864113241</v>
      </c>
    </row>
    <row r="15" spans="1:31" ht="15">
      <c r="A15" s="1" t="s">
        <v>1527</v>
      </c>
      <c r="B15" s="64">
        <f>'NC Credits'!$B$8</f>
        <v>0.7</v>
      </c>
      <c r="C15" s="1" t="s">
        <v>11</v>
      </c>
      <c r="D15" s="1" t="s">
        <v>1526</v>
      </c>
      <c r="U15" t="s">
        <v>1372</v>
      </c>
      <c r="V15" s="153">
        <v>299</v>
      </c>
      <c r="W15" s="153">
        <v>299</v>
      </c>
      <c r="X15" s="153">
        <v>199</v>
      </c>
      <c r="Y15" s="154">
        <v>0.45</v>
      </c>
      <c r="Z15" s="148">
        <f>$X15+MIN(MAX('Growth &amp; Pricing Strategy'!$B$11,$B$5),$B$6)*$V15+MAX(MAX('Growth &amp; Pricing Strategy'!$B$11,$B$5)-$B$6,0)*$W15</f>
        <v>1580.38</v>
      </c>
      <c r="AA15" s="148">
        <f>Z15/(1+$B$11)-'Growth &amp; Pricing Strategy'!$B$11*$B$10-($B$13+Z15*$B$12+(Z15/(1+$B$11))*$B$18)+$B$16*$B$17</f>
        <v>1310.8917847457628</v>
      </c>
      <c r="AB15" s="148">
        <f>IF('Growth &amp; Pricing Strategy'!$B$11=0,0,AA15/'Growth &amp; Pricing Strategy'!$B$11)</f>
        <v>283.74281055103091</v>
      </c>
      <c r="AC15" s="151">
        <f>IF(AA15&lt;=0,0,'Growth &amp; Pricing Strategy'!$B$27/AA15)</f>
        <v>138.8367843309793</v>
      </c>
      <c r="AD15" s="155">
        <f>IF($B$19=0,0,AC15/$B$19)</f>
        <v>5.339876320422281</v>
      </c>
      <c r="AE15" s="148">
        <f>MIN('Growth &amp; Pricing Strategy'!$B$6*'Growth &amp; Pricing Strategy'!$B$7*$Y15*'Growth &amp; Pricing Strategy'!$B$14*(1-'Growth &amp; Pricing Strategy'!$B$12)*(1-'Growth &amp; Pricing Strategy'!$B$13),'Growth &amp; Pricing Strategy'!$B$8*'Growth &amp; Pricing Strategy'!$B$7*'Growth &amp; Pricing Strategy'!$B$9*'Growth &amp; Pricing Strategy'!$B$10/'Growth &amp; Pricing Strategy'!$B$11)*AA15-'Growth &amp; Pricing Strategy'!$B$27</f>
        <v>-4067.362053647259</v>
      </c>
    </row>
    <row r="16" spans="1:31" ht="15">
      <c r="A16" s="1" t="s">
        <v>143</v>
      </c>
      <c r="B16" s="64">
        <f>'Growth &amp; Pricing Strategy'!$B$25</f>
        <v>0.6</v>
      </c>
      <c r="C16" s="1" t="s">
        <v>1528</v>
      </c>
      <c r="D16" s="1" t="s">
        <v>1529</v>
      </c>
      <c r="U16" t="s">
        <v>1374</v>
      </c>
      <c r="V16" s="153">
        <v>349</v>
      </c>
      <c r="W16" s="153">
        <v>349</v>
      </c>
      <c r="X16" s="153">
        <v>199</v>
      </c>
      <c r="Y16" s="154">
        <v>0.4</v>
      </c>
      <c r="Z16" s="148">
        <f>$X16+MIN(MAX('Growth &amp; Pricing Strategy'!$B$11,$B$5),$B$6)*$V16+MAX(MAX('Growth &amp; Pricing Strategy'!$B$11,$B$5)-$B$6,0)*$W16</f>
        <v>1811.38</v>
      </c>
      <c r="AA16" s="148">
        <f>Z16/(1+$B$11)-'Growth &amp; Pricing Strategy'!$B$11*$B$10-($B$13+Z16*$B$12+(Z16/(1+$B$11))*$B$18)+$B$16*$B$17</f>
        <v>1498.5694966101696</v>
      </c>
      <c r="AB16" s="148">
        <f>IF('Growth &amp; Pricing Strategy'!$B$11=0,0,AA16/'Growth &amp; Pricing Strategy'!$B$11)</f>
        <v>324.36569190696309</v>
      </c>
      <c r="AC16" s="151">
        <f>IF(AA16&lt;=0,0,'Growth &amp; Pricing Strategy'!$B$27/AA16)</f>
        <v>121.44915561920354</v>
      </c>
      <c r="AD16" s="155">
        <f>IF($B$19=0,0,AC16/$B$19)</f>
        <v>4.6711213699693666</v>
      </c>
      <c r="AE16" s="148">
        <f>MIN('Growth &amp; Pricing Strategy'!$B$6*'Growth &amp; Pricing Strategy'!$B$7*$Y16*'Growth &amp; Pricing Strategy'!$B$14*(1-'Growth &amp; Pricing Strategy'!$B$12)*(1-'Growth &amp; Pricing Strategy'!$B$13),'Growth &amp; Pricing Strategy'!$B$8*'Growth &amp; Pricing Strategy'!$B$7*'Growth &amp; Pricing Strategy'!$B$9*'Growth &amp; Pricing Strategy'!$B$10/'Growth &amp; Pricing Strategy'!$B$11)*AA16-'Growth &amp; Pricing Strategy'!$B$27</f>
        <v>-1193.8737816314388</v>
      </c>
    </row>
    <row r="17" spans="1:31" ht="30">
      <c r="A17" s="1" t="s">
        <v>688</v>
      </c>
      <c r="B17" s="141">
        <f>'Growth &amp; Pricing Strategy'!$B$26</f>
        <v>139</v>
      </c>
      <c r="C17" s="1" t="s">
        <v>1530</v>
      </c>
      <c r="D17" s="1" t="s">
        <v>1529</v>
      </c>
      <c r="U17" t="s">
        <v>1376</v>
      </c>
      <c r="V17" s="153">
        <v>399</v>
      </c>
      <c r="W17" s="153">
        <v>399</v>
      </c>
      <c r="X17" s="153">
        <v>199</v>
      </c>
      <c r="Y17" s="154">
        <v>0.37</v>
      </c>
      <c r="Z17" s="148">
        <f>$X17+MIN(MAX('Growth &amp; Pricing Strategy'!$B$11,$B$5),$B$6)*$V17+MAX(MAX('Growth &amp; Pricing Strategy'!$B$11,$B$5)-$B$6,0)*$W17</f>
        <v>2042.38</v>
      </c>
      <c r="AA17" s="148">
        <f>Z17/(1+$B$11)-'Growth &amp; Pricing Strategy'!$B$11*$B$10-($B$13+Z17*$B$12+(Z17/(1+$B$11))*$B$18)+$B$16*$B$17</f>
        <v>1686.2472084745764</v>
      </c>
      <c r="AB17" s="148">
        <f>IF('Growth &amp; Pricing Strategy'!$B$11=0,0,AA17/'Growth &amp; Pricing Strategy'!$B$11)</f>
        <v>364.98857326289533</v>
      </c>
      <c r="AC17" s="151">
        <f>IF(AA17&lt;=0,0,'Growth &amp; Pricing Strategy'!$B$27/AA17)</f>
        <v>107.93198001178131</v>
      </c>
      <c r="AD17" s="155">
        <f>IF($B$19=0,0,AC17/$B$19)</f>
        <v>4.1512300004531273</v>
      </c>
      <c r="AE17" s="148">
        <f>MIN('Growth &amp; Pricing Strategy'!$B$6*'Growth &amp; Pricing Strategy'!$B$7*$Y17*'Growth &amp; Pricing Strategy'!$B$14*(1-'Growth &amp; Pricing Strategy'!$B$12)*(1-'Growth &amp; Pricing Strategy'!$B$13),'Growth &amp; Pricing Strategy'!$B$8*'Growth &amp; Pricing Strategy'!$B$7*'Growth &amp; Pricing Strategy'!$B$9*'Growth &amp; Pricing Strategy'!$B$10/'Growth &amp; Pricing Strategy'!$B$11)*AA17-'Growth &amp; Pricing Strategy'!$B$27</f>
        <v>6191.1645258695935</v>
      </c>
    </row>
    <row r="18" spans="1:31" ht="30">
      <c r="A18" s="1" t="s">
        <v>1531</v>
      </c>
      <c r="B18" s="64">
        <f>'NC Credits'!$B$15</f>
        <v>4.1299999999999996E-2</v>
      </c>
      <c r="C18" s="1" t="s">
        <v>1532</v>
      </c>
      <c r="D18" s="1" t="s">
        <v>1526</v>
      </c>
      <c r="U18" t="s">
        <v>1377</v>
      </c>
      <c r="V18" s="153">
        <v>449</v>
      </c>
      <c r="W18" s="153">
        <v>449</v>
      </c>
      <c r="X18" s="153">
        <v>199</v>
      </c>
      <c r="Y18" s="154">
        <v>0.35</v>
      </c>
      <c r="Z18" s="148">
        <f>$X18+MIN(MAX('Growth &amp; Pricing Strategy'!$B$11,$B$5),$B$6)*$V18+MAX(MAX('Growth &amp; Pricing Strategy'!$B$11,$B$5)-$B$6,0)*$W18</f>
        <v>2273.38</v>
      </c>
      <c r="AA18" s="148">
        <f>Z18/(1+$B$11)-'Growth &amp; Pricing Strategy'!$B$11*$B$10-($B$13+Z18*$B$12+(Z18/(1+$B$11))*$B$18)+$B$16*$B$17</f>
        <v>1873.9249203389834</v>
      </c>
      <c r="AB18" s="148">
        <f>IF('Growth &amp; Pricing Strategy'!$B$11=0,0,AA18/'Growth &amp; Pricing Strategy'!$B$11)</f>
        <v>405.61145461882757</v>
      </c>
      <c r="AC18" s="151">
        <f>IF(AA18&lt;=0,0,'Growth &amp; Pricing Strategy'!$B$27/AA18)</f>
        <v>97.122354276113228</v>
      </c>
      <c r="AD18" s="155">
        <f>IF($B$19=0,0,AC18/$B$19)</f>
        <v>3.7354751644658934</v>
      </c>
      <c r="AE18" s="148">
        <f>MIN('Growth &amp; Pricing Strategy'!$B$6*'Growth &amp; Pricing Strategy'!$B$7*$Y18*'Growth &amp; Pricing Strategy'!$B$14*(1-'Growth &amp; Pricing Strategy'!$B$12)*(1-'Growth &amp; Pricing Strategy'!$B$13),'Growth &amp; Pricing Strategy'!$B$8*'Growth &amp; Pricing Strategy'!$B$7*'Growth &amp; Pricing Strategy'!$B$9*'Growth &amp; Pricing Strategy'!$B$10/'Growth &amp; Pricing Strategy'!$B$11)*AA18-'Growth &amp; Pricing Strategy'!$B$27</f>
        <v>15831.977851113188</v>
      </c>
    </row>
    <row r="19" spans="1:31" ht="15">
      <c r="A19" s="1" t="s">
        <v>126</v>
      </c>
      <c r="B19" s="143">
        <f>'Growth &amp; Pricing Strategy'!$B$7</f>
        <v>26</v>
      </c>
      <c r="C19" s="1" t="s">
        <v>1230</v>
      </c>
      <c r="D19" s="1" t="s">
        <v>1529</v>
      </c>
    </row>
    <row r="21" spans="1:31" ht="15">
      <c r="U21" s="480" t="s">
        <v>1533</v>
      </c>
      <c r="V21" s="480"/>
      <c r="W21" s="476"/>
      <c r="X21" s="476"/>
      <c r="Y21" s="476"/>
      <c r="Z21" s="476"/>
      <c r="AA21" s="476"/>
    </row>
    <row r="22" spans="1:31" ht="15">
      <c r="A22" s="476" t="s">
        <v>1534</v>
      </c>
      <c r="B22" s="476"/>
      <c r="C22" s="476"/>
      <c r="D22" s="476"/>
      <c r="E22" s="476"/>
      <c r="U22" s="157" t="s">
        <v>1535</v>
      </c>
      <c r="V22" s="128">
        <f>$B$7</f>
        <v>299</v>
      </c>
    </row>
    <row r="23" spans="1:31" ht="32">
      <c r="A23" s="144" t="s">
        <v>1536</v>
      </c>
      <c r="B23" s="144" t="s">
        <v>1537</v>
      </c>
      <c r="C23" s="144" t="s">
        <v>1538</v>
      </c>
      <c r="D23" s="144" t="s">
        <v>1539</v>
      </c>
      <c r="E23" s="144" t="s">
        <v>558</v>
      </c>
      <c r="U23" s="157" t="s">
        <v>1540</v>
      </c>
      <c r="V23" s="128">
        <f>V22/(1+$B$11)</f>
        <v>253.3898305084746</v>
      </c>
    </row>
    <row r="24" spans="1:31" ht="16">
      <c r="A24" s="1" t="s">
        <v>1541</v>
      </c>
      <c r="B24" s="1" t="s">
        <v>1542</v>
      </c>
      <c r="C24" s="1" t="s">
        <v>1543</v>
      </c>
      <c r="D24" s="1" t="s">
        <v>1544</v>
      </c>
      <c r="E24" s="145" t="s">
        <v>1545</v>
      </c>
      <c r="U24" s="157" t="s">
        <v>1546</v>
      </c>
      <c r="V24" s="128">
        <f>$B$10</f>
        <v>0</v>
      </c>
    </row>
    <row r="25" spans="1:31" ht="31">
      <c r="A25" s="1" t="s">
        <v>1547</v>
      </c>
      <c r="B25" s="1" t="s">
        <v>1548</v>
      </c>
      <c r="C25" s="1" t="s">
        <v>1549</v>
      </c>
      <c r="D25" s="1" t="s">
        <v>1550</v>
      </c>
      <c r="E25" s="145" t="s">
        <v>1545</v>
      </c>
      <c r="U25" s="157" t="s">
        <v>1551</v>
      </c>
      <c r="V25" s="128">
        <f>'Global Inputs'!$B$33</f>
        <v>103.55029585798816</v>
      </c>
    </row>
    <row r="26" spans="1:31" ht="32">
      <c r="A26" s="1" t="s">
        <v>1552</v>
      </c>
      <c r="B26" s="1" t="s">
        <v>1553</v>
      </c>
      <c r="C26" s="1" t="s">
        <v>1554</v>
      </c>
      <c r="D26" s="1" t="s">
        <v>1555</v>
      </c>
      <c r="E26" s="146" t="s">
        <v>1556</v>
      </c>
      <c r="U26" s="157" t="s">
        <v>1557</v>
      </c>
      <c r="V26" s="128">
        <f>V22*$B$12</f>
        <v>0</v>
      </c>
    </row>
    <row r="27" spans="1:31" ht="15">
      <c r="U27" s="157" t="s">
        <v>1558</v>
      </c>
      <c r="V27" s="204">
        <f>V23*$B$18</f>
        <v>10.465</v>
      </c>
    </row>
    <row r="28" spans="1:31" ht="15">
      <c r="U28" s="157" t="s">
        <v>1559</v>
      </c>
      <c r="V28" s="205">
        <v>0</v>
      </c>
    </row>
    <row r="29" spans="1:31" ht="15">
      <c r="A29" s="476" t="s">
        <v>1560</v>
      </c>
      <c r="B29" s="476"/>
      <c r="C29" s="476"/>
      <c r="D29" s="476"/>
      <c r="E29" s="476"/>
      <c r="F29" s="476"/>
      <c r="G29" s="476"/>
      <c r="H29" s="476"/>
      <c r="I29" s="476"/>
      <c r="J29" s="476"/>
      <c r="K29" s="476"/>
      <c r="L29" s="476"/>
      <c r="M29" s="476"/>
      <c r="N29" s="476"/>
      <c r="O29" s="476"/>
      <c r="P29" s="476"/>
      <c r="Q29" s="476"/>
      <c r="R29" s="476"/>
      <c r="S29" s="476"/>
      <c r="U29" s="157" t="s">
        <v>1561</v>
      </c>
      <c r="V29" s="206">
        <f>V23-V24-V26-V27-V28</f>
        <v>242.9248305084746</v>
      </c>
    </row>
    <row r="30" spans="1:31" ht="40" customHeight="1">
      <c r="A30" s="147" t="s">
        <v>1562</v>
      </c>
      <c r="B30" s="147" t="s">
        <v>1171</v>
      </c>
      <c r="C30" s="147" t="s">
        <v>1563</v>
      </c>
      <c r="D30" s="147" t="s">
        <v>1564</v>
      </c>
      <c r="E30" s="147" t="s">
        <v>1565</v>
      </c>
      <c r="F30" s="147" t="s">
        <v>941</v>
      </c>
      <c r="G30" s="147" t="s">
        <v>1566</v>
      </c>
      <c r="H30" s="147" t="s">
        <v>1567</v>
      </c>
      <c r="I30" s="147" t="s">
        <v>47</v>
      </c>
      <c r="J30" s="147" t="s">
        <v>49</v>
      </c>
      <c r="K30" s="147" t="s">
        <v>1568</v>
      </c>
      <c r="L30" s="147" t="s">
        <v>707</v>
      </c>
      <c r="M30" s="147" t="s">
        <v>1569</v>
      </c>
      <c r="N30" s="147" t="s">
        <v>1570</v>
      </c>
      <c r="O30" s="147" t="s">
        <v>1571</v>
      </c>
      <c r="P30" s="147" t="s">
        <v>887</v>
      </c>
      <c r="Q30" s="147" t="s">
        <v>708</v>
      </c>
      <c r="R30" s="147" t="s">
        <v>1362</v>
      </c>
      <c r="S30" s="147" t="s">
        <v>709</v>
      </c>
      <c r="U30" s="157" t="s">
        <v>1572</v>
      </c>
      <c r="V30" s="128">
        <f>V23-V25-V26-V27-V28</f>
        <v>139.37453465048642</v>
      </c>
    </row>
    <row r="31" spans="1:31" ht="15">
      <c r="A31" s="150">
        <v>2</v>
      </c>
      <c r="B31" s="151">
        <f t="shared" ref="B31:B39" si="0">MAX(A31,$B$5)</f>
        <v>2</v>
      </c>
      <c r="C31" s="151">
        <f t="shared" ref="C31:C39" si="1">MIN(B31,$B$6)</f>
        <v>2</v>
      </c>
      <c r="D31" s="151">
        <f t="shared" ref="D31:D39" si="2">MAX(B31-$B$6,0)</f>
        <v>0</v>
      </c>
      <c r="E31" s="148">
        <f t="shared" ref="E31:E39" si="3">(C31+D31)*$B$7</f>
        <v>598</v>
      </c>
      <c r="F31" s="148">
        <f t="shared" ref="F31:F39" si="4">$B$9</f>
        <v>199</v>
      </c>
      <c r="G31" s="148">
        <f t="shared" ref="G31:G39" si="5">E31+F31</f>
        <v>797</v>
      </c>
      <c r="H31" s="148">
        <f t="shared" ref="H31:H39" si="6">G31-G31/(1+$B$11)</f>
        <v>121.57627118644064</v>
      </c>
      <c r="I31" s="148">
        <f t="shared" ref="I31:I39" si="7">G31/(1+$B$11)</f>
        <v>675.42372881355936</v>
      </c>
      <c r="J31" s="148">
        <f t="shared" ref="J31:J39" si="8">A31*$B$10</f>
        <v>0</v>
      </c>
      <c r="K31" s="148">
        <f t="shared" ref="K31:K39" si="9">G31*$B$12</f>
        <v>0</v>
      </c>
      <c r="L31" s="148">
        <f t="shared" ref="L31:L39" si="10">$B$13</f>
        <v>56.5</v>
      </c>
      <c r="M31" s="148">
        <f t="shared" ref="M31:M39" si="11">I31*$B$18</f>
        <v>27.895</v>
      </c>
      <c r="N31" s="148">
        <f t="shared" ref="N31:N39" si="12">SUM(J31:M31)</f>
        <v>84.394999999999996</v>
      </c>
      <c r="O31" s="148">
        <f t="shared" ref="O31:O39" si="13">I31-N31</f>
        <v>591.02872881355938</v>
      </c>
      <c r="P31" s="148">
        <f t="shared" ref="P31:P39" si="14">$B$16*$B$17</f>
        <v>83.399999999999991</v>
      </c>
      <c r="Q31" s="148">
        <f t="shared" ref="Q31:Q39" si="15">O31+P31</f>
        <v>674.42872881355936</v>
      </c>
      <c r="R31" s="149">
        <f>IF((I31+$B$16*('Global Inputs'!$B$16/(1+'Global Inputs'!$B$17)))=0,0,Q31/(I31+$B$16*('Global Inputs'!$B$16/(1+'Global Inputs'!$B$17))))</f>
        <v>0.88180936783927177</v>
      </c>
      <c r="S31" s="148">
        <f t="shared" ref="S31:S39" si="16">IF(A31=0,0,Q31/A31)</f>
        <v>337.21436440677968</v>
      </c>
      <c r="U31" s="157" t="s">
        <v>1573</v>
      </c>
      <c r="V31" t="str">
        <f>IF(V30&gt;0,"GREEN — economically positive",IF(V30=0,"AMBER — break-even","RED — uneconomic"))</f>
        <v>GREEN — economically positive</v>
      </c>
    </row>
    <row r="32" spans="1:31" ht="15">
      <c r="A32" s="150">
        <v>3</v>
      </c>
      <c r="B32" s="151">
        <f t="shared" si="0"/>
        <v>3</v>
      </c>
      <c r="C32" s="151">
        <f t="shared" si="1"/>
        <v>3</v>
      </c>
      <c r="D32" s="151">
        <f t="shared" si="2"/>
        <v>0</v>
      </c>
      <c r="E32" s="148">
        <f t="shared" si="3"/>
        <v>897</v>
      </c>
      <c r="F32" s="148">
        <f t="shared" si="4"/>
        <v>199</v>
      </c>
      <c r="G32" s="148">
        <f t="shared" si="5"/>
        <v>1096</v>
      </c>
      <c r="H32" s="148">
        <f t="shared" si="6"/>
        <v>167.18644067796606</v>
      </c>
      <c r="I32" s="148">
        <f t="shared" si="7"/>
        <v>928.81355932203394</v>
      </c>
      <c r="J32" s="148">
        <f t="shared" si="8"/>
        <v>0</v>
      </c>
      <c r="K32" s="148">
        <f t="shared" si="9"/>
        <v>0</v>
      </c>
      <c r="L32" s="148">
        <f t="shared" si="10"/>
        <v>56.5</v>
      </c>
      <c r="M32" s="148">
        <f t="shared" si="11"/>
        <v>38.36</v>
      </c>
      <c r="N32" s="148">
        <f t="shared" si="12"/>
        <v>94.86</v>
      </c>
      <c r="O32" s="148">
        <f t="shared" si="13"/>
        <v>833.95355932203393</v>
      </c>
      <c r="P32" s="148">
        <f t="shared" si="14"/>
        <v>83.399999999999991</v>
      </c>
      <c r="Q32" s="148">
        <f t="shared" si="15"/>
        <v>917.3535593220339</v>
      </c>
      <c r="R32" s="149">
        <f>IF((I32+$B$16*('Global Inputs'!$B$16/(1+'Global Inputs'!$B$17)))=0,0,Q32/(I32+$B$16*('Global Inputs'!$B$16/(1+'Global Inputs'!$B$17))))</f>
        <v>0.90094415942844397</v>
      </c>
      <c r="S32" s="148">
        <f t="shared" si="16"/>
        <v>305.7845197740113</v>
      </c>
      <c r="U32" s="481" t="s">
        <v>1574</v>
      </c>
      <c r="V32" s="481" t="s">
        <v>1575</v>
      </c>
      <c r="W32" s="476"/>
      <c r="X32" s="476"/>
      <c r="Y32" s="476"/>
      <c r="Z32" s="476"/>
      <c r="AA32" s="476"/>
    </row>
    <row r="33" spans="1:24">
      <c r="A33" s="150">
        <v>4</v>
      </c>
      <c r="B33" s="151">
        <f t="shared" si="0"/>
        <v>4</v>
      </c>
      <c r="C33" s="151">
        <f t="shared" si="1"/>
        <v>4</v>
      </c>
      <c r="D33" s="151">
        <f t="shared" si="2"/>
        <v>0</v>
      </c>
      <c r="E33" s="148">
        <f t="shared" si="3"/>
        <v>1196</v>
      </c>
      <c r="F33" s="148">
        <f t="shared" si="4"/>
        <v>199</v>
      </c>
      <c r="G33" s="148">
        <f t="shared" si="5"/>
        <v>1395</v>
      </c>
      <c r="H33" s="148">
        <f t="shared" si="6"/>
        <v>212.79661016949149</v>
      </c>
      <c r="I33" s="148">
        <f t="shared" si="7"/>
        <v>1182.2033898305085</v>
      </c>
      <c r="J33" s="148">
        <f t="shared" si="8"/>
        <v>0</v>
      </c>
      <c r="K33" s="148">
        <f t="shared" si="9"/>
        <v>0</v>
      </c>
      <c r="L33" s="148">
        <f t="shared" si="10"/>
        <v>56.5</v>
      </c>
      <c r="M33" s="148">
        <f t="shared" si="11"/>
        <v>48.824999999999996</v>
      </c>
      <c r="N33" s="148">
        <f t="shared" si="12"/>
        <v>105.32499999999999</v>
      </c>
      <c r="O33" s="148">
        <f t="shared" si="13"/>
        <v>1076.8783898305085</v>
      </c>
      <c r="P33" s="148">
        <f t="shared" si="14"/>
        <v>83.399999999999991</v>
      </c>
      <c r="Q33" s="148">
        <f t="shared" si="15"/>
        <v>1160.2783898305086</v>
      </c>
      <c r="R33" s="149">
        <f>IF((I33+$B$16*('Global Inputs'!$B$16/(1+'Global Inputs'!$B$17)))=0,0,Q33/(I33+$B$16*('Global Inputs'!$B$16/(1+'Global Inputs'!$B$17))))</f>
        <v>0.91245304873334876</v>
      </c>
      <c r="S33" s="148">
        <f t="shared" si="16"/>
        <v>290.06959745762714</v>
      </c>
      <c r="U33" t="s">
        <v>1576</v>
      </c>
      <c r="V33" s="16">
        <f>G33</f>
        <v>1395</v>
      </c>
      <c r="W33" s="16">
        <v>1395</v>
      </c>
      <c r="X33" t="str">
        <f>IF(V33=W33,"PASS","CHECK")</f>
        <v>PASS</v>
      </c>
    </row>
    <row r="34" spans="1:24">
      <c r="A34" s="150">
        <v>5</v>
      </c>
      <c r="B34" s="151">
        <f t="shared" si="0"/>
        <v>5</v>
      </c>
      <c r="C34" s="151">
        <f t="shared" si="1"/>
        <v>4</v>
      </c>
      <c r="D34" s="151">
        <f t="shared" si="2"/>
        <v>1</v>
      </c>
      <c r="E34" s="148">
        <f t="shared" si="3"/>
        <v>1495</v>
      </c>
      <c r="F34" s="148">
        <f t="shared" si="4"/>
        <v>199</v>
      </c>
      <c r="G34" s="148">
        <f t="shared" si="5"/>
        <v>1694</v>
      </c>
      <c r="H34" s="148">
        <f t="shared" si="6"/>
        <v>258.4067796610168</v>
      </c>
      <c r="I34" s="148">
        <f t="shared" si="7"/>
        <v>1435.5932203389832</v>
      </c>
      <c r="J34" s="148">
        <f t="shared" si="8"/>
        <v>0</v>
      </c>
      <c r="K34" s="148">
        <f t="shared" si="9"/>
        <v>0</v>
      </c>
      <c r="L34" s="148">
        <f t="shared" si="10"/>
        <v>56.5</v>
      </c>
      <c r="M34" s="148">
        <f t="shared" si="11"/>
        <v>59.29</v>
      </c>
      <c r="N34" s="148">
        <f t="shared" si="12"/>
        <v>115.78999999999999</v>
      </c>
      <c r="O34" s="148">
        <f t="shared" si="13"/>
        <v>1319.8032203389832</v>
      </c>
      <c r="P34" s="148">
        <f t="shared" si="14"/>
        <v>83.399999999999991</v>
      </c>
      <c r="Q34" s="148">
        <f t="shared" si="15"/>
        <v>1403.2032203389833</v>
      </c>
      <c r="R34" s="149">
        <f>IF((I34+$B$16*('Global Inputs'!$B$16/(1+'Global Inputs'!$B$17)))=0,0,Q34/(I34+$B$16*('Global Inputs'!$B$16/(1+'Global Inputs'!$B$17))))</f>
        <v>0.92013734987429785</v>
      </c>
      <c r="S34" s="148">
        <f t="shared" si="16"/>
        <v>280.64064406779664</v>
      </c>
      <c r="U34" t="s">
        <v>1577</v>
      </c>
      <c r="V34" s="16">
        <f>G34</f>
        <v>1694</v>
      </c>
      <c r="W34" s="16">
        <v>1694</v>
      </c>
      <c r="X34" t="str">
        <f>IF(V34=W34,"PASS","CHECK")</f>
        <v>PASS</v>
      </c>
    </row>
    <row r="35" spans="1:24">
      <c r="A35" s="150">
        <v>6</v>
      </c>
      <c r="B35" s="151">
        <f t="shared" si="0"/>
        <v>6</v>
      </c>
      <c r="C35" s="151">
        <f t="shared" si="1"/>
        <v>4</v>
      </c>
      <c r="D35" s="151">
        <f t="shared" si="2"/>
        <v>2</v>
      </c>
      <c r="E35" s="148">
        <f t="shared" si="3"/>
        <v>1794</v>
      </c>
      <c r="F35" s="148">
        <f t="shared" si="4"/>
        <v>199</v>
      </c>
      <c r="G35" s="148">
        <f t="shared" si="5"/>
        <v>1993</v>
      </c>
      <c r="H35" s="148">
        <f t="shared" si="6"/>
        <v>304.01694915254234</v>
      </c>
      <c r="I35" s="148">
        <f t="shared" si="7"/>
        <v>1688.9830508474577</v>
      </c>
      <c r="J35" s="148">
        <f t="shared" si="8"/>
        <v>0</v>
      </c>
      <c r="K35" s="148">
        <f t="shared" si="9"/>
        <v>0</v>
      </c>
      <c r="L35" s="148">
        <f t="shared" si="10"/>
        <v>56.5</v>
      </c>
      <c r="M35" s="148">
        <f t="shared" si="11"/>
        <v>69.754999999999995</v>
      </c>
      <c r="N35" s="148">
        <f t="shared" si="12"/>
        <v>126.255</v>
      </c>
      <c r="O35" s="148">
        <f t="shared" si="13"/>
        <v>1562.7280508474578</v>
      </c>
      <c r="P35" s="148">
        <f t="shared" si="14"/>
        <v>83.399999999999991</v>
      </c>
      <c r="Q35" s="148">
        <f t="shared" si="15"/>
        <v>1646.1280508474579</v>
      </c>
      <c r="R35" s="149">
        <f>IF((I35+$B$16*('Global Inputs'!$B$16/(1+'Global Inputs'!$B$17)))=0,0,Q35/(I35+$B$16*('Global Inputs'!$B$16/(1+'Global Inputs'!$B$17))))</f>
        <v>0.92563188232311588</v>
      </c>
      <c r="S35" s="148">
        <f t="shared" si="16"/>
        <v>274.35467514124298</v>
      </c>
      <c r="U35" t="s">
        <v>1578</v>
      </c>
      <c r="V35" s="16">
        <f>G35</f>
        <v>1993</v>
      </c>
      <c r="W35" s="16">
        <v>1993</v>
      </c>
      <c r="X35" t="str">
        <f>IF(V35=W35,"PASS","CHECK")</f>
        <v>PASS</v>
      </c>
    </row>
    <row r="36" spans="1:24">
      <c r="A36" s="150">
        <v>7</v>
      </c>
      <c r="B36" s="151">
        <f t="shared" si="0"/>
        <v>7</v>
      </c>
      <c r="C36" s="151">
        <f t="shared" si="1"/>
        <v>4</v>
      </c>
      <c r="D36" s="151">
        <f t="shared" si="2"/>
        <v>3</v>
      </c>
      <c r="E36" s="148">
        <f t="shared" si="3"/>
        <v>2093</v>
      </c>
      <c r="F36" s="148">
        <f t="shared" si="4"/>
        <v>199</v>
      </c>
      <c r="G36" s="148">
        <f t="shared" si="5"/>
        <v>2292</v>
      </c>
      <c r="H36" s="148">
        <f t="shared" si="6"/>
        <v>349.62711864406765</v>
      </c>
      <c r="I36" s="148">
        <f t="shared" si="7"/>
        <v>1942.3728813559323</v>
      </c>
      <c r="J36" s="148">
        <f t="shared" si="8"/>
        <v>0</v>
      </c>
      <c r="K36" s="148">
        <f t="shared" si="9"/>
        <v>0</v>
      </c>
      <c r="L36" s="148">
        <f t="shared" si="10"/>
        <v>56.5</v>
      </c>
      <c r="M36" s="148">
        <f t="shared" si="11"/>
        <v>80.22</v>
      </c>
      <c r="N36" s="148">
        <f t="shared" si="12"/>
        <v>136.72</v>
      </c>
      <c r="O36" s="148">
        <f t="shared" si="13"/>
        <v>1805.6528813559323</v>
      </c>
      <c r="P36" s="148">
        <f t="shared" si="14"/>
        <v>83.399999999999991</v>
      </c>
      <c r="Q36" s="148">
        <f t="shared" si="15"/>
        <v>1889.0528813559324</v>
      </c>
      <c r="R36" s="149">
        <f>IF((I36+$B$16*('Global Inputs'!$B$16/(1+'Global Inputs'!$B$17)))=0,0,Q36/(I36+$B$16*('Global Inputs'!$B$16/(1+'Global Inputs'!$B$17))))</f>
        <v>0.92975592827838427</v>
      </c>
      <c r="S36" s="148">
        <f t="shared" si="16"/>
        <v>269.86469733656179</v>
      </c>
      <c r="U36" t="s">
        <v>1579</v>
      </c>
      <c r="V36" s="16">
        <f>G37</f>
        <v>2591</v>
      </c>
      <c r="W36" s="16">
        <v>2591</v>
      </c>
      <c r="X36" t="str">
        <f>IF(V36=W36,"PASS","CHECK")</f>
        <v>PASS</v>
      </c>
    </row>
    <row r="37" spans="1:24">
      <c r="A37" s="150">
        <v>8</v>
      </c>
      <c r="B37" s="151">
        <f t="shared" si="0"/>
        <v>8</v>
      </c>
      <c r="C37" s="151">
        <f t="shared" si="1"/>
        <v>4</v>
      </c>
      <c r="D37" s="151">
        <f t="shared" si="2"/>
        <v>4</v>
      </c>
      <c r="E37" s="148">
        <f t="shared" si="3"/>
        <v>2392</v>
      </c>
      <c r="F37" s="148">
        <f t="shared" si="4"/>
        <v>199</v>
      </c>
      <c r="G37" s="148">
        <f t="shared" si="5"/>
        <v>2591</v>
      </c>
      <c r="H37" s="148">
        <f t="shared" si="6"/>
        <v>395.23728813559319</v>
      </c>
      <c r="I37" s="148">
        <f t="shared" si="7"/>
        <v>2195.7627118644068</v>
      </c>
      <c r="J37" s="148">
        <f t="shared" si="8"/>
        <v>0</v>
      </c>
      <c r="K37" s="148">
        <f t="shared" si="9"/>
        <v>0</v>
      </c>
      <c r="L37" s="148">
        <f t="shared" si="10"/>
        <v>56.5</v>
      </c>
      <c r="M37" s="148">
        <f t="shared" si="11"/>
        <v>90.684999999999988</v>
      </c>
      <c r="N37" s="148">
        <f t="shared" si="12"/>
        <v>147.185</v>
      </c>
      <c r="O37" s="148">
        <f t="shared" si="13"/>
        <v>2048.5777118644069</v>
      </c>
      <c r="P37" s="148">
        <f t="shared" si="14"/>
        <v>83.399999999999991</v>
      </c>
      <c r="Q37" s="148">
        <f t="shared" si="15"/>
        <v>2131.977711864407</v>
      </c>
      <c r="R37" s="149">
        <f>IF((I37+$B$16*('Global Inputs'!$B$16/(1+'Global Inputs'!$B$17)))=0,0,Q37/(I37+$B$16*('Global Inputs'!$B$16/(1+'Global Inputs'!$B$17))))</f>
        <v>0.93296538613873137</v>
      </c>
      <c r="S37" s="148">
        <f t="shared" si="16"/>
        <v>266.49721398305087</v>
      </c>
    </row>
    <row r="38" spans="1:24">
      <c r="A38" s="150">
        <v>10</v>
      </c>
      <c r="B38" s="151">
        <f t="shared" si="0"/>
        <v>10</v>
      </c>
      <c r="C38" s="151">
        <f t="shared" si="1"/>
        <v>4</v>
      </c>
      <c r="D38" s="151">
        <f t="shared" si="2"/>
        <v>6</v>
      </c>
      <c r="E38" s="148">
        <f t="shared" si="3"/>
        <v>2990</v>
      </c>
      <c r="F38" s="148">
        <f t="shared" si="4"/>
        <v>199</v>
      </c>
      <c r="G38" s="148">
        <f t="shared" si="5"/>
        <v>3189</v>
      </c>
      <c r="H38" s="148">
        <f t="shared" si="6"/>
        <v>486.45762711864381</v>
      </c>
      <c r="I38" s="148">
        <f t="shared" si="7"/>
        <v>2702.5423728813562</v>
      </c>
      <c r="J38" s="148">
        <f t="shared" si="8"/>
        <v>0</v>
      </c>
      <c r="K38" s="148">
        <f t="shared" si="9"/>
        <v>0</v>
      </c>
      <c r="L38" s="148">
        <f t="shared" si="10"/>
        <v>56.5</v>
      </c>
      <c r="M38" s="148">
        <f t="shared" si="11"/>
        <v>111.61499999999999</v>
      </c>
      <c r="N38" s="148">
        <f t="shared" si="12"/>
        <v>168.11500000000001</v>
      </c>
      <c r="O38" s="148">
        <f t="shared" si="13"/>
        <v>2534.427372881356</v>
      </c>
      <c r="P38" s="148">
        <f t="shared" si="14"/>
        <v>83.399999999999991</v>
      </c>
      <c r="Q38" s="148">
        <f t="shared" si="15"/>
        <v>2617.827372881356</v>
      </c>
      <c r="R38" s="149">
        <f>IF((I38+$B$16*('Global Inputs'!$B$16/(1+'Global Inputs'!$B$17)))=0,0,Q38/(I38+$B$16*('Global Inputs'!$B$16/(1+'Global Inputs'!$B$17))))</f>
        <v>0.93763660679704175</v>
      </c>
      <c r="S38" s="148">
        <f t="shared" si="16"/>
        <v>261.78273728813559</v>
      </c>
    </row>
    <row r="39" spans="1:24">
      <c r="A39" s="150">
        <v>12</v>
      </c>
      <c r="B39" s="151">
        <f t="shared" si="0"/>
        <v>12</v>
      </c>
      <c r="C39" s="151">
        <f t="shared" si="1"/>
        <v>4</v>
      </c>
      <c r="D39" s="151">
        <f t="shared" si="2"/>
        <v>8</v>
      </c>
      <c r="E39" s="148">
        <f t="shared" si="3"/>
        <v>3588</v>
      </c>
      <c r="F39" s="148">
        <f t="shared" si="4"/>
        <v>199</v>
      </c>
      <c r="G39" s="148">
        <f t="shared" si="5"/>
        <v>3787</v>
      </c>
      <c r="H39" s="148">
        <f t="shared" si="6"/>
        <v>577.67796610169489</v>
      </c>
      <c r="I39" s="148">
        <f t="shared" si="7"/>
        <v>3209.3220338983051</v>
      </c>
      <c r="J39" s="148">
        <f t="shared" si="8"/>
        <v>0</v>
      </c>
      <c r="K39" s="148">
        <f t="shared" si="9"/>
        <v>0</v>
      </c>
      <c r="L39" s="148">
        <f t="shared" si="10"/>
        <v>56.5</v>
      </c>
      <c r="M39" s="148">
        <f t="shared" si="11"/>
        <v>132.54499999999999</v>
      </c>
      <c r="N39" s="148">
        <f t="shared" si="12"/>
        <v>189.04499999999999</v>
      </c>
      <c r="O39" s="148">
        <f t="shared" si="13"/>
        <v>3020.277033898305</v>
      </c>
      <c r="P39" s="148">
        <f t="shared" si="14"/>
        <v>83.399999999999991</v>
      </c>
      <c r="Q39" s="148">
        <f t="shared" si="15"/>
        <v>3103.6770338983051</v>
      </c>
      <c r="R39" s="149">
        <f>IF((I39+$B$16*('Global Inputs'!$B$16/(1+'Global Inputs'!$B$17)))=0,0,Q39/(I39+$B$16*('Global Inputs'!$B$16/(1+'Global Inputs'!$B$17))))</f>
        <v>0.94087255670660341</v>
      </c>
      <c r="S39" s="148">
        <f t="shared" si="16"/>
        <v>258.63975282485876</v>
      </c>
    </row>
  </sheetData>
  <mergeCells count="12">
    <mergeCell ref="U32:AA32"/>
    <mergeCell ref="A22:E22"/>
    <mergeCell ref="A29:S29"/>
    <mergeCell ref="U4:AE4"/>
    <mergeCell ref="U5:AE9"/>
    <mergeCell ref="U12:AE12"/>
    <mergeCell ref="U21:AA21"/>
    <mergeCell ref="A1:S1"/>
    <mergeCell ref="A2:S2"/>
    <mergeCell ref="A4:D4"/>
    <mergeCell ref="F4:J4"/>
    <mergeCell ref="F5:J8"/>
  </mergeCells>
  <conditionalFormatting sqref="V29">
    <cfRule type="expression" dxfId="53" priority="1">
      <formula>LEFT(V29,5)="GREEN"</formula>
    </cfRule>
    <cfRule type="expression" dxfId="52" priority="2">
      <formula>LEFT(V29,3)="RED"</formula>
    </cfRule>
  </conditionalFormatting>
  <conditionalFormatting sqref="V31">
    <cfRule type="expression" dxfId="51" priority="5">
      <formula>LEFT(V31,5)="GREEN"</formula>
    </cfRule>
    <cfRule type="expression" dxfId="50" priority="6">
      <formula>LEFT(V31,5)="AMBER"</formula>
    </cfRule>
    <cfRule type="expression" dxfId="49" priority="7">
      <formula>LEFT(V31,3)="RED"</formula>
    </cfRule>
  </conditionalFormatting>
  <conditionalFormatting sqref="X33:X36">
    <cfRule type="expression" dxfId="48" priority="3">
      <formula>X33="PASS"</formula>
    </cfRule>
    <cfRule type="expression" dxfId="47" priority="4">
      <formula>X33="CHECK"</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
  <sheetViews>
    <sheetView workbookViewId="0">
      <selection sqref="A1:N1"/>
    </sheetView>
  </sheetViews>
  <sheetFormatPr baseColWidth="10" defaultColWidth="8.83203125" defaultRowHeight="14"/>
  <cols>
    <col min="1" max="1" width="34" customWidth="1"/>
    <col min="2" max="2" width="18" customWidth="1"/>
    <col min="3" max="4" width="20" customWidth="1"/>
    <col min="6" max="6" width="34" customWidth="1"/>
    <col min="7" max="9" width="18" customWidth="1"/>
    <col min="10" max="10" width="22" customWidth="1"/>
  </cols>
  <sheetData>
    <row r="1" spans="1:14" ht="15">
      <c r="A1" s="482" t="s">
        <v>1580</v>
      </c>
      <c r="B1" s="482"/>
      <c r="C1" s="482"/>
      <c r="D1" s="482"/>
      <c r="E1" s="482"/>
      <c r="F1" s="482"/>
      <c r="G1" s="482"/>
      <c r="H1" s="482"/>
      <c r="I1" s="482"/>
      <c r="J1" s="482"/>
      <c r="K1" s="482"/>
      <c r="L1" s="482"/>
      <c r="M1" s="482"/>
      <c r="N1" s="482"/>
    </row>
    <row r="2" spans="1:14" ht="15">
      <c r="A2" s="425" t="s">
        <v>1581</v>
      </c>
      <c r="B2" s="425"/>
      <c r="C2" s="425"/>
      <c r="D2" s="425"/>
      <c r="E2" s="425"/>
      <c r="F2" s="425"/>
      <c r="G2" s="425"/>
      <c r="H2" s="425"/>
      <c r="I2" s="425"/>
      <c r="J2" s="425"/>
      <c r="K2" s="425"/>
      <c r="L2" s="425"/>
      <c r="M2" s="425"/>
      <c r="N2" s="425"/>
    </row>
    <row r="4" spans="1:14" ht="15">
      <c r="A4" s="187" t="s">
        <v>1582</v>
      </c>
      <c r="B4" s="187" t="s">
        <v>2</v>
      </c>
      <c r="C4" s="187" t="s">
        <v>3</v>
      </c>
      <c r="D4" s="187" t="s">
        <v>1213</v>
      </c>
      <c r="F4" s="187" t="s">
        <v>1583</v>
      </c>
      <c r="G4" s="187" t="s">
        <v>336</v>
      </c>
      <c r="H4" s="187" t="s">
        <v>1584</v>
      </c>
      <c r="I4" s="187" t="s">
        <v>3</v>
      </c>
    </row>
    <row r="5" spans="1:14">
      <c r="A5" t="s">
        <v>1224</v>
      </c>
      <c r="B5" s="152">
        <f>'Global Inputs'!$B$25</f>
        <v>3</v>
      </c>
      <c r="C5" t="s">
        <v>1036</v>
      </c>
      <c r="D5" t="s">
        <v>1216</v>
      </c>
      <c r="F5" t="s">
        <v>1234</v>
      </c>
      <c r="G5" s="207">
        <f>'Global Inputs'!$B$30</f>
        <v>42000</v>
      </c>
      <c r="H5" s="207">
        <f>G5</f>
        <v>42000</v>
      </c>
      <c r="I5" t="s">
        <v>1235</v>
      </c>
    </row>
    <row r="6" spans="1:14">
      <c r="A6" t="s">
        <v>1226</v>
      </c>
      <c r="B6" s="153">
        <f>'Global Inputs'!$B$26</f>
        <v>14000</v>
      </c>
      <c r="C6" t="s">
        <v>1235</v>
      </c>
      <c r="D6" t="s">
        <v>1216</v>
      </c>
      <c r="F6" t="s">
        <v>476</v>
      </c>
      <c r="G6" s="207">
        <f>'Whitefield Monthly Projection'!$Q$13</f>
        <v>960</v>
      </c>
      <c r="H6" s="207">
        <f>'Global Inputs'!$B$31</f>
        <v>624</v>
      </c>
      <c r="I6" t="s">
        <v>1239</v>
      </c>
    </row>
    <row r="7" spans="1:14">
      <c r="A7" t="s">
        <v>1585</v>
      </c>
      <c r="B7" s="152">
        <f>'Global Inputs'!$B$27</f>
        <v>26</v>
      </c>
      <c r="C7" t="s">
        <v>1230</v>
      </c>
      <c r="D7" t="s">
        <v>1216</v>
      </c>
      <c r="F7" t="s">
        <v>152</v>
      </c>
      <c r="G7" s="207">
        <f>'Global Inputs'!$B$34</f>
        <v>173.80440000000002</v>
      </c>
      <c r="H7" s="207">
        <f>'Global Inputs'!$B$32</f>
        <v>405.6</v>
      </c>
      <c r="I7" t="s">
        <v>1239</v>
      </c>
    </row>
    <row r="8" spans="1:14">
      <c r="A8" t="s">
        <v>1586</v>
      </c>
      <c r="B8" s="152">
        <f>'Global Inputs'!$B$28</f>
        <v>8</v>
      </c>
      <c r="C8" t="s">
        <v>36</v>
      </c>
      <c r="D8" t="s">
        <v>1216</v>
      </c>
      <c r="F8" t="s">
        <v>1587</v>
      </c>
      <c r="G8" s="207">
        <f>'Whitefield Monthly Projection'!$Q$22</f>
        <v>786.19560000000001</v>
      </c>
      <c r="H8" s="207">
        <f>MAX(H6-H7,0)</f>
        <v>218.39999999999998</v>
      </c>
      <c r="I8" t="s">
        <v>1239</v>
      </c>
    </row>
    <row r="9" spans="1:14">
      <c r="A9" t="s">
        <v>1232</v>
      </c>
      <c r="B9" s="176">
        <f>'Global Inputs'!$B$29</f>
        <v>0.65</v>
      </c>
      <c r="C9" t="s">
        <v>11</v>
      </c>
      <c r="D9" t="s">
        <v>1216</v>
      </c>
      <c r="F9" t="s">
        <v>470</v>
      </c>
      <c r="G9" s="184">
        <f>'Whitefield Monthly Projection'!$Q$21</f>
        <v>0.18104625000000002</v>
      </c>
      <c r="H9" s="184">
        <f>'Global Inputs'!$B$29</f>
        <v>0.65</v>
      </c>
      <c r="I9" t="s">
        <v>11</v>
      </c>
    </row>
    <row r="10" spans="1:14">
      <c r="A10" t="s">
        <v>1588</v>
      </c>
      <c r="B10" s="152">
        <v>0</v>
      </c>
      <c r="C10" t="s">
        <v>5</v>
      </c>
      <c r="D10" t="s">
        <v>1216</v>
      </c>
      <c r="F10" t="s">
        <v>1589</v>
      </c>
      <c r="G10" s="207">
        <f>'Global Inputs'!$B$35</f>
        <v>241.65095935430861</v>
      </c>
      <c r="H10" s="207">
        <f>'Global Inputs'!$B$33</f>
        <v>103.55029585798816</v>
      </c>
      <c r="I10" t="s">
        <v>5</v>
      </c>
    </row>
    <row r="11" spans="1:14">
      <c r="A11" t="s">
        <v>1590</v>
      </c>
      <c r="B11" s="6">
        <f>'Whitefield Monthly Projection'!$Q$19</f>
        <v>37.620000000000005</v>
      </c>
      <c r="C11" t="s">
        <v>1591</v>
      </c>
      <c r="D11" t="s">
        <v>1236</v>
      </c>
      <c r="F11" t="s">
        <v>1592</v>
      </c>
      <c r="G11" s="207">
        <f>IF(B5=0,0,'Whitefield Monthly Projection'!$Q$30/B5)</f>
        <v>23031.559118644072</v>
      </c>
      <c r="H11" s="207">
        <f>G11</f>
        <v>23031.559118644072</v>
      </c>
      <c r="I11" t="s">
        <v>1227</v>
      </c>
    </row>
    <row r="12" spans="1:14">
      <c r="A12" t="s">
        <v>1593</v>
      </c>
      <c r="B12" s="6">
        <f>'Whitefield Monthly Projection'!$B$6</f>
        <v>4</v>
      </c>
      <c r="C12" t="s">
        <v>1036</v>
      </c>
      <c r="D12" t="s">
        <v>1236</v>
      </c>
      <c r="F12" t="s">
        <v>474</v>
      </c>
      <c r="G12" s="207">
        <f>IF(B5=0,0,'Whitefield Monthly Projection'!$Q$32/B5)</f>
        <v>18948.13308624407</v>
      </c>
      <c r="H12" s="207">
        <f>G12</f>
        <v>18948.13308624407</v>
      </c>
      <c r="I12" t="s">
        <v>1227</v>
      </c>
    </row>
    <row r="13" spans="1:14">
      <c r="F13" t="s">
        <v>480</v>
      </c>
      <c r="G13" s="6">
        <f>IF(B5*B7=0,0,B11/(B5*B7))</f>
        <v>0.48230769230769238</v>
      </c>
      <c r="H13" s="6">
        <f>G13</f>
        <v>0.48230769230769238</v>
      </c>
      <c r="I13" t="s">
        <v>1594</v>
      </c>
    </row>
    <row r="16" spans="1:14" ht="15">
      <c r="A16" s="480" t="s">
        <v>1595</v>
      </c>
      <c r="B16" s="480"/>
      <c r="C16" s="480"/>
      <c r="D16" s="480"/>
      <c r="E16" s="480"/>
      <c r="F16" s="480" t="s">
        <v>1596</v>
      </c>
      <c r="G16" s="480"/>
      <c r="H16" s="480"/>
      <c r="I16" s="175"/>
      <c r="J16" s="175"/>
    </row>
    <row r="17" spans="1:10" ht="15">
      <c r="A17" s="187" t="s">
        <v>235</v>
      </c>
      <c r="B17" s="187" t="s">
        <v>336</v>
      </c>
      <c r="C17" s="187" t="s">
        <v>1597</v>
      </c>
      <c r="D17" s="187" t="s">
        <v>558</v>
      </c>
      <c r="F17" s="187" t="s">
        <v>511</v>
      </c>
      <c r="G17" s="187" t="s">
        <v>1598</v>
      </c>
      <c r="H17" s="187" t="s">
        <v>1599</v>
      </c>
      <c r="I17" s="187" t="s">
        <v>470</v>
      </c>
      <c r="J17" s="187" t="s">
        <v>1600</v>
      </c>
    </row>
    <row r="18" spans="1:10">
      <c r="A18" t="s">
        <v>314</v>
      </c>
      <c r="B18" s="184">
        <f>G9</f>
        <v>0.18104625000000002</v>
      </c>
      <c r="C18" t="s">
        <v>1601</v>
      </c>
      <c r="D18" t="str">
        <f>IF(B18&lt;0.45,"RED",IF(B18&lt;0.6,"AMBER",IF(B18&lt;=0.8,"GREEN","AMBER")))</f>
        <v>RED</v>
      </c>
      <c r="F18" s="152">
        <v>25</v>
      </c>
      <c r="G18" s="6">
        <f>'Whitefield Monthly Projection'!$Q$15</f>
        <v>4.62</v>
      </c>
      <c r="H18" s="6">
        <f t="shared" ref="H18:H25" si="0">F18*G18</f>
        <v>115.5</v>
      </c>
      <c r="I18" s="184">
        <f t="shared" ref="I18:I25" si="1">IF($G$6=0,0,H18/$G$6)</f>
        <v>0.1203125</v>
      </c>
      <c r="J18" s="207">
        <f t="shared" ref="J18:J25" si="2">IF(H18=0,0,$G$5/H18)</f>
        <v>363.63636363636363</v>
      </c>
    </row>
    <row r="19" spans="1:10">
      <c r="A19" t="s">
        <v>1602</v>
      </c>
      <c r="B19" s="6">
        <f>G8</f>
        <v>786.19560000000001</v>
      </c>
      <c r="C19" t="s">
        <v>1603</v>
      </c>
      <c r="D19" t="str">
        <f>IF(B19&gt;G6*0.55,"RED",IF(B19&gt;G6*0.4,"AMBER","GREEN"))</f>
        <v>RED</v>
      </c>
      <c r="F19" s="152">
        <v>50</v>
      </c>
      <c r="G19" s="6">
        <f>'Whitefield Monthly Projection'!$Q$15</f>
        <v>4.62</v>
      </c>
      <c r="H19" s="6">
        <f t="shared" si="0"/>
        <v>231</v>
      </c>
      <c r="I19" s="184">
        <f t="shared" si="1"/>
        <v>0.24062500000000001</v>
      </c>
      <c r="J19" s="207">
        <f t="shared" si="2"/>
        <v>181.81818181818181</v>
      </c>
    </row>
    <row r="20" spans="1:10">
      <c r="A20" t="s">
        <v>480</v>
      </c>
      <c r="B20" s="6">
        <f>G13</f>
        <v>0.48230769230769238</v>
      </c>
      <c r="C20" t="s">
        <v>1604</v>
      </c>
      <c r="D20" t="str">
        <f>IF(B20&lt;0.75,"RED",IF(B20&lt;1,"AMBER","GREEN"))</f>
        <v>RED</v>
      </c>
      <c r="F20" s="152">
        <v>75</v>
      </c>
      <c r="G20" s="6">
        <f>'Whitefield Monthly Projection'!$Q$15</f>
        <v>4.62</v>
      </c>
      <c r="H20" s="6">
        <f t="shared" si="0"/>
        <v>346.5</v>
      </c>
      <c r="I20" s="184">
        <f t="shared" si="1"/>
        <v>0.36093750000000002</v>
      </c>
      <c r="J20" s="207">
        <f t="shared" si="2"/>
        <v>121.21212121212122</v>
      </c>
    </row>
    <row r="21" spans="1:10">
      <c r="A21" t="s">
        <v>1605</v>
      </c>
      <c r="B21" s="207">
        <f>G10</f>
        <v>241.65095935430861</v>
      </c>
      <c r="C21" t="s">
        <v>1606</v>
      </c>
      <c r="D21" t="str">
        <f>IF(B21&gt;H10*1.5,"RED",IF(B21&gt;H10*1.2,"AMBER","GREEN"))</f>
        <v>RED</v>
      </c>
      <c r="F21" s="152">
        <v>100</v>
      </c>
      <c r="G21" s="6">
        <f>'Whitefield Monthly Projection'!$Q$15</f>
        <v>4.62</v>
      </c>
      <c r="H21" s="6">
        <f t="shared" si="0"/>
        <v>462</v>
      </c>
      <c r="I21" s="184">
        <f t="shared" si="1"/>
        <v>0.48125000000000001</v>
      </c>
      <c r="J21" s="207">
        <f t="shared" si="2"/>
        <v>90.909090909090907</v>
      </c>
    </row>
    <row r="22" spans="1:10">
      <c r="A22" t="s">
        <v>1607</v>
      </c>
      <c r="B22" s="6">
        <f>IF(B7*B8*B9=0,0,'Whitefield Monthly Projection'!$Q$19*'Whitefield Monthly Projection'!$Q$15/(B7*B8*B9))</f>
        <v>1.2855355029585798</v>
      </c>
      <c r="C22" t="s">
        <v>1608</v>
      </c>
      <c r="D22" t="str">
        <f>IF(B22&gt;B5,"AMBER","GREEN")</f>
        <v>GREEN</v>
      </c>
      <c r="F22" s="152">
        <v>150</v>
      </c>
      <c r="G22" s="6">
        <f>'Whitefield Monthly Projection'!$Q$15</f>
        <v>4.62</v>
      </c>
      <c r="H22" s="6">
        <f t="shared" si="0"/>
        <v>693</v>
      </c>
      <c r="I22" s="184">
        <f t="shared" si="1"/>
        <v>0.72187500000000004</v>
      </c>
      <c r="J22" s="207">
        <f t="shared" si="2"/>
        <v>60.606060606060609</v>
      </c>
    </row>
    <row r="23" spans="1:10">
      <c r="A23" t="s">
        <v>1609</v>
      </c>
      <c r="B23" s="6">
        <f>IF(B7*B8*B9=0,0,'Whitefield Monthly Projection'!$Q$39*'Whitefield Monthly Projection'!$Q$15/(B7*B8*B9))</f>
        <v>3.1208685767055924</v>
      </c>
      <c r="C23" t="s">
        <v>1610</v>
      </c>
      <c r="D23" t="str">
        <f>IF(B23&gt;B5,"AMBER","GREEN")</f>
        <v>AMBER</v>
      </c>
      <c r="F23" s="152">
        <v>200</v>
      </c>
      <c r="G23" s="6">
        <f>'Whitefield Monthly Projection'!$Q$15</f>
        <v>4.62</v>
      </c>
      <c r="H23" s="6">
        <f t="shared" si="0"/>
        <v>924</v>
      </c>
      <c r="I23" s="184">
        <f t="shared" si="1"/>
        <v>0.96250000000000002</v>
      </c>
      <c r="J23" s="207">
        <f t="shared" si="2"/>
        <v>45.454545454545453</v>
      </c>
    </row>
    <row r="24" spans="1:10">
      <c r="A24" t="s">
        <v>1611</v>
      </c>
      <c r="B24" s="6">
        <f>IF('Whitefield Monthly Projection'!$Q$15=0,0,H7/'Whitefield Monthly Projection'!$Q$15)</f>
        <v>87.79220779220779</v>
      </c>
      <c r="C24" t="s">
        <v>1612</v>
      </c>
      <c r="D24" t="str">
        <f>IF(B24&gt;B11*2,"GREEN","AMBER")</f>
        <v>GREEN</v>
      </c>
      <c r="F24" s="152">
        <v>250</v>
      </c>
      <c r="G24" s="6">
        <f>'Whitefield Monthly Projection'!$Q$15</f>
        <v>4.62</v>
      </c>
      <c r="H24" s="6">
        <f t="shared" si="0"/>
        <v>1155</v>
      </c>
      <c r="I24" s="184">
        <f t="shared" si="1"/>
        <v>1.203125</v>
      </c>
      <c r="J24" s="207">
        <f t="shared" si="2"/>
        <v>36.363636363636367</v>
      </c>
    </row>
    <row r="25" spans="1:10">
      <c r="F25" s="152">
        <v>300</v>
      </c>
      <c r="G25" s="6">
        <f>'Whitefield Monthly Projection'!$Q$15</f>
        <v>4.62</v>
      </c>
      <c r="H25" s="6">
        <f t="shared" si="0"/>
        <v>1386</v>
      </c>
      <c r="I25" s="184">
        <f t="shared" si="1"/>
        <v>1.4437500000000001</v>
      </c>
      <c r="J25" s="207">
        <f t="shared" si="2"/>
        <v>30.303030303030305</v>
      </c>
    </row>
  </sheetData>
  <mergeCells count="3">
    <mergeCell ref="A1:N1"/>
    <mergeCell ref="A2:N2"/>
    <mergeCell ref="A16:H16"/>
  </mergeCells>
  <conditionalFormatting sqref="D18:D24">
    <cfRule type="expression" dxfId="46" priority="1">
      <formula>D18="GREEN"</formula>
    </cfRule>
    <cfRule type="expression" dxfId="45" priority="2">
      <formula>D18="AMBER"</formula>
    </cfRule>
    <cfRule type="expression" dxfId="44" priority="3">
      <formula>D18="RED"</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8"/>
  <sheetViews>
    <sheetView workbookViewId="0">
      <selection sqref="A1:N1"/>
    </sheetView>
  </sheetViews>
  <sheetFormatPr baseColWidth="10" defaultColWidth="8.83203125" defaultRowHeight="14"/>
  <cols>
    <col min="1" max="1" width="34" customWidth="1"/>
    <col min="2" max="3" width="18" customWidth="1"/>
    <col min="4" max="4" width="16" customWidth="1"/>
    <col min="6" max="6" width="34" customWidth="1"/>
    <col min="7" max="9" width="18" customWidth="1"/>
    <col min="10" max="10" width="30" customWidth="1"/>
  </cols>
  <sheetData>
    <row r="1" spans="1:14" ht="15">
      <c r="A1" s="482" t="s">
        <v>1613</v>
      </c>
      <c r="B1" s="482"/>
      <c r="C1" s="482"/>
      <c r="D1" s="482"/>
      <c r="E1" s="482"/>
      <c r="F1" s="482"/>
      <c r="G1" s="482"/>
      <c r="H1" s="482"/>
      <c r="I1" s="482"/>
      <c r="J1" s="482"/>
      <c r="K1" s="482"/>
      <c r="L1" s="482"/>
      <c r="M1" s="482"/>
      <c r="N1" s="482"/>
    </row>
    <row r="2" spans="1:14" ht="15">
      <c r="A2" s="425" t="s">
        <v>1614</v>
      </c>
      <c r="B2" s="425"/>
      <c r="C2" s="425"/>
      <c r="D2" s="425"/>
      <c r="E2" s="425"/>
      <c r="F2" s="425"/>
      <c r="G2" s="425"/>
      <c r="H2" s="425"/>
      <c r="I2" s="425"/>
      <c r="J2" s="425"/>
      <c r="K2" s="425"/>
      <c r="L2" s="425"/>
      <c r="M2" s="425"/>
      <c r="N2" s="425"/>
    </row>
    <row r="4" spans="1:14" ht="16">
      <c r="A4" s="198" t="s">
        <v>1615</v>
      </c>
      <c r="B4" s="198" t="s">
        <v>2</v>
      </c>
      <c r="C4" s="198" t="s">
        <v>3</v>
      </c>
      <c r="D4" s="198" t="s">
        <v>1213</v>
      </c>
      <c r="F4" s="198" t="s">
        <v>1616</v>
      </c>
      <c r="G4" s="198" t="s">
        <v>2</v>
      </c>
      <c r="H4" s="198" t="s">
        <v>3</v>
      </c>
      <c r="I4" s="198" t="s">
        <v>1213</v>
      </c>
    </row>
    <row r="5" spans="1:14">
      <c r="A5" t="s">
        <v>1617</v>
      </c>
      <c r="B5" s="216">
        <f>'Global Inputs'!$B$20</f>
        <v>299</v>
      </c>
      <c r="C5" t="s">
        <v>1618</v>
      </c>
      <c r="D5" t="s">
        <v>1216</v>
      </c>
      <c r="F5" t="s">
        <v>1619</v>
      </c>
      <c r="G5" s="152">
        <v>1.5</v>
      </c>
      <c r="H5" t="s">
        <v>1620</v>
      </c>
      <c r="I5" t="s">
        <v>1216</v>
      </c>
    </row>
    <row r="6" spans="1:14">
      <c r="A6" t="s">
        <v>790</v>
      </c>
      <c r="B6" s="216">
        <v>150</v>
      </c>
      <c r="C6" t="s">
        <v>1618</v>
      </c>
      <c r="D6" t="s">
        <v>1216</v>
      </c>
      <c r="F6" t="s">
        <v>1621</v>
      </c>
      <c r="G6" s="152">
        <v>2.5</v>
      </c>
      <c r="H6" t="s">
        <v>1620</v>
      </c>
      <c r="I6" t="s">
        <v>1216</v>
      </c>
    </row>
    <row r="7" spans="1:14">
      <c r="A7" t="s">
        <v>1622</v>
      </c>
      <c r="B7" s="216">
        <v>50</v>
      </c>
      <c r="C7" t="s">
        <v>1618</v>
      </c>
      <c r="D7" t="s">
        <v>1216</v>
      </c>
      <c r="F7" t="s">
        <v>1623</v>
      </c>
      <c r="G7" s="152">
        <v>4</v>
      </c>
      <c r="H7" t="s">
        <v>1620</v>
      </c>
      <c r="I7" t="s">
        <v>1216</v>
      </c>
    </row>
    <row r="8" spans="1:14">
      <c r="A8" t="s">
        <v>1624</v>
      </c>
      <c r="B8" s="176">
        <v>0.5</v>
      </c>
      <c r="C8" t="s">
        <v>11</v>
      </c>
      <c r="D8" t="s">
        <v>1216</v>
      </c>
      <c r="F8" t="s">
        <v>1625</v>
      </c>
      <c r="G8" s="176">
        <v>0.4</v>
      </c>
      <c r="H8" t="s">
        <v>11</v>
      </c>
      <c r="I8" t="s">
        <v>1216</v>
      </c>
    </row>
    <row r="9" spans="1:14">
      <c r="A9" t="s">
        <v>1626</v>
      </c>
      <c r="B9" s="176">
        <v>0.3</v>
      </c>
      <c r="C9" t="s">
        <v>11</v>
      </c>
      <c r="D9" t="s">
        <v>1216</v>
      </c>
      <c r="F9" t="s">
        <v>1627</v>
      </c>
      <c r="G9" s="176">
        <v>0.35</v>
      </c>
      <c r="H9" t="s">
        <v>11</v>
      </c>
      <c r="I9" t="s">
        <v>1216</v>
      </c>
    </row>
    <row r="10" spans="1:14">
      <c r="A10" t="s">
        <v>1628</v>
      </c>
      <c r="B10" s="176">
        <v>0.2</v>
      </c>
      <c r="C10" t="s">
        <v>11</v>
      </c>
      <c r="D10" t="s">
        <v>1216</v>
      </c>
      <c r="F10" t="s">
        <v>1629</v>
      </c>
      <c r="G10" s="176">
        <v>0.25</v>
      </c>
      <c r="H10" t="s">
        <v>11</v>
      </c>
      <c r="I10" t="s">
        <v>1216</v>
      </c>
    </row>
    <row r="11" spans="1:14">
      <c r="A11" t="s">
        <v>1630</v>
      </c>
      <c r="B11" s="207">
        <f>SUMPRODUCT(B5:B7,B8:B10)</f>
        <v>204.5</v>
      </c>
      <c r="C11" t="s">
        <v>1618</v>
      </c>
      <c r="D11" t="s">
        <v>1236</v>
      </c>
      <c r="F11" t="s">
        <v>1631</v>
      </c>
      <c r="G11" s="152">
        <v>45</v>
      </c>
      <c r="H11" t="s">
        <v>1230</v>
      </c>
      <c r="I11" t="s">
        <v>1216</v>
      </c>
    </row>
    <row r="12" spans="1:14">
      <c r="B12" s="6"/>
      <c r="F12" t="s">
        <v>1632</v>
      </c>
      <c r="G12" s="176">
        <v>0.6</v>
      </c>
      <c r="H12" t="s">
        <v>11</v>
      </c>
      <c r="I12" t="s">
        <v>1216</v>
      </c>
    </row>
    <row r="13" spans="1:14">
      <c r="B13" s="6"/>
      <c r="F13" t="s">
        <v>1633</v>
      </c>
      <c r="G13" s="176">
        <v>0.75</v>
      </c>
      <c r="H13" t="s">
        <v>11</v>
      </c>
      <c r="I13" t="s">
        <v>1216</v>
      </c>
    </row>
    <row r="14" spans="1:14">
      <c r="B14" s="6"/>
      <c r="F14" t="s">
        <v>1634</v>
      </c>
      <c r="G14" s="207">
        <f>'Whitefield Monthly Projection'!$Q$34-'Whitefield Monthly Projection'!$Q$15*'Global Inputs'!$B$33</f>
        <v>1032.6130307632134</v>
      </c>
      <c r="H14" t="s">
        <v>20</v>
      </c>
      <c r="I14" t="s">
        <v>1236</v>
      </c>
    </row>
    <row r="15" spans="1:14">
      <c r="B15" s="6"/>
    </row>
    <row r="16" spans="1:14" ht="16">
      <c r="A16" s="198" t="s">
        <v>1635</v>
      </c>
      <c r="B16" s="199" t="s">
        <v>2</v>
      </c>
      <c r="C16" s="198" t="s">
        <v>3</v>
      </c>
      <c r="D16" s="198" t="s">
        <v>558</v>
      </c>
      <c r="F16" s="198" t="s">
        <v>1636</v>
      </c>
      <c r="G16" s="198" t="s">
        <v>1637</v>
      </c>
      <c r="H16" s="198" t="s">
        <v>1638</v>
      </c>
      <c r="I16" s="198" t="s">
        <v>1639</v>
      </c>
    </row>
    <row r="17" spans="1:10">
      <c r="A17" t="s">
        <v>1640</v>
      </c>
      <c r="B17" s="207">
        <f>G14</f>
        <v>1032.6130307632134</v>
      </c>
      <c r="C17" t="s">
        <v>1641</v>
      </c>
      <c r="D17" t="str">
        <f>IF(B17&gt;0,"GREEN","RED")</f>
        <v>GREEN</v>
      </c>
      <c r="F17" t="s">
        <v>1625</v>
      </c>
      <c r="G17" s="184">
        <f>G8</f>
        <v>0.4</v>
      </c>
      <c r="H17" s="152"/>
      <c r="I17" s="6" t="str">
        <f t="shared" ref="I17:I23" si="0">IF(H17="","",H17-G17)</f>
        <v/>
      </c>
    </row>
    <row r="18" spans="1:10">
      <c r="A18" t="s">
        <v>523</v>
      </c>
      <c r="B18" s="207">
        <f>G14*G5</f>
        <v>1548.9195461448201</v>
      </c>
      <c r="C18" t="s">
        <v>1641</v>
      </c>
      <c r="D18" t="str">
        <f>IF(B18&gt;B11,"GREEN","AMBER")</f>
        <v>GREEN</v>
      </c>
      <c r="F18" t="s">
        <v>1642</v>
      </c>
      <c r="G18" s="184">
        <f>G9</f>
        <v>0.35</v>
      </c>
      <c r="H18" s="152"/>
      <c r="I18" s="6" t="str">
        <f t="shared" si="0"/>
        <v/>
      </c>
    </row>
    <row r="19" spans="1:10">
      <c r="A19" t="s">
        <v>525</v>
      </c>
      <c r="B19" s="207">
        <f>G14*G6</f>
        <v>2581.5325769080337</v>
      </c>
      <c r="C19" t="s">
        <v>1641</v>
      </c>
      <c r="D19" t="str">
        <f>IF(B19&gt;B11*2,"GREEN","AMBER")</f>
        <v>GREEN</v>
      </c>
      <c r="F19" t="s">
        <v>1643</v>
      </c>
      <c r="G19" s="184">
        <f>G10</f>
        <v>0.25</v>
      </c>
      <c r="H19" s="152"/>
      <c r="I19" s="6" t="str">
        <f t="shared" si="0"/>
        <v/>
      </c>
    </row>
    <row r="20" spans="1:10">
      <c r="A20" t="s">
        <v>526</v>
      </c>
      <c r="B20" s="207">
        <f>G14*G7</f>
        <v>4130.4521230528535</v>
      </c>
      <c r="C20" t="s">
        <v>1641</v>
      </c>
      <c r="D20" t="str">
        <f>IF(B20&gt;B11*3,"GREEN","AMBER")</f>
        <v>GREEN</v>
      </c>
      <c r="F20" t="s">
        <v>1644</v>
      </c>
      <c r="G20" s="6">
        <v>1.4</v>
      </c>
      <c r="H20" s="152"/>
      <c r="I20" s="6" t="str">
        <f t="shared" si="0"/>
        <v/>
      </c>
    </row>
    <row r="21" spans="1:10">
      <c r="A21" t="s">
        <v>527</v>
      </c>
      <c r="B21" s="200">
        <f>IF(B11=0,0,B20/B11)</f>
        <v>20.19780989267899</v>
      </c>
      <c r="C21" t="s">
        <v>1645</v>
      </c>
      <c r="D21" t="str">
        <f>IF(B21&gt;=3,"GREEN",IF(B21&gt;=2,"AMBER","RED"))</f>
        <v>GREEN</v>
      </c>
      <c r="F21" t="s">
        <v>1631</v>
      </c>
      <c r="G21" s="6">
        <f>G11</f>
        <v>45</v>
      </c>
      <c r="H21" s="152"/>
      <c r="I21" s="6" t="str">
        <f t="shared" si="0"/>
        <v/>
      </c>
    </row>
    <row r="22" spans="1:10">
      <c r="A22" t="s">
        <v>1646</v>
      </c>
      <c r="B22" s="6">
        <f>IF(G14=0,0,B11/G14)</f>
        <v>0.19804127384374789</v>
      </c>
      <c r="C22" t="s">
        <v>1620</v>
      </c>
      <c r="D22" t="str">
        <f>IF(B22&lt;=1,"GREEN",IF(B22&lt;=2,"AMBER","RED"))</f>
        <v>GREEN</v>
      </c>
      <c r="F22" t="s">
        <v>1632</v>
      </c>
      <c r="G22" s="184">
        <f>G12</f>
        <v>0.6</v>
      </c>
      <c r="H22" s="152"/>
      <c r="I22" s="6" t="str">
        <f t="shared" si="0"/>
        <v/>
      </c>
    </row>
    <row r="23" spans="1:10">
      <c r="A23" t="s">
        <v>1647</v>
      </c>
      <c r="B23" s="6">
        <f>IF(B20=0,0,B11/(B20/12))</f>
        <v>0.59412382153124366</v>
      </c>
      <c r="C23" t="s">
        <v>1648</v>
      </c>
      <c r="D23" t="str">
        <f>IF(B23&lt;=3,"GREEN",IF(B23&lt;=6,"AMBER","RED"))</f>
        <v>GREEN</v>
      </c>
      <c r="F23" t="s">
        <v>1633</v>
      </c>
      <c r="G23" s="184">
        <f>G13</f>
        <v>0.75</v>
      </c>
      <c r="H23" s="152"/>
      <c r="I23" s="6" t="str">
        <f t="shared" si="0"/>
        <v/>
      </c>
    </row>
    <row r="24" spans="1:10">
      <c r="A24" t="s">
        <v>1649</v>
      </c>
      <c r="B24" s="207">
        <f>IF('Whitefield Monthly Projection'!$Q$19=0,0,'Whitefield Monthly Projection'!$V$17/'Whitefield Monthly Projection'!$Q$19)</f>
        <v>65.132059999999981</v>
      </c>
      <c r="C24" t="s">
        <v>20</v>
      </c>
      <c r="D24" t="str">
        <f>IF(B24/B17&lt;=0.05,"GREEN",IF(B24/B17&lt;=0.1,"AMBER","RED"))</f>
        <v>AMBER</v>
      </c>
    </row>
    <row r="25" spans="1:10">
      <c r="A25" t="s">
        <v>1650</v>
      </c>
      <c r="B25" s="207">
        <f>B17-B11</f>
        <v>828.11303076321337</v>
      </c>
      <c r="C25" t="s">
        <v>1641</v>
      </c>
      <c r="D25" t="str">
        <f>IF(B25&gt;0,"GREEN","RED")</f>
        <v>GREEN</v>
      </c>
    </row>
    <row r="29" spans="1:10" ht="15">
      <c r="A29" s="480" t="s">
        <v>1651</v>
      </c>
      <c r="B29" s="480"/>
      <c r="C29" s="480"/>
      <c r="D29" s="480"/>
      <c r="E29" s="480"/>
      <c r="F29" s="480"/>
      <c r="G29" s="480" t="s">
        <v>1652</v>
      </c>
      <c r="H29" s="480"/>
      <c r="I29" s="175"/>
      <c r="J29" s="175"/>
    </row>
    <row r="30" spans="1:10" ht="32">
      <c r="A30" s="198" t="s">
        <v>235</v>
      </c>
      <c r="B30" s="198" t="s">
        <v>1637</v>
      </c>
      <c r="C30" s="198" t="s">
        <v>1638</v>
      </c>
      <c r="D30" s="198" t="s">
        <v>1639</v>
      </c>
      <c r="E30" s="198" t="s">
        <v>1653</v>
      </c>
      <c r="G30" s="198" t="s">
        <v>1654</v>
      </c>
      <c r="H30" s="198" t="s">
        <v>1655</v>
      </c>
    </row>
    <row r="31" spans="1:10">
      <c r="A31" t="s">
        <v>236</v>
      </c>
      <c r="B31" s="6">
        <f>'Whitefield Monthly Projection'!$Q$19</f>
        <v>37.620000000000005</v>
      </c>
      <c r="C31" s="152"/>
      <c r="D31" s="6" t="str">
        <f t="shared" ref="D31:D38" si="1">IF(C31="","",C31-B31)</f>
        <v/>
      </c>
      <c r="E31" s="184" t="str">
        <f t="shared" ref="E31:E38" si="2">IF(OR(C31="",B31=0),"",(C31-B31)/ABS(B31))</f>
        <v/>
      </c>
      <c r="G31" t="s">
        <v>1638</v>
      </c>
      <c r="H31" t="s">
        <v>1656</v>
      </c>
    </row>
    <row r="32" spans="1:10">
      <c r="A32" t="s">
        <v>199</v>
      </c>
      <c r="B32" s="6">
        <f>'Whitefield Monthly Projection'!$Q$30</f>
        <v>69094.677355932217</v>
      </c>
      <c r="C32" s="152"/>
      <c r="D32" s="6" t="str">
        <f t="shared" si="1"/>
        <v/>
      </c>
      <c r="E32" s="184" t="str">
        <f t="shared" si="2"/>
        <v/>
      </c>
      <c r="G32" t="s">
        <v>1216</v>
      </c>
      <c r="H32" t="s">
        <v>1657</v>
      </c>
    </row>
    <row r="33" spans="1:12" ht="15">
      <c r="A33" t="s">
        <v>238</v>
      </c>
      <c r="B33" s="6">
        <f>'Whitefield Monthly Projection'!$Q$32</f>
        <v>56844.399258732206</v>
      </c>
      <c r="C33" s="152"/>
      <c r="D33" s="6" t="str">
        <f t="shared" si="1"/>
        <v/>
      </c>
      <c r="E33" s="184" t="str">
        <f t="shared" si="2"/>
        <v/>
      </c>
      <c r="G33" t="s">
        <v>1218</v>
      </c>
      <c r="H33" t="s">
        <v>1658</v>
      </c>
      <c r="K33" s="187" t="s">
        <v>1659</v>
      </c>
      <c r="L33" s="187" t="s">
        <v>976</v>
      </c>
    </row>
    <row r="34" spans="1:12">
      <c r="A34" t="s">
        <v>1630</v>
      </c>
      <c r="B34" s="6">
        <f>$B$11</f>
        <v>204.5</v>
      </c>
      <c r="C34" s="152"/>
      <c r="D34" s="6" t="str">
        <f t="shared" si="1"/>
        <v/>
      </c>
      <c r="E34" s="184" t="str">
        <f t="shared" si="2"/>
        <v/>
      </c>
      <c r="G34" t="s">
        <v>1236</v>
      </c>
      <c r="H34" t="s">
        <v>1660</v>
      </c>
      <c r="K34" t="s">
        <v>1630</v>
      </c>
      <c r="L34" s="207">
        <f>$B$11</f>
        <v>204.5</v>
      </c>
    </row>
    <row r="35" spans="1:12">
      <c r="A35" t="s">
        <v>1625</v>
      </c>
      <c r="B35" s="6">
        <f>$G$8</f>
        <v>0.4</v>
      </c>
      <c r="C35" s="152"/>
      <c r="D35" s="6" t="str">
        <f t="shared" si="1"/>
        <v/>
      </c>
      <c r="E35" s="184" t="str">
        <f t="shared" si="2"/>
        <v/>
      </c>
      <c r="K35" t="s">
        <v>1661</v>
      </c>
      <c r="L35" s="207">
        <f>$B$18</f>
        <v>1548.9195461448201</v>
      </c>
    </row>
    <row r="36" spans="1:12">
      <c r="A36" t="s">
        <v>314</v>
      </c>
      <c r="B36" s="6">
        <f>'Whitefield Monthly Projection'!$Q$21</f>
        <v>0.18104625000000002</v>
      </c>
      <c r="C36" s="152"/>
      <c r="D36" s="6" t="str">
        <f t="shared" si="1"/>
        <v/>
      </c>
      <c r="E36" s="184" t="str">
        <f t="shared" si="2"/>
        <v/>
      </c>
      <c r="K36" t="s">
        <v>1662</v>
      </c>
      <c r="L36" s="207">
        <f>$B$20</f>
        <v>4130.4521230528535</v>
      </c>
    </row>
    <row r="37" spans="1:12">
      <c r="A37" t="s">
        <v>1663</v>
      </c>
      <c r="B37" s="6">
        <f>'Whitefield Monthly Projection'!$Q$36</f>
        <v>138000</v>
      </c>
      <c r="C37" s="152"/>
      <c r="D37" s="6" t="str">
        <f t="shared" si="1"/>
        <v/>
      </c>
      <c r="E37" s="184" t="str">
        <f t="shared" si="2"/>
        <v/>
      </c>
    </row>
    <row r="38" spans="1:12">
      <c r="A38" t="s">
        <v>1664</v>
      </c>
      <c r="B38" s="6">
        <f>'Whitefield Monthly Projection'!$Q$37</f>
        <v>-81155.600741267786</v>
      </c>
      <c r="C38" s="152"/>
      <c r="D38" s="6" t="str">
        <f t="shared" si="1"/>
        <v/>
      </c>
      <c r="E38" s="184" t="str">
        <f t="shared" si="2"/>
        <v/>
      </c>
    </row>
  </sheetData>
  <mergeCells count="3">
    <mergeCell ref="A1:N1"/>
    <mergeCell ref="A2:N2"/>
    <mergeCell ref="A29:H29"/>
  </mergeCells>
  <conditionalFormatting sqref="D17:D25">
    <cfRule type="expression" dxfId="43" priority="1">
      <formula>D17="GREEN"</formula>
    </cfRule>
    <cfRule type="expression" dxfId="42" priority="2">
      <formula>D17="AMBER"</formula>
    </cfRule>
    <cfRule type="expression" dxfId="41" priority="3">
      <formula>D17="RED"</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47"/>
  <sheetViews>
    <sheetView workbookViewId="0">
      <selection sqref="A1:Q1"/>
    </sheetView>
  </sheetViews>
  <sheetFormatPr baseColWidth="10" defaultColWidth="8.83203125" defaultRowHeight="14"/>
  <cols>
    <col min="1" max="1" width="38" customWidth="1"/>
    <col min="2" max="2" width="12" customWidth="1"/>
    <col min="3" max="3" width="46" customWidth="1"/>
    <col min="4" max="4" width="14" customWidth="1"/>
    <col min="5" max="5" width="20" customWidth="1"/>
    <col min="6" max="6" width="18" customWidth="1"/>
    <col min="8" max="8" width="38" customWidth="1"/>
    <col min="9" max="10" width="16" customWidth="1"/>
    <col min="11" max="12" width="18" customWidth="1"/>
    <col min="13" max="13" width="14" customWidth="1"/>
    <col min="14" max="14" width="18" customWidth="1"/>
    <col min="15" max="16" width="16" customWidth="1"/>
    <col min="17" max="17" width="24" customWidth="1"/>
  </cols>
  <sheetData>
    <row r="1" spans="1:17" ht="15">
      <c r="A1" s="482" t="s">
        <v>1665</v>
      </c>
      <c r="B1" s="482"/>
      <c r="C1" s="482"/>
      <c r="D1" s="482"/>
      <c r="E1" s="482"/>
      <c r="F1" s="482"/>
      <c r="G1" s="482"/>
      <c r="H1" s="482"/>
      <c r="I1" s="482"/>
      <c r="J1" s="482"/>
      <c r="K1" s="482"/>
      <c r="L1" s="482"/>
      <c r="M1" s="482"/>
      <c r="N1" s="482"/>
      <c r="O1" s="482"/>
      <c r="P1" s="482"/>
      <c r="Q1" s="482"/>
    </row>
    <row r="2" spans="1:17" ht="15">
      <c r="A2" s="425" t="s">
        <v>1666</v>
      </c>
      <c r="B2" s="425"/>
      <c r="C2" s="425"/>
      <c r="D2" s="425"/>
      <c r="E2" s="425"/>
      <c r="F2" s="425"/>
      <c r="G2" s="425"/>
      <c r="H2" s="425"/>
      <c r="I2" s="425"/>
      <c r="J2" s="425"/>
      <c r="K2" s="425"/>
      <c r="L2" s="425"/>
      <c r="M2" s="425"/>
      <c r="N2" s="425"/>
      <c r="O2" s="425"/>
      <c r="P2" s="425"/>
      <c r="Q2" s="425"/>
    </row>
    <row r="4" spans="1:17" ht="32">
      <c r="A4" s="198" t="s">
        <v>1667</v>
      </c>
      <c r="B4" s="198" t="s">
        <v>1668</v>
      </c>
      <c r="C4" s="198" t="s">
        <v>1669</v>
      </c>
      <c r="D4" s="198" t="s">
        <v>1670</v>
      </c>
      <c r="E4" s="198" t="s">
        <v>39</v>
      </c>
      <c r="F4" s="198" t="s">
        <v>1213</v>
      </c>
      <c r="H4" s="198" t="s">
        <v>38</v>
      </c>
      <c r="I4" s="198" t="s">
        <v>274</v>
      </c>
      <c r="J4" s="198" t="s">
        <v>1671</v>
      </c>
      <c r="K4" s="198" t="s">
        <v>1672</v>
      </c>
      <c r="L4" s="198" t="s">
        <v>1673</v>
      </c>
      <c r="M4" s="198" t="s">
        <v>1674</v>
      </c>
      <c r="N4" s="198" t="s">
        <v>280</v>
      </c>
      <c r="O4" s="198" t="s">
        <v>1675</v>
      </c>
      <c r="P4" s="198" t="s">
        <v>1332</v>
      </c>
      <c r="Q4" s="198" t="s">
        <v>1264</v>
      </c>
    </row>
    <row r="5" spans="1:17">
      <c r="A5" t="s">
        <v>59</v>
      </c>
      <c r="B5" s="196">
        <f>'Service Economics'!D5</f>
        <v>1</v>
      </c>
      <c r="C5" t="s">
        <v>1274</v>
      </c>
      <c r="D5">
        <f>'Service Economics'!C5</f>
        <v>4</v>
      </c>
      <c r="E5" t="str">
        <f>'Service Economics'!B5</f>
        <v>Medical Visit</v>
      </c>
      <c r="F5" t="s">
        <v>1216</v>
      </c>
      <c r="H5" s="6" t="str">
        <f>'Service Economics'!A5</f>
        <v>Hospital Visit</v>
      </c>
      <c r="I5" s="207">
        <f>'Service Economics'!K5</f>
        <v>1395</v>
      </c>
      <c r="J5" s="207">
        <f>'Service Economics'!L5</f>
        <v>1182.2033898305085</v>
      </c>
      <c r="K5" s="207">
        <f>'Service Economics'!R5</f>
        <v>1076.8783898305085</v>
      </c>
      <c r="L5" s="207">
        <f>'Service Economics'!AL5</f>
        <v>662.67720639855588</v>
      </c>
      <c r="M5" s="184">
        <f>'Service Economics'!AM5</f>
        <v>0.5605441602511082</v>
      </c>
      <c r="N5" s="207">
        <f>'Service Economics'!AP5</f>
        <v>165.66930159963897</v>
      </c>
      <c r="O5" s="6">
        <f>'Service Economics'!AQ5</f>
        <v>5</v>
      </c>
      <c r="P5" s="6" t="str">
        <f t="shared" ref="P5:P34" si="0">IF(AND(N5&gt;=MEDIAN($N$5:$N$34),O5&gt;=4),"SCALE",IF(AND(N5&gt;=MEDIAN($N$5:$N$34),O5&lt;4),"RETAIN",IF(AND(N5&lt;MEDIAN($N$5:$N$34),O5&gt;=4),"OPTIMIZE","REVIEW")))</f>
        <v>SCALE</v>
      </c>
      <c r="Q5" s="6" t="str">
        <f>'Service Economics'!AH5</f>
        <v>AUTO</v>
      </c>
    </row>
    <row r="6" spans="1:17">
      <c r="A6" t="s">
        <v>1088</v>
      </c>
      <c r="B6" s="196">
        <f>'Service Economics'!D6</f>
        <v>0.8</v>
      </c>
      <c r="C6" t="s">
        <v>1275</v>
      </c>
      <c r="D6">
        <f>'Service Economics'!C6</f>
        <v>3</v>
      </c>
      <c r="E6" t="str">
        <f>'Service Economics'!B6</f>
        <v>Medical Visit</v>
      </c>
      <c r="F6" t="s">
        <v>1216</v>
      </c>
      <c r="H6" s="6" t="str">
        <f>'Service Economics'!A6</f>
        <v>Hospital Visit — Concierge at Hospital</v>
      </c>
      <c r="I6" s="207">
        <f>'Service Economics'!K6</f>
        <v>916.6</v>
      </c>
      <c r="J6" s="207">
        <f>'Service Economics'!L6</f>
        <v>776.77966101694926</v>
      </c>
      <c r="K6" s="207">
        <f>'Service Economics'!R6</f>
        <v>688.19866101694925</v>
      </c>
      <c r="L6" s="207">
        <f>'Service Economics'!AL6</f>
        <v>377.54777344298475</v>
      </c>
      <c r="M6" s="184">
        <f>'Service Economics'!AM6</f>
        <v>0.48604230052664404</v>
      </c>
      <c r="N6" s="207">
        <f>'Service Economics'!AP6</f>
        <v>125.84925781432825</v>
      </c>
      <c r="O6" s="6">
        <f>'Service Economics'!AQ6</f>
        <v>4</v>
      </c>
      <c r="P6" s="6" t="str">
        <f t="shared" si="0"/>
        <v>OPTIMIZE</v>
      </c>
      <c r="Q6" s="6" t="str">
        <f>'Service Economics'!AH6</f>
        <v>AUTO</v>
      </c>
    </row>
    <row r="7" spans="1:17">
      <c r="A7" t="s">
        <v>61</v>
      </c>
      <c r="B7" s="196">
        <f>'Service Economics'!D7</f>
        <v>0.9</v>
      </c>
      <c r="C7" t="s">
        <v>1276</v>
      </c>
      <c r="D7">
        <f>'Service Economics'!C7</f>
        <v>2</v>
      </c>
      <c r="E7" t="str">
        <f>'Service Economics'!B7</f>
        <v>Medical Visit</v>
      </c>
      <c r="F7" t="s">
        <v>1216</v>
      </c>
      <c r="H7" s="6" t="str">
        <f>'Service Economics'!A7</f>
        <v>Clinic Visit</v>
      </c>
      <c r="I7" s="207">
        <f>'Service Economics'!K7</f>
        <v>737.2</v>
      </c>
      <c r="J7" s="207">
        <f>'Service Economics'!L7</f>
        <v>624.74576271186447</v>
      </c>
      <c r="K7" s="207">
        <f>'Service Economics'!R7</f>
        <v>542.44376271186445</v>
      </c>
      <c r="L7" s="207">
        <f>'Service Economics'!AL7</f>
        <v>335.34317099588816</v>
      </c>
      <c r="M7" s="184">
        <f>'Service Economics'!AM7</f>
        <v>0.53676741966243624</v>
      </c>
      <c r="N7" s="207">
        <f>'Service Economics'!AP7</f>
        <v>167.67158549794408</v>
      </c>
      <c r="O7" s="6">
        <f>'Service Economics'!AQ7</f>
        <v>4</v>
      </c>
      <c r="P7" s="6" t="str">
        <f t="shared" si="0"/>
        <v>SCALE</v>
      </c>
      <c r="Q7" s="6" t="str">
        <f>'Service Economics'!AH7</f>
        <v>AUTO</v>
      </c>
    </row>
    <row r="8" spans="1:17">
      <c r="A8" t="s">
        <v>62</v>
      </c>
      <c r="B8" s="196">
        <f>'Service Economics'!D8</f>
        <v>0.85</v>
      </c>
      <c r="C8" t="s">
        <v>1277</v>
      </c>
      <c r="D8">
        <f>'Service Economics'!C8</f>
        <v>3</v>
      </c>
      <c r="E8" t="str">
        <f>'Service Economics'!B8</f>
        <v>Medical Visit</v>
      </c>
      <c r="F8" t="s">
        <v>1216</v>
      </c>
      <c r="H8" s="6" t="str">
        <f>'Service Economics'!A8</f>
        <v>Diagnostic Center Visit</v>
      </c>
      <c r="I8" s="207">
        <f>'Service Economics'!K8</f>
        <v>961.44999999999993</v>
      </c>
      <c r="J8" s="207">
        <f>'Service Economics'!L8</f>
        <v>814.78813559322032</v>
      </c>
      <c r="K8" s="207">
        <f>'Service Economics'!R8</f>
        <v>724.6373855932203</v>
      </c>
      <c r="L8" s="207">
        <f>'Service Economics'!AL8</f>
        <v>413.98649801925581</v>
      </c>
      <c r="M8" s="184">
        <f>'Service Economics'!AM8</f>
        <v>0.50809097473890674</v>
      </c>
      <c r="N8" s="207">
        <f>'Service Economics'!AP8</f>
        <v>137.99549933975194</v>
      </c>
      <c r="O8" s="6">
        <f>'Service Economics'!AQ8</f>
        <v>4</v>
      </c>
      <c r="P8" s="6" t="str">
        <f t="shared" si="0"/>
        <v>OPTIMIZE</v>
      </c>
      <c r="Q8" s="6" t="str">
        <f>'Service Economics'!AH8</f>
        <v>AUTO</v>
      </c>
    </row>
    <row r="9" spans="1:17">
      <c r="A9" t="s">
        <v>63</v>
      </c>
      <c r="B9" s="196">
        <f>'Service Economics'!D9</f>
        <v>0.9</v>
      </c>
      <c r="C9" t="s">
        <v>1278</v>
      </c>
      <c r="D9">
        <f>'Service Economics'!C9</f>
        <v>5</v>
      </c>
      <c r="E9" t="str">
        <f>'Service Economics'!B9</f>
        <v>Medical Visit</v>
      </c>
      <c r="F9" t="s">
        <v>1216</v>
      </c>
      <c r="H9" s="6" t="str">
        <f>'Service Economics'!A9</f>
        <v>Health Check-up Concierge</v>
      </c>
      <c r="I9" s="207">
        <f>'Service Economics'!K9</f>
        <v>1544.5</v>
      </c>
      <c r="J9" s="207">
        <f>'Service Economics'!L9</f>
        <v>1308.8983050847457</v>
      </c>
      <c r="K9" s="207">
        <f>'Service Economics'!R9</f>
        <v>1198.3408050847456</v>
      </c>
      <c r="L9" s="207">
        <f>'Service Economics'!AL9</f>
        <v>680.58932579480484</v>
      </c>
      <c r="M9" s="184">
        <f>'Service Economics'!AM9</f>
        <v>0.51997112621422448</v>
      </c>
      <c r="N9" s="207">
        <f>'Service Economics'!AP9</f>
        <v>136.11786515896097</v>
      </c>
      <c r="O9" s="6">
        <f>'Service Economics'!AQ9</f>
        <v>3</v>
      </c>
      <c r="P9" s="6" t="str">
        <f t="shared" si="0"/>
        <v>REVIEW</v>
      </c>
      <c r="Q9" s="6" t="str">
        <f>'Service Economics'!AH9</f>
        <v>AUTO</v>
      </c>
    </row>
    <row r="10" spans="1:17">
      <c r="A10" t="s">
        <v>64</v>
      </c>
      <c r="B10" s="196">
        <f>'Service Economics'!D10</f>
        <v>1.1499999999999999</v>
      </c>
      <c r="C10" t="s">
        <v>1279</v>
      </c>
      <c r="D10">
        <f>'Service Economics'!C10</f>
        <v>4</v>
      </c>
      <c r="E10" t="str">
        <f>'Service Economics'!B10</f>
        <v>Hospital Support</v>
      </c>
      <c r="F10" t="s">
        <v>1216</v>
      </c>
      <c r="H10" s="6" t="str">
        <f>'Service Economics'!A10</f>
        <v>Hospital Admission Concierge</v>
      </c>
      <c r="I10" s="207">
        <f>'Service Economics'!K10</f>
        <v>1574.3999999999999</v>
      </c>
      <c r="J10" s="207">
        <f>'Service Economics'!L10</f>
        <v>1334.2372881355932</v>
      </c>
      <c r="K10" s="207">
        <f>'Service Economics'!R10</f>
        <v>1222.6332881355931</v>
      </c>
      <c r="L10" s="207">
        <f>'Service Economics'!AL10</f>
        <v>808.43210470364056</v>
      </c>
      <c r="M10" s="184">
        <f>'Service Economics'!AM10</f>
        <v>0.60591328985664117</v>
      </c>
      <c r="N10" s="207">
        <f>'Service Economics'!AP10</f>
        <v>202.10802617591014</v>
      </c>
      <c r="O10" s="6">
        <f>'Service Economics'!AQ10</f>
        <v>3</v>
      </c>
      <c r="P10" s="6" t="str">
        <f t="shared" si="0"/>
        <v>RETAIN</v>
      </c>
      <c r="Q10" s="6" t="str">
        <f>'Service Economics'!AH10</f>
        <v>AUTO</v>
      </c>
    </row>
    <row r="11" spans="1:17">
      <c r="A11" t="s">
        <v>66</v>
      </c>
      <c r="B11" s="196">
        <f>'Service Economics'!D11</f>
        <v>1.1000000000000001</v>
      </c>
      <c r="C11" t="s">
        <v>1280</v>
      </c>
      <c r="D11">
        <f>'Service Economics'!C11</f>
        <v>4</v>
      </c>
      <c r="E11" t="str">
        <f>'Service Economics'!B11</f>
        <v>Hospital Support</v>
      </c>
      <c r="F11" t="s">
        <v>1216</v>
      </c>
      <c r="H11" s="6" t="str">
        <f>'Service Economics'!A11</f>
        <v>Hospital Discharge Concierge</v>
      </c>
      <c r="I11" s="207">
        <f>'Service Economics'!K11</f>
        <v>1514.6000000000001</v>
      </c>
      <c r="J11" s="207">
        <f>'Service Economics'!L11</f>
        <v>1283.5593220338985</v>
      </c>
      <c r="K11" s="207">
        <f>'Service Economics'!R11</f>
        <v>1174.0483220338986</v>
      </c>
      <c r="L11" s="207">
        <f>'Service Economics'!AL11</f>
        <v>759.84713860194597</v>
      </c>
      <c r="M11" s="184">
        <f>'Service Economics'!AM11</f>
        <v>0.59198443387712674</v>
      </c>
      <c r="N11" s="207">
        <f>'Service Economics'!AP11</f>
        <v>189.96178465048649</v>
      </c>
      <c r="O11" s="6">
        <f>'Service Economics'!AQ11</f>
        <v>3</v>
      </c>
      <c r="P11" s="6" t="str">
        <f t="shared" si="0"/>
        <v>RETAIN</v>
      </c>
      <c r="Q11" s="6" t="str">
        <f>'Service Economics'!AH11</f>
        <v>AUTO</v>
      </c>
    </row>
    <row r="12" spans="1:17">
      <c r="A12" t="s">
        <v>67</v>
      </c>
      <c r="B12" s="196">
        <f>'Service Economics'!D12</f>
        <v>0.85</v>
      </c>
      <c r="C12" t="s">
        <v>1281</v>
      </c>
      <c r="D12">
        <f>'Service Economics'!C12</f>
        <v>12</v>
      </c>
      <c r="E12" t="str">
        <f>'Service Economics'!B12</f>
        <v>Hospital Support</v>
      </c>
      <c r="F12" t="s">
        <v>1216</v>
      </c>
      <c r="H12" s="6" t="str">
        <f>'Service Economics'!A12</f>
        <v>Overnight Hospital Concierge</v>
      </c>
      <c r="I12" s="207">
        <f>'Service Economics'!K12</f>
        <v>3547.7999999999997</v>
      </c>
      <c r="J12" s="207">
        <f>'Service Economics'!L12</f>
        <v>3006.6101694915255</v>
      </c>
      <c r="K12" s="207">
        <f>'Service Economics'!R12</f>
        <v>2825.9371694915253</v>
      </c>
      <c r="L12" s="207">
        <f>'Service Economics'!AL12</f>
        <v>1583.3336191956673</v>
      </c>
      <c r="M12" s="184">
        <f>'Service Economics'!AM12</f>
        <v>0.52661752935647088</v>
      </c>
      <c r="N12" s="207">
        <f>'Service Economics'!AP12</f>
        <v>131.94446826630562</v>
      </c>
      <c r="O12" s="6">
        <f>'Service Economics'!AQ12</f>
        <v>2</v>
      </c>
      <c r="P12" s="6" t="str">
        <f t="shared" si="0"/>
        <v>REVIEW</v>
      </c>
      <c r="Q12" s="6" t="str">
        <f>'Service Economics'!AH12</f>
        <v>MANUAL</v>
      </c>
    </row>
    <row r="13" spans="1:17">
      <c r="A13" t="s">
        <v>68</v>
      </c>
      <c r="B13" s="196">
        <f>'Service Economics'!D13</f>
        <v>0.85</v>
      </c>
      <c r="C13" t="s">
        <v>1282</v>
      </c>
      <c r="D13">
        <f>'Service Economics'!C13</f>
        <v>12</v>
      </c>
      <c r="E13" t="str">
        <f>'Service Economics'!B13</f>
        <v>Hospital Support</v>
      </c>
      <c r="F13" t="s">
        <v>1216</v>
      </c>
      <c r="H13" s="6" t="str">
        <f>'Service Economics'!A13</f>
        <v>Multi-Day Hospital Concierge (per 12h shift)</v>
      </c>
      <c r="I13" s="207">
        <f>'Service Economics'!K13</f>
        <v>3547.7999999999997</v>
      </c>
      <c r="J13" s="207">
        <f>'Service Economics'!L13</f>
        <v>3006.6101694915255</v>
      </c>
      <c r="K13" s="207">
        <f>'Service Economics'!R13</f>
        <v>2825.9371694915253</v>
      </c>
      <c r="L13" s="207">
        <f>'Service Economics'!AL13</f>
        <v>1583.3336191956673</v>
      </c>
      <c r="M13" s="184">
        <f>'Service Economics'!AM13</f>
        <v>0.52661752935647088</v>
      </c>
      <c r="N13" s="207">
        <f>'Service Economics'!AP13</f>
        <v>131.94446826630562</v>
      </c>
      <c r="O13" s="6">
        <f>'Service Economics'!AQ13</f>
        <v>2</v>
      </c>
      <c r="P13" s="6" t="str">
        <f t="shared" si="0"/>
        <v>REVIEW</v>
      </c>
      <c r="Q13" s="6" t="str">
        <f>'Service Economics'!AH13</f>
        <v>MANUAL</v>
      </c>
    </row>
    <row r="14" spans="1:17">
      <c r="A14" t="s">
        <v>69</v>
      </c>
      <c r="B14" s="196">
        <f>'Service Economics'!D14</f>
        <v>1.2</v>
      </c>
      <c r="C14" t="s">
        <v>1283</v>
      </c>
      <c r="D14">
        <f>'Service Economics'!C14</f>
        <v>6</v>
      </c>
      <c r="E14" t="str">
        <f>'Service Economics'!B14</f>
        <v>Procedure &amp; Treatment</v>
      </c>
      <c r="F14" t="s">
        <v>1216</v>
      </c>
      <c r="H14" s="6" t="str">
        <f>'Service Economics'!A14</f>
        <v>Day Surgery / Procedure Concierge</v>
      </c>
      <c r="I14" s="207">
        <f>'Service Economics'!K14</f>
        <v>2351.7999999999997</v>
      </c>
      <c r="J14" s="207">
        <f>'Service Economics'!L14</f>
        <v>1993.050847457627</v>
      </c>
      <c r="K14" s="207">
        <f>'Service Economics'!R14</f>
        <v>1854.2378474576271</v>
      </c>
      <c r="L14" s="207">
        <f>'Service Economics'!AL14</f>
        <v>1232.9360723096981</v>
      </c>
      <c r="M14" s="184">
        <f>'Service Economics'!AM14</f>
        <v>0.61861746973613563</v>
      </c>
      <c r="N14" s="207">
        <f>'Service Economics'!AP14</f>
        <v>205.4893453849497</v>
      </c>
      <c r="O14" s="6">
        <f>'Service Economics'!AQ14</f>
        <v>3</v>
      </c>
      <c r="P14" s="6" t="str">
        <f t="shared" si="0"/>
        <v>RETAIN</v>
      </c>
      <c r="Q14" s="6" t="str">
        <f>'Service Economics'!AH14</f>
        <v>AUTO</v>
      </c>
    </row>
    <row r="15" spans="1:17">
      <c r="A15" t="s">
        <v>71</v>
      </c>
      <c r="B15" s="196">
        <f>'Service Economics'!D15</f>
        <v>1.1000000000000001</v>
      </c>
      <c r="C15" t="s">
        <v>1284</v>
      </c>
      <c r="D15">
        <f>'Service Economics'!C15</f>
        <v>4</v>
      </c>
      <c r="E15" t="str">
        <f>'Service Economics'!B15</f>
        <v>Procedure &amp; Treatment</v>
      </c>
      <c r="F15" t="s">
        <v>1216</v>
      </c>
      <c r="H15" s="6" t="str">
        <f>'Service Economics'!A15</f>
        <v>Pre-Surgery Concierge</v>
      </c>
      <c r="I15" s="207">
        <f>'Service Economics'!K15</f>
        <v>1514.6000000000001</v>
      </c>
      <c r="J15" s="207">
        <f>'Service Economics'!L15</f>
        <v>1283.5593220338985</v>
      </c>
      <c r="K15" s="207">
        <f>'Service Economics'!R15</f>
        <v>1174.0483220338986</v>
      </c>
      <c r="L15" s="207">
        <f>'Service Economics'!AL15</f>
        <v>759.84713860194597</v>
      </c>
      <c r="M15" s="184">
        <f>'Service Economics'!AM15</f>
        <v>0.59198443387712674</v>
      </c>
      <c r="N15" s="207">
        <f>'Service Economics'!AP15</f>
        <v>189.96178465048649</v>
      </c>
      <c r="O15" s="6">
        <f>'Service Economics'!AQ15</f>
        <v>2</v>
      </c>
      <c r="P15" s="6" t="str">
        <f t="shared" si="0"/>
        <v>RETAIN</v>
      </c>
      <c r="Q15" s="6" t="str">
        <f>'Service Economics'!AH15</f>
        <v>AUTO</v>
      </c>
    </row>
    <row r="16" spans="1:17">
      <c r="A16" t="s">
        <v>72</v>
      </c>
      <c r="B16" s="196">
        <f>'Service Economics'!D16</f>
        <v>1</v>
      </c>
      <c r="C16" t="s">
        <v>1285</v>
      </c>
      <c r="D16">
        <f>'Service Economics'!C16</f>
        <v>3</v>
      </c>
      <c r="E16" t="str">
        <f>'Service Economics'!B16</f>
        <v>Procedure &amp; Treatment</v>
      </c>
      <c r="F16" t="s">
        <v>1216</v>
      </c>
      <c r="H16" s="6" t="str">
        <f>'Service Economics'!A16</f>
        <v>Post-Surgery Follow-up</v>
      </c>
      <c r="I16" s="207">
        <f>'Service Economics'!K16</f>
        <v>1096</v>
      </c>
      <c r="J16" s="207">
        <f>'Service Economics'!L16</f>
        <v>928.81355932203394</v>
      </c>
      <c r="K16" s="207">
        <f>'Service Economics'!R16</f>
        <v>833.95355932203393</v>
      </c>
      <c r="L16" s="207">
        <f>'Service Economics'!AL16</f>
        <v>523.30267174806943</v>
      </c>
      <c r="M16" s="184">
        <f>'Service Economics'!AM16</f>
        <v>0.56340981082365138</v>
      </c>
      <c r="N16" s="207">
        <f>'Service Economics'!AP16</f>
        <v>174.43422391602314</v>
      </c>
      <c r="O16" s="6">
        <f>'Service Economics'!AQ16</f>
        <v>3</v>
      </c>
      <c r="P16" s="6" t="str">
        <f t="shared" si="0"/>
        <v>RETAIN</v>
      </c>
      <c r="Q16" s="6" t="str">
        <f>'Service Economics'!AH16</f>
        <v>AUTO</v>
      </c>
    </row>
    <row r="17" spans="1:17">
      <c r="A17" t="s">
        <v>73</v>
      </c>
      <c r="B17" s="196">
        <f>'Service Economics'!D17</f>
        <v>0.9</v>
      </c>
      <c r="C17" t="s">
        <v>1286</v>
      </c>
      <c r="D17">
        <f>'Service Economics'!C17</f>
        <v>5</v>
      </c>
      <c r="E17" t="str">
        <f>'Service Economics'!B17</f>
        <v>Recurring Treatment</v>
      </c>
      <c r="F17" t="s">
        <v>1216</v>
      </c>
      <c r="H17" s="6" t="str">
        <f>'Service Economics'!A17</f>
        <v>Dialysis Visit Concierge</v>
      </c>
      <c r="I17" s="207">
        <f>'Service Economics'!K17</f>
        <v>1544.5</v>
      </c>
      <c r="J17" s="207">
        <f>'Service Economics'!L17</f>
        <v>1308.8983050847457</v>
      </c>
      <c r="K17" s="207">
        <f>'Service Economics'!R17</f>
        <v>1198.3408050847456</v>
      </c>
      <c r="L17" s="207">
        <f>'Service Economics'!AL17</f>
        <v>680.58932579480484</v>
      </c>
      <c r="M17" s="184">
        <f>'Service Economics'!AM17</f>
        <v>0.51997112621422448</v>
      </c>
      <c r="N17" s="207">
        <f>'Service Economics'!AP17</f>
        <v>136.11786515896097</v>
      </c>
      <c r="O17" s="6">
        <f>'Service Economics'!AQ17</f>
        <v>5</v>
      </c>
      <c r="P17" s="6" t="str">
        <f t="shared" si="0"/>
        <v>OPTIMIZE</v>
      </c>
      <c r="Q17" s="6" t="str">
        <f>'Service Economics'!AH17</f>
        <v>AUTO</v>
      </c>
    </row>
    <row r="18" spans="1:17">
      <c r="A18" t="s">
        <v>75</v>
      </c>
      <c r="B18" s="196">
        <f>'Service Economics'!D18</f>
        <v>1</v>
      </c>
      <c r="C18" t="s">
        <v>1287</v>
      </c>
      <c r="D18">
        <f>'Service Economics'!C18</f>
        <v>6</v>
      </c>
      <c r="E18" t="str">
        <f>'Service Economics'!B18</f>
        <v>Recurring Treatment</v>
      </c>
      <c r="F18" t="s">
        <v>1216</v>
      </c>
      <c r="H18" s="6" t="str">
        <f>'Service Economics'!A18</f>
        <v>Chemotherapy Visit Concierge</v>
      </c>
      <c r="I18" s="207">
        <f>'Service Economics'!K18</f>
        <v>1993</v>
      </c>
      <c r="J18" s="207">
        <f>'Service Economics'!L18</f>
        <v>1688.9830508474577</v>
      </c>
      <c r="K18" s="207">
        <f>'Service Economics'!R18</f>
        <v>1562.7280508474578</v>
      </c>
      <c r="L18" s="207">
        <f>'Service Economics'!AL18</f>
        <v>941.42627569952879</v>
      </c>
      <c r="M18" s="184">
        <f>'Service Economics'!AM18</f>
        <v>0.55739237597864721</v>
      </c>
      <c r="N18" s="207">
        <f>'Service Economics'!AP18</f>
        <v>156.9043792832548</v>
      </c>
      <c r="O18" s="6">
        <f>'Service Economics'!AQ18</f>
        <v>5</v>
      </c>
      <c r="P18" s="6" t="str">
        <f t="shared" si="0"/>
        <v>OPTIMIZE</v>
      </c>
      <c r="Q18" s="6" t="str">
        <f>'Service Economics'!AH18</f>
        <v>AUTO</v>
      </c>
    </row>
    <row r="19" spans="1:17">
      <c r="A19" t="s">
        <v>76</v>
      </c>
      <c r="B19" s="196">
        <f>'Service Economics'!D19</f>
        <v>0.95</v>
      </c>
      <c r="C19" t="s">
        <v>1288</v>
      </c>
      <c r="D19">
        <f>'Service Economics'!C19</f>
        <v>3</v>
      </c>
      <c r="E19" t="str">
        <f>'Service Economics'!B19</f>
        <v>Recurring Treatment</v>
      </c>
      <c r="F19" t="s">
        <v>1216</v>
      </c>
      <c r="H19" s="6" t="str">
        <f>'Service Economics'!A19</f>
        <v>Radiation Therapy Concierge</v>
      </c>
      <c r="I19" s="207">
        <f>'Service Economics'!K19</f>
        <v>1051.1500000000001</v>
      </c>
      <c r="J19" s="207">
        <f>'Service Economics'!L19</f>
        <v>890.80508474576288</v>
      </c>
      <c r="K19" s="207">
        <f>'Service Economics'!R19</f>
        <v>797.51483474576287</v>
      </c>
      <c r="L19" s="207">
        <f>'Service Economics'!AL19</f>
        <v>486.86394717179837</v>
      </c>
      <c r="M19" s="184">
        <f>'Service Economics'!AM19</f>
        <v>0.54654374510081527</v>
      </c>
      <c r="N19" s="207">
        <f>'Service Economics'!AP19</f>
        <v>162.28798239059947</v>
      </c>
      <c r="O19" s="6">
        <f>'Service Economics'!AQ19</f>
        <v>5</v>
      </c>
      <c r="P19" s="6" t="str">
        <f t="shared" si="0"/>
        <v>SCALE</v>
      </c>
      <c r="Q19" s="6" t="str">
        <f>'Service Economics'!AH19</f>
        <v>AUTO</v>
      </c>
    </row>
    <row r="20" spans="1:17">
      <c r="A20" t="s">
        <v>77</v>
      </c>
      <c r="B20" s="196">
        <f>'Service Economics'!D20</f>
        <v>0.85</v>
      </c>
      <c r="C20" t="s">
        <v>1289</v>
      </c>
      <c r="D20">
        <f>'Service Economics'!C20</f>
        <v>2</v>
      </c>
      <c r="E20" t="str">
        <f>'Service Economics'!B20</f>
        <v>Recurring Treatment</v>
      </c>
      <c r="F20" t="s">
        <v>1216</v>
      </c>
      <c r="H20" s="6" t="str">
        <f>'Service Economics'!A20</f>
        <v>Physiotherapy / Rehab Visit</v>
      </c>
      <c r="I20" s="207">
        <f>'Service Economics'!K20</f>
        <v>707.3</v>
      </c>
      <c r="J20" s="207">
        <f>'Service Economics'!L20</f>
        <v>599.40677966101691</v>
      </c>
      <c r="K20" s="207">
        <f>'Service Economics'!R20</f>
        <v>518.15127966101693</v>
      </c>
      <c r="L20" s="207">
        <f>'Service Economics'!AL20</f>
        <v>311.05068794504064</v>
      </c>
      <c r="M20" s="184">
        <f>'Service Economics'!AM20</f>
        <v>0.51893088049646252</v>
      </c>
      <c r="N20" s="207">
        <f>'Service Economics'!AP20</f>
        <v>155.52534397252032</v>
      </c>
      <c r="O20" s="6">
        <f>'Service Economics'!AQ20</f>
        <v>5</v>
      </c>
      <c r="P20" s="6" t="str">
        <f t="shared" si="0"/>
        <v>OPTIMIZE</v>
      </c>
      <c r="Q20" s="6" t="str">
        <f>'Service Economics'!AH20</f>
        <v>AUTO</v>
      </c>
    </row>
    <row r="21" spans="1:17">
      <c r="A21" t="s">
        <v>78</v>
      </c>
      <c r="B21" s="196">
        <f>'Service Economics'!D21</f>
        <v>0.9</v>
      </c>
      <c r="C21" t="s">
        <v>1290</v>
      </c>
      <c r="D21">
        <f>'Service Economics'!C21</f>
        <v>3</v>
      </c>
      <c r="E21" t="str">
        <f>'Service Economics'!B21</f>
        <v>Continuing Care</v>
      </c>
      <c r="F21" t="s">
        <v>1216</v>
      </c>
      <c r="H21" s="6" t="str">
        <f>'Service Economics'!A21</f>
        <v>Chronic Care Follow-up</v>
      </c>
      <c r="I21" s="207">
        <f>'Service Economics'!K21</f>
        <v>1006.3000000000001</v>
      </c>
      <c r="J21" s="207">
        <f>'Service Economics'!L21</f>
        <v>852.7966101694916</v>
      </c>
      <c r="K21" s="207">
        <f>'Service Economics'!R21</f>
        <v>761.07611016949159</v>
      </c>
      <c r="L21" s="207">
        <f>'Service Economics'!AL21</f>
        <v>450.42522259552709</v>
      </c>
      <c r="M21" s="184">
        <f>'Service Economics'!AM21</f>
        <v>0.52817426479451646</v>
      </c>
      <c r="N21" s="207">
        <f>'Service Economics'!AP21</f>
        <v>150.14174086517571</v>
      </c>
      <c r="O21" s="6">
        <f>'Service Economics'!AQ21</f>
        <v>5</v>
      </c>
      <c r="P21" s="6" t="str">
        <f t="shared" si="0"/>
        <v>OPTIMIZE</v>
      </c>
      <c r="Q21" s="6" t="str">
        <f>'Service Economics'!AH21</f>
        <v>AUTO</v>
      </c>
    </row>
    <row r="22" spans="1:17">
      <c r="A22" t="s">
        <v>80</v>
      </c>
      <c r="B22" s="196">
        <f>'Service Economics'!D22</f>
        <v>1.2</v>
      </c>
      <c r="C22" t="s">
        <v>1291</v>
      </c>
      <c r="D22">
        <f>'Service Economics'!C22</f>
        <v>4</v>
      </c>
      <c r="E22" t="str">
        <f>'Service Economics'!B22</f>
        <v>Continuing Care</v>
      </c>
      <c r="F22" t="s">
        <v>1216</v>
      </c>
      <c r="H22" s="6" t="str">
        <f>'Service Economics'!A22</f>
        <v>NRI Parent Medical Concierge</v>
      </c>
      <c r="I22" s="207">
        <f>'Service Economics'!K22</f>
        <v>1634.2</v>
      </c>
      <c r="J22" s="207">
        <f>'Service Economics'!L22</f>
        <v>1384.9152542372883</v>
      </c>
      <c r="K22" s="207">
        <f>'Service Economics'!R22</f>
        <v>1271.2182542372884</v>
      </c>
      <c r="L22" s="207">
        <f>'Service Economics'!AL22</f>
        <v>857.01707080533583</v>
      </c>
      <c r="M22" s="184">
        <f>'Service Economics'!AM22</f>
        <v>0.61882275336574233</v>
      </c>
      <c r="N22" s="207">
        <f>'Service Economics'!AP22</f>
        <v>214.25426770133396</v>
      </c>
      <c r="O22" s="6">
        <f>'Service Economics'!AQ22</f>
        <v>5</v>
      </c>
      <c r="P22" s="6" t="str">
        <f t="shared" si="0"/>
        <v>SCALE</v>
      </c>
      <c r="Q22" s="6" t="str">
        <f>'Service Economics'!AH22</f>
        <v>AUTO</v>
      </c>
    </row>
    <row r="23" spans="1:17">
      <c r="A23" t="s">
        <v>81</v>
      </c>
      <c r="B23" s="196">
        <f>'Service Economics'!D23</f>
        <v>0.85</v>
      </c>
      <c r="C23" t="s">
        <v>1292</v>
      </c>
      <c r="D23">
        <f>'Service Economics'!C23</f>
        <v>2.5</v>
      </c>
      <c r="E23" t="str">
        <f>'Service Economics'!B23</f>
        <v>Medical Coordination</v>
      </c>
      <c r="F23" t="s">
        <v>1216</v>
      </c>
      <c r="H23" s="6" t="str">
        <f>'Service Economics'!A23</f>
        <v>Second Opinion Concierge</v>
      </c>
      <c r="I23" s="207">
        <f>'Service Economics'!K23</f>
        <v>834.375</v>
      </c>
      <c r="J23" s="207">
        <f>'Service Economics'!L23</f>
        <v>707.09745762711873</v>
      </c>
      <c r="K23" s="207">
        <f>'Service Economics'!R23</f>
        <v>621.39433262711873</v>
      </c>
      <c r="L23" s="207">
        <f>'Service Economics'!AL23</f>
        <v>362.51859298214833</v>
      </c>
      <c r="M23" s="184">
        <f>'Service Economics'!AM23</f>
        <v>0.51268547082419169</v>
      </c>
      <c r="N23" s="207">
        <f>'Service Economics'!AP23</f>
        <v>145.00743719285933</v>
      </c>
      <c r="O23" s="6">
        <f>'Service Economics'!AQ23</f>
        <v>3</v>
      </c>
      <c r="P23" s="6" t="str">
        <f t="shared" si="0"/>
        <v>REVIEW</v>
      </c>
      <c r="Q23" s="6" t="str">
        <f>'Service Economics'!AH23</f>
        <v>AUTO</v>
      </c>
    </row>
    <row r="24" spans="1:17">
      <c r="A24" t="s">
        <v>83</v>
      </c>
      <c r="B24" s="196">
        <f>'Service Economics'!D24</f>
        <v>0.65</v>
      </c>
      <c r="C24" t="s">
        <v>1293</v>
      </c>
      <c r="D24">
        <f>'Service Economics'!C24</f>
        <v>1.5</v>
      </c>
      <c r="E24" t="str">
        <f>'Service Economics'!B24</f>
        <v>Medical Coordination</v>
      </c>
      <c r="F24" t="s">
        <v>1216</v>
      </c>
      <c r="H24" s="6" t="str">
        <f>'Service Economics'!A24</f>
        <v>Teleconsultation Concierge</v>
      </c>
      <c r="I24" s="207">
        <f>'Service Economics'!K24</f>
        <v>587.70000000000005</v>
      </c>
      <c r="J24" s="207">
        <f>'Service Economics'!L24</f>
        <v>498.05084745762719</v>
      </c>
      <c r="K24" s="207">
        <f>'Service Economics'!R24</f>
        <v>420.98134745762718</v>
      </c>
      <c r="L24" s="207">
        <f>'Service Economics'!AL24</f>
        <v>265.65590367064493</v>
      </c>
      <c r="M24" s="184">
        <f>'Service Economics'!AM24</f>
        <v>0.53339112869042193</v>
      </c>
      <c r="N24" s="207">
        <f>'Service Economics'!AP24</f>
        <v>177.10393578042996</v>
      </c>
      <c r="O24" s="6">
        <f>'Service Economics'!AQ24</f>
        <v>4</v>
      </c>
      <c r="P24" s="6" t="str">
        <f t="shared" si="0"/>
        <v>SCALE</v>
      </c>
      <c r="Q24" s="6" t="str">
        <f>'Service Economics'!AH24</f>
        <v>AUTO</v>
      </c>
    </row>
    <row r="25" spans="1:17">
      <c r="A25" t="s">
        <v>84</v>
      </c>
      <c r="B25" s="196">
        <f>'Service Economics'!D25</f>
        <v>0.6</v>
      </c>
      <c r="C25" t="s">
        <v>1294</v>
      </c>
      <c r="D25">
        <f>'Service Economics'!C25</f>
        <v>2</v>
      </c>
      <c r="E25" t="str">
        <f>'Service Economics'!B25</f>
        <v>Medical Coordination</v>
      </c>
      <c r="F25" t="s">
        <v>1216</v>
      </c>
      <c r="H25" s="6" t="str">
        <f>'Service Economics'!A25</f>
        <v>Medical Records Concierge</v>
      </c>
      <c r="I25" s="207">
        <f>'Service Economics'!K25</f>
        <v>557.79999999999995</v>
      </c>
      <c r="J25" s="207">
        <f>'Service Economics'!L25</f>
        <v>472.71186440677963</v>
      </c>
      <c r="K25" s="207">
        <f>'Service Economics'!R25</f>
        <v>396.68886440677966</v>
      </c>
      <c r="L25" s="207">
        <f>'Service Economics'!AL25</f>
        <v>189.58827269080334</v>
      </c>
      <c r="M25" s="184">
        <f>'Service Economics'!AM25</f>
        <v>0.40106518783640721</v>
      </c>
      <c r="N25" s="207">
        <f>'Service Economics'!AP25</f>
        <v>94.794136345401668</v>
      </c>
      <c r="O25" s="6">
        <f>'Service Economics'!AQ25</f>
        <v>3</v>
      </c>
      <c r="P25" s="6" t="str">
        <f t="shared" si="0"/>
        <v>REVIEW</v>
      </c>
      <c r="Q25" s="6" t="str">
        <f>'Service Economics'!AH25</f>
        <v>AUTO</v>
      </c>
    </row>
    <row r="26" spans="1:17">
      <c r="A26" t="s">
        <v>85</v>
      </c>
      <c r="B26" s="196">
        <f>'Service Economics'!D26</f>
        <v>0.75</v>
      </c>
      <c r="C26" t="s">
        <v>1295</v>
      </c>
      <c r="D26">
        <f>'Service Economics'!C26</f>
        <v>3</v>
      </c>
      <c r="E26" t="str">
        <f>'Service Economics'!B26</f>
        <v>Medical Coordination</v>
      </c>
      <c r="F26" t="s">
        <v>1216</v>
      </c>
      <c r="H26" s="6" t="str">
        <f>'Service Economics'!A26</f>
        <v>Insurance / TPA Desk Concierge</v>
      </c>
      <c r="I26" s="207">
        <f>'Service Economics'!K26</f>
        <v>871.75</v>
      </c>
      <c r="J26" s="207">
        <f>'Service Economics'!L26</f>
        <v>738.77118644067798</v>
      </c>
      <c r="K26" s="207">
        <f>'Service Economics'!R26</f>
        <v>651.75993644067796</v>
      </c>
      <c r="L26" s="207">
        <f>'Service Economics'!AL26</f>
        <v>341.10904886671347</v>
      </c>
      <c r="M26" s="184">
        <f>'Service Economics'!AM26</f>
        <v>0.4617248955121559</v>
      </c>
      <c r="N26" s="207">
        <f>'Service Economics'!AP26</f>
        <v>113.70301628890449</v>
      </c>
      <c r="O26" s="6">
        <f>'Service Economics'!AQ26</f>
        <v>3</v>
      </c>
      <c r="P26" s="6" t="str">
        <f t="shared" si="0"/>
        <v>REVIEW</v>
      </c>
      <c r="Q26" s="6" t="str">
        <f>'Service Economics'!AH26</f>
        <v>AUTO</v>
      </c>
    </row>
    <row r="27" spans="1:17">
      <c r="A27" t="s">
        <v>86</v>
      </c>
      <c r="B27" s="196">
        <f>'Service Economics'!D27</f>
        <v>1.1000000000000001</v>
      </c>
      <c r="C27" t="s">
        <v>1296</v>
      </c>
      <c r="D27">
        <f>'Service Economics'!C27</f>
        <v>4</v>
      </c>
      <c r="E27" t="str">
        <f>'Service Economics'!B27</f>
        <v>Medical Coordination</v>
      </c>
      <c r="F27" t="s">
        <v>1216</v>
      </c>
      <c r="H27" s="6" t="str">
        <f>'Service Economics'!A27</f>
        <v>Hospital Transfer Concierge</v>
      </c>
      <c r="I27" s="207">
        <f>'Service Economics'!K27</f>
        <v>1514.6000000000001</v>
      </c>
      <c r="J27" s="207">
        <f>'Service Economics'!L27</f>
        <v>1283.5593220338985</v>
      </c>
      <c r="K27" s="207">
        <f>'Service Economics'!R27</f>
        <v>1174.0483220338986</v>
      </c>
      <c r="L27" s="207">
        <f>'Service Economics'!AL27</f>
        <v>759.84713860194597</v>
      </c>
      <c r="M27" s="184">
        <f>'Service Economics'!AM27</f>
        <v>0.59198443387712674</v>
      </c>
      <c r="N27" s="207">
        <f>'Service Economics'!AP27</f>
        <v>189.96178465048649</v>
      </c>
      <c r="O27" s="6">
        <f>'Service Economics'!AQ27</f>
        <v>2</v>
      </c>
      <c r="P27" s="6" t="str">
        <f t="shared" si="0"/>
        <v>RETAIN</v>
      </c>
      <c r="Q27" s="6" t="str">
        <f>'Service Economics'!AH27</f>
        <v>AUTO</v>
      </c>
    </row>
    <row r="28" spans="1:17">
      <c r="A28" t="s">
        <v>87</v>
      </c>
      <c r="B28" s="196">
        <f>'Service Economics'!D28</f>
        <v>1.05</v>
      </c>
      <c r="C28" t="s">
        <v>1297</v>
      </c>
      <c r="D28">
        <f>'Service Economics'!C28</f>
        <v>4</v>
      </c>
      <c r="E28" t="str">
        <f>'Service Economics'!B28</f>
        <v>Medical Coordination</v>
      </c>
      <c r="F28" t="s">
        <v>1216</v>
      </c>
      <c r="H28" s="6" t="str">
        <f>'Service Economics'!A28</f>
        <v>Rehab / Nursing Facility Transfer</v>
      </c>
      <c r="I28" s="207">
        <f>'Service Economics'!K28</f>
        <v>1454.8</v>
      </c>
      <c r="J28" s="207">
        <f>'Service Economics'!L28</f>
        <v>1232.8813559322034</v>
      </c>
      <c r="K28" s="207">
        <f>'Service Economics'!R28</f>
        <v>1125.4633559322033</v>
      </c>
      <c r="L28" s="207">
        <f>'Service Economics'!AL28</f>
        <v>711.2621725002507</v>
      </c>
      <c r="M28" s="184">
        <f>'Service Economics'!AM28</f>
        <v>0.57691047810715967</v>
      </c>
      <c r="N28" s="207">
        <f>'Service Economics'!AP28</f>
        <v>177.81554312506267</v>
      </c>
      <c r="O28" s="6">
        <f>'Service Economics'!AQ28</f>
        <v>2</v>
      </c>
      <c r="P28" s="6" t="str">
        <f t="shared" si="0"/>
        <v>RETAIN</v>
      </c>
      <c r="Q28" s="6" t="str">
        <f>'Service Economics'!AH28</f>
        <v>AUTO</v>
      </c>
    </row>
    <row r="29" spans="1:17">
      <c r="A29" t="s">
        <v>88</v>
      </c>
      <c r="B29" s="196">
        <f>'Service Economics'!D29</f>
        <v>1.3</v>
      </c>
      <c r="C29" t="s">
        <v>1298</v>
      </c>
      <c r="D29">
        <f>'Service Economics'!C29</f>
        <v>4</v>
      </c>
      <c r="E29" t="str">
        <f>'Service Economics'!B29</f>
        <v>Urgent Coordination</v>
      </c>
      <c r="F29" t="s">
        <v>1216</v>
      </c>
      <c r="H29" s="6" t="str">
        <f>'Service Economics'!A29</f>
        <v>24×7 Urgent Care Coordination</v>
      </c>
      <c r="I29" s="207">
        <f>'Service Economics'!K29</f>
        <v>2252.8000000000002</v>
      </c>
      <c r="J29" s="207">
        <f>'Service Economics'!L29</f>
        <v>1909.1525423728815</v>
      </c>
      <c r="K29" s="207">
        <f>'Service Economics'!R29</f>
        <v>1773.8045423728815</v>
      </c>
      <c r="L29" s="207">
        <f>'Service Economics'!AL29</f>
        <v>1359.603358940929</v>
      </c>
      <c r="M29" s="184">
        <f>'Service Economics'!AM29</f>
        <v>0.71215019688844816</v>
      </c>
      <c r="N29" s="207">
        <f>'Service Economics'!AP29</f>
        <v>339.90083973523224</v>
      </c>
      <c r="O29" s="6">
        <f>'Service Economics'!AQ29</f>
        <v>2</v>
      </c>
      <c r="P29" s="6" t="str">
        <f t="shared" si="0"/>
        <v>RETAIN</v>
      </c>
      <c r="Q29" s="6" t="str">
        <f>'Service Economics'!AH29</f>
        <v>AUTO</v>
      </c>
    </row>
    <row r="30" spans="1:17">
      <c r="A30" t="s">
        <v>90</v>
      </c>
      <c r="B30" s="196">
        <f>'Service Economics'!D30</f>
        <v>0.85</v>
      </c>
      <c r="C30" t="s">
        <v>1299</v>
      </c>
      <c r="D30">
        <f>'Service Economics'!C30</f>
        <v>2</v>
      </c>
      <c r="E30" t="str">
        <f>'Service Economics'!B30</f>
        <v>Medical Coordination</v>
      </c>
      <c r="F30" t="s">
        <v>1216</v>
      </c>
      <c r="H30" s="6" t="str">
        <f>'Service Economics'!A30</f>
        <v>Doctor-at-Home Coordination</v>
      </c>
      <c r="I30" s="207">
        <f>'Service Economics'!K30</f>
        <v>707.3</v>
      </c>
      <c r="J30" s="207">
        <f>'Service Economics'!L30</f>
        <v>599.40677966101691</v>
      </c>
      <c r="K30" s="207">
        <f>'Service Economics'!R30</f>
        <v>518.15127966101693</v>
      </c>
      <c r="L30" s="207">
        <f>'Service Economics'!AL30</f>
        <v>311.05068794504064</v>
      </c>
      <c r="M30" s="184">
        <f>'Service Economics'!AM30</f>
        <v>0.51893088049646252</v>
      </c>
      <c r="N30" s="207">
        <f>'Service Economics'!AP30</f>
        <v>155.52534397252032</v>
      </c>
      <c r="O30" s="6">
        <f>'Service Economics'!AQ30</f>
        <v>3</v>
      </c>
      <c r="P30" s="6" t="str">
        <f t="shared" si="0"/>
        <v>REVIEW</v>
      </c>
      <c r="Q30" s="6" t="str">
        <f>'Service Economics'!AH30</f>
        <v>AUTO</v>
      </c>
    </row>
    <row r="31" spans="1:17">
      <c r="A31" t="s">
        <v>91</v>
      </c>
      <c r="B31" s="196">
        <f>'Service Economics'!D31</f>
        <v>0.85</v>
      </c>
      <c r="C31" t="s">
        <v>1299</v>
      </c>
      <c r="D31">
        <f>'Service Economics'!C31</f>
        <v>2</v>
      </c>
      <c r="E31" t="str">
        <f>'Service Economics'!B31</f>
        <v>Medical Coordination</v>
      </c>
      <c r="F31" t="s">
        <v>1216</v>
      </c>
      <c r="H31" s="6" t="str">
        <f>'Service Economics'!A31</f>
        <v>Nurse-at-Home Coordination</v>
      </c>
      <c r="I31" s="207">
        <f>'Service Economics'!K31</f>
        <v>707.3</v>
      </c>
      <c r="J31" s="207">
        <f>'Service Economics'!L31</f>
        <v>599.40677966101691</v>
      </c>
      <c r="K31" s="207">
        <f>'Service Economics'!R31</f>
        <v>518.15127966101693</v>
      </c>
      <c r="L31" s="207">
        <f>'Service Economics'!AL31</f>
        <v>311.05068794504064</v>
      </c>
      <c r="M31" s="184">
        <f>'Service Economics'!AM31</f>
        <v>0.51893088049646252</v>
      </c>
      <c r="N31" s="207">
        <f>'Service Economics'!AP31</f>
        <v>155.52534397252032</v>
      </c>
      <c r="O31" s="6">
        <f>'Service Economics'!AQ31</f>
        <v>4</v>
      </c>
      <c r="P31" s="6" t="str">
        <f t="shared" si="0"/>
        <v>OPTIMIZE</v>
      </c>
      <c r="Q31" s="6" t="str">
        <f>'Service Economics'!AH31</f>
        <v>AUTO</v>
      </c>
    </row>
    <row r="32" spans="1:17">
      <c r="A32" t="s">
        <v>1116</v>
      </c>
      <c r="B32" s="196">
        <f>'Service Economics'!D32</f>
        <v>2</v>
      </c>
      <c r="C32" t="s">
        <v>1300</v>
      </c>
      <c r="D32">
        <f>'Service Economics'!C32</f>
        <v>24</v>
      </c>
      <c r="E32" t="str">
        <f>'Service Economics'!B32</f>
        <v>Medical Coordination</v>
      </c>
      <c r="F32" t="s">
        <v>1216</v>
      </c>
      <c r="H32" s="6" t="str">
        <f>'Service Economics'!A32</f>
        <v>Medical Tourism — Concierge Package (24 HR Basis)</v>
      </c>
      <c r="I32" s="207">
        <f>'Service Economics'!K32</f>
        <v>17550</v>
      </c>
      <c r="J32" s="207">
        <f>'Service Economics'!L32</f>
        <v>14872.881355932204</v>
      </c>
      <c r="K32" s="207">
        <f>'Service Economics'!R32</f>
        <v>14202.131355932204</v>
      </c>
      <c r="L32" s="207">
        <f>'Service Economics'!AL32</f>
        <v>11716.924255340487</v>
      </c>
      <c r="M32" s="184">
        <f>'Service Economics'!AM32</f>
        <v>0.78780459380636891</v>
      </c>
      <c r="N32" s="207">
        <f>'Service Economics'!AP32</f>
        <v>488.20517730585362</v>
      </c>
      <c r="O32" s="6">
        <f>'Service Economics'!AQ32</f>
        <v>2</v>
      </c>
      <c r="P32" s="6" t="str">
        <f t="shared" si="0"/>
        <v>RETAIN</v>
      </c>
      <c r="Q32" s="6" t="str">
        <f>'Service Economics'!AH32</f>
        <v>MANUAL</v>
      </c>
    </row>
    <row r="33" spans="1:17">
      <c r="A33" t="s">
        <v>92</v>
      </c>
      <c r="B33" s="196">
        <f>'Service Economics'!D33</f>
        <v>0.65</v>
      </c>
      <c r="C33" t="s">
        <v>1301</v>
      </c>
      <c r="D33">
        <f>'Service Economics'!C33</f>
        <v>1.5</v>
      </c>
      <c r="E33" t="str">
        <f>'Service Economics'!B33</f>
        <v>Medical Coordination</v>
      </c>
      <c r="F33" t="s">
        <v>1216</v>
      </c>
      <c r="H33" s="6" t="str">
        <f>'Service Economics'!A33</f>
        <v>Pharmacy / Prescription Coordination</v>
      </c>
      <c r="I33" s="207">
        <f>'Service Economics'!K33</f>
        <v>587.70000000000005</v>
      </c>
      <c r="J33" s="207">
        <f>'Service Economics'!L33</f>
        <v>498.05084745762719</v>
      </c>
      <c r="K33" s="207">
        <f>'Service Economics'!R33</f>
        <v>420.98134745762718</v>
      </c>
      <c r="L33" s="207">
        <f>'Service Economics'!AL33</f>
        <v>265.65590367064493</v>
      </c>
      <c r="M33" s="184">
        <f>'Service Economics'!AM33</f>
        <v>0.53339112869042193</v>
      </c>
      <c r="N33" s="207">
        <f>'Service Economics'!AP33</f>
        <v>177.10393578042996</v>
      </c>
      <c r="O33" s="6">
        <f>'Service Economics'!AQ33</f>
        <v>4</v>
      </c>
      <c r="P33" s="6" t="str">
        <f t="shared" si="0"/>
        <v>SCALE</v>
      </c>
      <c r="Q33" s="6" t="str">
        <f>'Service Economics'!AH33</f>
        <v>AUTO</v>
      </c>
    </row>
    <row r="34" spans="1:17">
      <c r="A34" t="s">
        <v>93</v>
      </c>
      <c r="B34" s="196">
        <f>'Service Economics'!D34</f>
        <v>0.65</v>
      </c>
      <c r="C34" t="s">
        <v>1302</v>
      </c>
      <c r="D34">
        <f>'Service Economics'!C34</f>
        <v>3</v>
      </c>
      <c r="E34" t="str">
        <f>'Service Economics'!B34</f>
        <v>Continuing Care</v>
      </c>
      <c r="F34" t="s">
        <v>1216</v>
      </c>
      <c r="H34" s="6" t="str">
        <f>'Service Economics'!A34</f>
        <v>Family Medical Update Concierge</v>
      </c>
      <c r="I34" s="207">
        <f>'Service Economics'!K34</f>
        <v>782.05000000000007</v>
      </c>
      <c r="J34" s="207">
        <f>'Service Economics'!L34</f>
        <v>662.75423728813564</v>
      </c>
      <c r="K34" s="207">
        <f>'Service Economics'!R34</f>
        <v>578.88248728813562</v>
      </c>
      <c r="L34" s="207">
        <f>'Service Economics'!AL34</f>
        <v>268.23159971417113</v>
      </c>
      <c r="M34" s="184">
        <f>'Service Economics'!AM34</f>
        <v>0.40472257229425473</v>
      </c>
      <c r="N34" s="207">
        <f>'Service Economics'!AP34</f>
        <v>89.410533238057042</v>
      </c>
      <c r="O34" s="6">
        <f>'Service Economics'!AQ34</f>
        <v>5</v>
      </c>
      <c r="P34" s="6" t="str">
        <f t="shared" si="0"/>
        <v>OPTIMIZE</v>
      </c>
      <c r="Q34" s="6" t="str">
        <f>'Service Economics'!AH34</f>
        <v>AUTO</v>
      </c>
    </row>
    <row r="38" spans="1:17" ht="15">
      <c r="A38" s="480" t="s">
        <v>1676</v>
      </c>
      <c r="B38" s="480"/>
      <c r="C38" s="480"/>
      <c r="D38" s="480"/>
      <c r="E38" s="480"/>
      <c r="F38" s="480"/>
      <c r="H38" s="480" t="s">
        <v>1677</v>
      </c>
      <c r="I38" s="480"/>
      <c r="J38" s="480"/>
      <c r="K38" s="480"/>
      <c r="L38" s="480"/>
      <c r="M38" s="480"/>
      <c r="N38" s="480"/>
      <c r="O38" s="480"/>
      <c r="P38" s="480"/>
      <c r="Q38" s="480"/>
    </row>
    <row r="39" spans="1:17" ht="32">
      <c r="A39" s="198" t="s">
        <v>1678</v>
      </c>
      <c r="B39" s="198" t="s">
        <v>1655</v>
      </c>
      <c r="C39" s="198" t="s">
        <v>1679</v>
      </c>
      <c r="H39" s="198" t="s">
        <v>1668</v>
      </c>
      <c r="I39" s="198" t="s">
        <v>274</v>
      </c>
      <c r="J39" s="198" t="s">
        <v>1671</v>
      </c>
      <c r="K39" s="198" t="s">
        <v>119</v>
      </c>
      <c r="L39" s="198" t="s">
        <v>238</v>
      </c>
      <c r="M39" s="198" t="s">
        <v>1680</v>
      </c>
      <c r="O39" s="198" t="s">
        <v>1681</v>
      </c>
      <c r="P39" s="198" t="s">
        <v>2</v>
      </c>
      <c r="Q39" s="198" t="s">
        <v>1682</v>
      </c>
    </row>
    <row r="40" spans="1:17">
      <c r="A40" t="s">
        <v>1683</v>
      </c>
      <c r="B40" t="s">
        <v>1684</v>
      </c>
      <c r="C40" t="s">
        <v>1685</v>
      </c>
      <c r="H40" s="201">
        <v>0.6</v>
      </c>
      <c r="I40" s="207">
        <f>'MVP1 Pricing &amp; SKU'!$B$9+(MIN(MAX(6,'MVP1 Pricing &amp; SKU'!$B$5),'MVP1 Pricing &amp; SKU'!$B$6)*'MVP1 Pricing &amp; SKU'!$B$7+MAX(MAX(6,'MVP1 Pricing &amp; SKU'!$B$5)-'MVP1 Pricing &amp; SKU'!$B$6,0)*'MVP1 Pricing &amp; SKU'!$B$8)*H40</f>
        <v>1239.3999999999999</v>
      </c>
      <c r="J40" s="207">
        <f>I40/(1+'Global Inputs'!$B$7)</f>
        <v>1050.3389830508474</v>
      </c>
      <c r="K40" s="207">
        <f>6*'Global Inputs'!$B$33+SUM('Global Inputs'!$B$10:$B$14)+I40*'Global Inputs'!$B$8+(I40/(1+'Global Inputs'!$B$7))*'NC Credits'!$B$15</f>
        <v>721.18077514792901</v>
      </c>
      <c r="L40" s="207">
        <f t="shared" ref="L40:L47" si="1">J40-K40</f>
        <v>329.15820790291843</v>
      </c>
      <c r="M40" s="207">
        <f t="shared" ref="M40:M47" si="2">L40/6</f>
        <v>54.859701317153075</v>
      </c>
      <c r="O40" t="s">
        <v>1686</v>
      </c>
      <c r="P40" s="211">
        <f>'MVP1 Pricing &amp; SKU'!$B$9+4*'MVP1 Pricing &amp; SKU'!$B$7+2*'MVP1 Pricing &amp; SKU'!$B$8</f>
        <v>1933</v>
      </c>
      <c r="Q40" t="s">
        <v>1687</v>
      </c>
    </row>
    <row r="41" spans="1:17">
      <c r="A41" t="s">
        <v>1688</v>
      </c>
      <c r="B41" t="s">
        <v>1689</v>
      </c>
      <c r="C41" t="s">
        <v>1690</v>
      </c>
      <c r="H41" s="201">
        <v>0.7</v>
      </c>
      <c r="I41" s="207">
        <f>'MVP1 Pricing &amp; SKU'!$B$9+(MIN(MAX(6,'MVP1 Pricing &amp; SKU'!$B$5),'MVP1 Pricing &amp; SKU'!$B$6)*'MVP1 Pricing &amp; SKU'!$B$7+MAX(MAX(6,'MVP1 Pricing &amp; SKU'!$B$5)-'MVP1 Pricing &amp; SKU'!$B$6,0)*'MVP1 Pricing &amp; SKU'!$B$8)*H41</f>
        <v>1412.8</v>
      </c>
      <c r="J41" s="207">
        <f>I41/(1+'Global Inputs'!$B$7)</f>
        <v>1197.2881355932204</v>
      </c>
      <c r="K41" s="207">
        <f>6*'Global Inputs'!$B$33+SUM('Global Inputs'!$B$10:$B$14)+I41*'Global Inputs'!$B$8+(I41/(1+'Global Inputs'!$B$7))*'NC Credits'!$B$15</f>
        <v>727.24977514792897</v>
      </c>
      <c r="L41" s="207">
        <f t="shared" si="1"/>
        <v>470.03836044529146</v>
      </c>
      <c r="M41" s="207">
        <f t="shared" si="2"/>
        <v>78.339726740881915</v>
      </c>
      <c r="O41" t="s">
        <v>1691</v>
      </c>
      <c r="P41" s="211">
        <f>INDEX($I$40:$I$47,MATCH(0.8,$H$40:$H$47,0))</f>
        <v>1586.2</v>
      </c>
      <c r="Q41" t="s">
        <v>1692</v>
      </c>
    </row>
    <row r="42" spans="1:17">
      <c r="A42" t="s">
        <v>1693</v>
      </c>
      <c r="B42" t="s">
        <v>1694</v>
      </c>
      <c r="C42" t="s">
        <v>1695</v>
      </c>
      <c r="H42" s="201">
        <v>0.8</v>
      </c>
      <c r="I42" s="207">
        <f>'MVP1 Pricing &amp; SKU'!$B$9+(MIN(MAX(6,'MVP1 Pricing &amp; SKU'!$B$5),'MVP1 Pricing &amp; SKU'!$B$6)*'MVP1 Pricing &amp; SKU'!$B$7+MAX(MAX(6,'MVP1 Pricing &amp; SKU'!$B$5)-'MVP1 Pricing &amp; SKU'!$B$6,0)*'MVP1 Pricing &amp; SKU'!$B$8)*H42</f>
        <v>1586.2</v>
      </c>
      <c r="J42" s="207">
        <f>I42/(1+'Global Inputs'!$B$7)</f>
        <v>1344.2372881355934</v>
      </c>
      <c r="K42" s="207">
        <f>6*'Global Inputs'!$B$33+SUM('Global Inputs'!$B$10:$B$14)+I42*'Global Inputs'!$B$8+(I42/(1+'Global Inputs'!$B$7))*'NC Credits'!$B$15</f>
        <v>733.31877514792905</v>
      </c>
      <c r="L42" s="207">
        <f t="shared" si="1"/>
        <v>610.91851298766437</v>
      </c>
      <c r="M42" s="207">
        <f t="shared" si="2"/>
        <v>101.81975216461073</v>
      </c>
      <c r="O42" t="s">
        <v>1696</v>
      </c>
      <c r="P42" s="211">
        <f>P40-P41</f>
        <v>346.79999999999995</v>
      </c>
      <c r="Q42" t="s">
        <v>1697</v>
      </c>
    </row>
    <row r="43" spans="1:17">
      <c r="A43" t="s">
        <v>1698</v>
      </c>
      <c r="B43" t="s">
        <v>1699</v>
      </c>
      <c r="C43" t="s">
        <v>1700</v>
      </c>
      <c r="H43" s="201">
        <v>0.9</v>
      </c>
      <c r="I43" s="207">
        <f>'MVP1 Pricing &amp; SKU'!$B$9+(MIN(MAX(6,'MVP1 Pricing &amp; SKU'!$B$5),'MVP1 Pricing &amp; SKU'!$B$6)*'MVP1 Pricing &amp; SKU'!$B$7+MAX(MAX(6,'MVP1 Pricing &amp; SKU'!$B$5)-'MVP1 Pricing &amp; SKU'!$B$6,0)*'MVP1 Pricing &amp; SKU'!$B$8)*H43</f>
        <v>1759.6000000000001</v>
      </c>
      <c r="J43" s="207">
        <f>I43/(1+'Global Inputs'!$B$7)</f>
        <v>1491.1864406779664</v>
      </c>
      <c r="K43" s="207">
        <f>6*'Global Inputs'!$B$33+SUM('Global Inputs'!$B$10:$B$14)+I43*'Global Inputs'!$B$8+(I43/(1+'Global Inputs'!$B$7))*'NC Credits'!$B$15</f>
        <v>739.38777514792901</v>
      </c>
      <c r="L43" s="207">
        <f t="shared" si="1"/>
        <v>751.7986655300374</v>
      </c>
      <c r="M43" s="207">
        <f t="shared" si="2"/>
        <v>125.29977758833957</v>
      </c>
      <c r="O43" t="s">
        <v>1701</v>
      </c>
      <c r="P43" t="str">
        <f>IF(INDEX($L$40:$L$47,MATCH(0.8,$H$40:$H$47,0))&gt;0,"YES","NO")</f>
        <v>YES</v>
      </c>
      <c r="Q43" t="s">
        <v>1702</v>
      </c>
    </row>
    <row r="44" spans="1:17">
      <c r="H44" s="201">
        <v>1</v>
      </c>
      <c r="I44" s="207">
        <f>'MVP1 Pricing &amp; SKU'!$B$9+(MIN(MAX(6,'MVP1 Pricing &amp; SKU'!$B$5),'MVP1 Pricing &amp; SKU'!$B$6)*'MVP1 Pricing &amp; SKU'!$B$7+MAX(MAX(6,'MVP1 Pricing &amp; SKU'!$B$5)-'MVP1 Pricing &amp; SKU'!$B$6,0)*'MVP1 Pricing &amp; SKU'!$B$8)*H44</f>
        <v>1933</v>
      </c>
      <c r="J44" s="207">
        <f>I44/(1+'Global Inputs'!$B$7)</f>
        <v>1638.1355932203392</v>
      </c>
      <c r="K44" s="207">
        <f>6*'Global Inputs'!$B$33+SUM('Global Inputs'!$B$10:$B$14)+I44*'Global Inputs'!$B$8+(I44/(1+'Global Inputs'!$B$7))*'NC Credits'!$B$15</f>
        <v>745.45677514792897</v>
      </c>
      <c r="L44" s="207">
        <f t="shared" si="1"/>
        <v>892.67881807241019</v>
      </c>
      <c r="M44" s="207">
        <f t="shared" si="2"/>
        <v>148.77980301206836</v>
      </c>
    </row>
    <row r="45" spans="1:17">
      <c r="H45" s="201">
        <v>1.1000000000000001</v>
      </c>
      <c r="I45" s="207">
        <f>'MVP1 Pricing &amp; SKU'!$B$9+(MIN(MAX(6,'MVP1 Pricing &amp; SKU'!$B$5),'MVP1 Pricing &amp; SKU'!$B$6)*'MVP1 Pricing &amp; SKU'!$B$7+MAX(MAX(6,'MVP1 Pricing &amp; SKU'!$B$5)-'MVP1 Pricing &amp; SKU'!$B$6,0)*'MVP1 Pricing &amp; SKU'!$B$8)*H45</f>
        <v>2106.4</v>
      </c>
      <c r="J45" s="207">
        <f>I45/(1+'Global Inputs'!$B$7)</f>
        <v>1785.0847457627121</v>
      </c>
      <c r="K45" s="207">
        <f>6*'Global Inputs'!$B$33+SUM('Global Inputs'!$B$10:$B$14)+I45*'Global Inputs'!$B$8+(I45/(1+'Global Inputs'!$B$7))*'NC Credits'!$B$15</f>
        <v>751.52577514792904</v>
      </c>
      <c r="L45" s="207">
        <f t="shared" si="1"/>
        <v>1033.558970614783</v>
      </c>
      <c r="M45" s="207">
        <f t="shared" si="2"/>
        <v>172.25982843579717</v>
      </c>
    </row>
    <row r="46" spans="1:17">
      <c r="H46" s="201">
        <v>1.2</v>
      </c>
      <c r="I46" s="207">
        <f>'MVP1 Pricing &amp; SKU'!$B$9+(MIN(MAX(6,'MVP1 Pricing &amp; SKU'!$B$5),'MVP1 Pricing &amp; SKU'!$B$6)*'MVP1 Pricing &amp; SKU'!$B$7+MAX(MAX(6,'MVP1 Pricing &amp; SKU'!$B$5)-'MVP1 Pricing &amp; SKU'!$B$6,0)*'MVP1 Pricing &amp; SKU'!$B$8)*H46</f>
        <v>2279.7999999999997</v>
      </c>
      <c r="J46" s="207">
        <f>I46/(1+'Global Inputs'!$B$7)</f>
        <v>1932.0338983050847</v>
      </c>
      <c r="K46" s="207">
        <f>6*'Global Inputs'!$B$33+SUM('Global Inputs'!$B$10:$B$14)+I46*'Global Inputs'!$B$8+(I46/(1+'Global Inputs'!$B$7))*'NC Credits'!$B$15</f>
        <v>757.594775147929</v>
      </c>
      <c r="L46" s="207">
        <f t="shared" si="1"/>
        <v>1174.4391231571558</v>
      </c>
      <c r="M46" s="207">
        <f t="shared" si="2"/>
        <v>195.73985385952597</v>
      </c>
    </row>
    <row r="47" spans="1:17">
      <c r="H47" s="201">
        <v>1.3</v>
      </c>
      <c r="I47" s="207">
        <f>'MVP1 Pricing &amp; SKU'!$B$9+(MIN(MAX(6,'MVP1 Pricing &amp; SKU'!$B$5),'MVP1 Pricing &amp; SKU'!$B$6)*'MVP1 Pricing &amp; SKU'!$B$7+MAX(MAX(6,'MVP1 Pricing &amp; SKU'!$B$5)-'MVP1 Pricing &amp; SKU'!$B$6,0)*'MVP1 Pricing &amp; SKU'!$B$8)*H47</f>
        <v>2453.2000000000003</v>
      </c>
      <c r="J47" s="207">
        <f>I47/(1+'Global Inputs'!$B$7)</f>
        <v>2078.9830508474579</v>
      </c>
      <c r="K47" s="207">
        <f>6*'Global Inputs'!$B$33+SUM('Global Inputs'!$B$10:$B$14)+I47*'Global Inputs'!$B$8+(I47/(1+'Global Inputs'!$B$7))*'NC Credits'!$B$15</f>
        <v>763.66377514792896</v>
      </c>
      <c r="L47" s="207">
        <f t="shared" si="1"/>
        <v>1315.319275699529</v>
      </c>
      <c r="M47" s="207">
        <f t="shared" si="2"/>
        <v>219.21987928325484</v>
      </c>
    </row>
  </sheetData>
  <mergeCells count="4">
    <mergeCell ref="A1:Q1"/>
    <mergeCell ref="A2:Q2"/>
    <mergeCell ref="A38:F38"/>
    <mergeCell ref="H38:Q38"/>
  </mergeCells>
  <conditionalFormatting sqref="P5:P34">
    <cfRule type="expression" dxfId="40" priority="1">
      <formula>P5="SCALE"</formula>
    </cfRule>
    <cfRule type="expression" dxfId="39" priority="2">
      <formula>P5="RETAIN"</formula>
    </cfRule>
    <cfRule type="expression" dxfId="38" priority="3">
      <formula>P5="OPTIMIZE"</formula>
    </cfRule>
    <cfRule type="expression" dxfId="37" priority="4">
      <formula>P5="REVIEW"</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35"/>
  <sheetViews>
    <sheetView workbookViewId="0">
      <selection sqref="A1:Q1"/>
    </sheetView>
  </sheetViews>
  <sheetFormatPr baseColWidth="10" defaultColWidth="8.83203125" defaultRowHeight="14"/>
  <cols>
    <col min="1" max="1" width="24" customWidth="1"/>
    <col min="2" max="2" width="18" customWidth="1"/>
    <col min="3" max="3" width="14" customWidth="1"/>
    <col min="4" max="4" width="22" customWidth="1"/>
    <col min="6" max="6" width="30" customWidth="1"/>
    <col min="7" max="7" width="18" customWidth="1"/>
    <col min="8" max="8" width="16" customWidth="1"/>
    <col min="9" max="9" width="15" customWidth="1"/>
    <col min="10" max="10" width="16" customWidth="1"/>
    <col min="11" max="11" width="18" customWidth="1"/>
    <col min="12" max="12" width="15" customWidth="1"/>
  </cols>
  <sheetData>
    <row r="1" spans="1:17" ht="15">
      <c r="A1" s="482" t="s">
        <v>1703</v>
      </c>
      <c r="B1" s="482"/>
      <c r="C1" s="482"/>
      <c r="D1" s="482"/>
      <c r="E1" s="482"/>
      <c r="F1" s="482"/>
      <c r="G1" s="482"/>
      <c r="H1" s="482"/>
      <c r="I1" s="482"/>
      <c r="J1" s="482"/>
      <c r="K1" s="482"/>
      <c r="L1" s="482"/>
      <c r="M1" s="482"/>
      <c r="N1" s="482"/>
      <c r="O1" s="482"/>
      <c r="P1" s="482"/>
      <c r="Q1" s="482"/>
    </row>
    <row r="2" spans="1:17" ht="15">
      <c r="A2" s="425" t="s">
        <v>1704</v>
      </c>
      <c r="B2" s="425"/>
      <c r="C2" s="425"/>
      <c r="D2" s="425"/>
      <c r="E2" s="425"/>
      <c r="F2" s="425"/>
      <c r="G2" s="425"/>
      <c r="H2" s="425"/>
      <c r="I2" s="425"/>
      <c r="J2" s="425"/>
      <c r="K2" s="425"/>
      <c r="L2" s="425"/>
      <c r="M2" s="425"/>
      <c r="N2" s="425"/>
      <c r="O2" s="425"/>
      <c r="P2" s="425"/>
      <c r="Q2" s="425"/>
    </row>
    <row r="4" spans="1:17" ht="16">
      <c r="A4" s="198" t="s">
        <v>1705</v>
      </c>
      <c r="B4" s="198" t="s">
        <v>2</v>
      </c>
      <c r="C4" s="198" t="s">
        <v>3</v>
      </c>
      <c r="D4" s="198" t="s">
        <v>1213</v>
      </c>
      <c r="F4" s="198" t="s">
        <v>1706</v>
      </c>
      <c r="G4" s="198" t="s">
        <v>2</v>
      </c>
      <c r="H4" s="198" t="s">
        <v>3</v>
      </c>
      <c r="I4" s="198" t="s">
        <v>558</v>
      </c>
    </row>
    <row r="5" spans="1:17">
      <c r="A5" t="s">
        <v>1707</v>
      </c>
      <c r="B5" s="216">
        <f>'Growth &amp; Pricing Strategy'!$B$32</f>
        <v>1000000</v>
      </c>
      <c r="C5" t="s">
        <v>976</v>
      </c>
      <c r="D5" t="s">
        <v>1216</v>
      </c>
      <c r="F5" t="s">
        <v>1708</v>
      </c>
      <c r="G5" s="207">
        <f>B5+B6-B7</f>
        <v>1300000</v>
      </c>
      <c r="H5" t="s">
        <v>976</v>
      </c>
      <c r="I5" t="str">
        <f>IF(G5&gt;0,"GREEN","RED")</f>
        <v>GREEN</v>
      </c>
    </row>
    <row r="6" spans="1:17">
      <c r="A6" t="s">
        <v>1709</v>
      </c>
      <c r="B6" s="216">
        <f>'Growth &amp; Pricing Strategy'!$B$33</f>
        <v>500000</v>
      </c>
      <c r="C6" t="s">
        <v>976</v>
      </c>
      <c r="D6" t="s">
        <v>1216</v>
      </c>
      <c r="F6" t="s">
        <v>1710</v>
      </c>
      <c r="G6" s="207">
        <f>B8*B12-B11</f>
        <v>-125155.60074126779</v>
      </c>
      <c r="H6" t="s">
        <v>1235</v>
      </c>
      <c r="I6" t="str">
        <f>IF(G6&gt;=0,"GREEN","AMBER")</f>
        <v>AMBER</v>
      </c>
    </row>
    <row r="7" spans="1:17">
      <c r="A7" t="s">
        <v>1711</v>
      </c>
      <c r="B7" s="216">
        <f>'Growth &amp; Pricing Strategy'!$B$34</f>
        <v>200000</v>
      </c>
      <c r="C7" t="s">
        <v>976</v>
      </c>
      <c r="D7" t="s">
        <v>1216</v>
      </c>
      <c r="F7" t="s">
        <v>1712</v>
      </c>
      <c r="G7" s="207">
        <f>MAX(-G6,0)</f>
        <v>125155.60074126779</v>
      </c>
      <c r="H7" t="s">
        <v>1235</v>
      </c>
      <c r="I7" t="str">
        <f>IF(G7=0,"GREEN",IF(G7&lt;=50000,"AMBER","RED"))</f>
        <v>RED</v>
      </c>
    </row>
    <row r="8" spans="1:17">
      <c r="A8" t="s">
        <v>1713</v>
      </c>
      <c r="B8" s="152">
        <f>'Whitefield Monthly Projection'!$Q$19</f>
        <v>37.620000000000005</v>
      </c>
      <c r="C8" t="s">
        <v>1620</v>
      </c>
      <c r="D8" t="s">
        <v>1236</v>
      </c>
      <c r="F8" t="s">
        <v>677</v>
      </c>
      <c r="G8" s="6" t="str">
        <f>IF(COUNTIF($L$18:$L$35,"CASH OUT")=0,"&gt;18 months",MATCH("CASH OUT",$L$18:$L$35,0)-1)</f>
        <v>&gt;18 months</v>
      </c>
      <c r="H8" t="s">
        <v>1648</v>
      </c>
      <c r="I8" t="str">
        <f>IF(G8="&gt;18 months","GREEN",IF(G8&gt;=12,"GREEN",IF(G8&gt;=6,"AMBER","RED")))</f>
        <v>GREEN</v>
      </c>
    </row>
    <row r="9" spans="1:17">
      <c r="A9" t="s">
        <v>547</v>
      </c>
      <c r="B9" s="176">
        <f>'Growth &amp; Pricing Strategy'!$B$35</f>
        <v>0.12</v>
      </c>
      <c r="C9" t="s">
        <v>11</v>
      </c>
      <c r="D9" t="s">
        <v>1216</v>
      </c>
      <c r="F9" t="s">
        <v>1714</v>
      </c>
      <c r="G9" s="6" t="str">
        <f>IF(COUNTIF($L$18:$L$35,"CASH OUT")=0,"-",MATCH("CASH OUT",$L$18:$L$35,0))</f>
        <v>-</v>
      </c>
      <c r="H9" t="s">
        <v>1715</v>
      </c>
      <c r="I9" t="str">
        <f>IF(G9="-","GREEN",IF(G9&gt;=12,"AMBER","RED"))</f>
        <v>GREEN</v>
      </c>
    </row>
    <row r="10" spans="1:17">
      <c r="A10" t="s">
        <v>1716</v>
      </c>
      <c r="B10" s="152" t="s">
        <v>353</v>
      </c>
      <c r="C10" t="s">
        <v>1717</v>
      </c>
      <c r="D10" t="s">
        <v>1718</v>
      </c>
      <c r="F10" t="s">
        <v>1719</v>
      </c>
      <c r="G10" s="207">
        <f>MAX(0,-MIN($K$18:$K$35))</f>
        <v>0</v>
      </c>
      <c r="H10" t="s">
        <v>976</v>
      </c>
      <c r="I10" t="str">
        <f>IF(G10=0,"GREEN","AMBER")</f>
        <v>GREEN</v>
      </c>
    </row>
    <row r="11" spans="1:17">
      <c r="A11" t="s">
        <v>690</v>
      </c>
      <c r="B11" s="207">
        <f>IF(B10="Ultra-Lean Pilot",'Path to Profitability'!$H$20,IF(B10="Lean MVP",'Path to Profitability'!$I$20,'Path to Profitability'!$J$20))</f>
        <v>182000</v>
      </c>
      <c r="C11" t="s">
        <v>1235</v>
      </c>
      <c r="D11" t="s">
        <v>1236</v>
      </c>
      <c r="F11" t="s">
        <v>1720</v>
      </c>
      <c r="G11" s="207">
        <f>K29</f>
        <v>487833.46303369734</v>
      </c>
      <c r="H11" t="s">
        <v>976</v>
      </c>
      <c r="I11" t="str">
        <f>IF(G11&gt;0,"GREEN","RED")</f>
        <v>GREEN</v>
      </c>
    </row>
    <row r="12" spans="1:17">
      <c r="A12" t="s">
        <v>367</v>
      </c>
      <c r="B12" s="207">
        <f>'Whitefield Monthly Projection'!$Q$34</f>
        <v>1511.0153976271185</v>
      </c>
      <c r="C12" t="s">
        <v>20</v>
      </c>
      <c r="D12" t="s">
        <v>1236</v>
      </c>
    </row>
    <row r="13" spans="1:17">
      <c r="A13" t="s">
        <v>1721</v>
      </c>
      <c r="B13" s="207">
        <f>IF('Whitefield Monthly Projection'!$Q$19=0,0,'Whitefield Monthly Projection'!$Q$30/'Whitefield Monthly Projection'!$Q$19)</f>
        <v>1836.6474576271187</v>
      </c>
      <c r="C13" t="s">
        <v>20</v>
      </c>
      <c r="D13" t="s">
        <v>1236</v>
      </c>
    </row>
    <row r="14" spans="1:17">
      <c r="A14" t="s">
        <v>1722</v>
      </c>
      <c r="B14" s="216">
        <v>0</v>
      </c>
      <c r="C14" t="s">
        <v>1235</v>
      </c>
      <c r="D14" t="s">
        <v>1216</v>
      </c>
    </row>
    <row r="16" spans="1:17" ht="15">
      <c r="A16" s="480" t="s">
        <v>1723</v>
      </c>
      <c r="B16" s="480"/>
      <c r="C16" s="480"/>
      <c r="D16" s="480"/>
      <c r="E16" s="480"/>
      <c r="F16" s="480"/>
      <c r="G16" s="480"/>
      <c r="H16" s="480"/>
      <c r="I16" s="480"/>
      <c r="J16" s="480"/>
      <c r="K16" s="480"/>
      <c r="L16" s="480"/>
    </row>
    <row r="17" spans="1:12" ht="48">
      <c r="A17" s="198" t="s">
        <v>243</v>
      </c>
      <c r="B17" s="198" t="s">
        <v>1724</v>
      </c>
      <c r="C17" s="198" t="s">
        <v>535</v>
      </c>
      <c r="D17" s="198" t="s">
        <v>215</v>
      </c>
      <c r="E17" s="198" t="s">
        <v>1102</v>
      </c>
      <c r="F17" s="198" t="s">
        <v>238</v>
      </c>
      <c r="G17" s="198" t="s">
        <v>1725</v>
      </c>
      <c r="H17" s="198" t="s">
        <v>1664</v>
      </c>
      <c r="I17" s="198" t="s">
        <v>1726</v>
      </c>
      <c r="J17" s="198" t="s">
        <v>1727</v>
      </c>
      <c r="K17" s="198" t="s">
        <v>500</v>
      </c>
      <c r="L17" s="198" t="s">
        <v>1728</v>
      </c>
    </row>
    <row r="18" spans="1:12">
      <c r="A18">
        <v>1</v>
      </c>
      <c r="B18" s="207">
        <f>$G$5</f>
        <v>1300000</v>
      </c>
      <c r="C18" s="6">
        <f>$B$8</f>
        <v>37.620000000000005</v>
      </c>
      <c r="D18" s="207">
        <f t="shared" ref="D18:D35" si="0">C18*$B$13</f>
        <v>69094.677355932217</v>
      </c>
      <c r="E18" s="207">
        <f t="shared" ref="E18:E35" si="1">D18-F18</f>
        <v>12250.278097200011</v>
      </c>
      <c r="F18" s="207">
        <f t="shared" ref="F18:F35" si="2">C18*$B$12</f>
        <v>56844.399258732206</v>
      </c>
      <c r="G18" s="207">
        <f t="shared" ref="G18:G35" si="3">$B$11</f>
        <v>182000</v>
      </c>
      <c r="H18" s="207">
        <f t="shared" ref="H18:H35" si="4">F18-G18</f>
        <v>-125155.60074126779</v>
      </c>
      <c r="I18" s="207">
        <f t="shared" ref="I18:I35" si="5">$B$14</f>
        <v>0</v>
      </c>
      <c r="J18" s="207">
        <v>0</v>
      </c>
      <c r="K18" s="207">
        <f t="shared" ref="K18:K35" si="6">B18+H18-I18+J18</f>
        <v>1174844.3992587323</v>
      </c>
      <c r="L18" s="6" t="str">
        <f t="shared" ref="L18:L35" si="7">IF(K18&lt;0,"CASH OUT","OK")</f>
        <v>OK</v>
      </c>
    </row>
    <row r="19" spans="1:12">
      <c r="A19">
        <v>2</v>
      </c>
      <c r="B19" s="207">
        <f t="shared" ref="B19:B35" si="8">K18</f>
        <v>1174844.3992587323</v>
      </c>
      <c r="C19" s="6">
        <f t="shared" ref="C19:C35" si="9">C18*(1+$B$9)</f>
        <v>42.134400000000007</v>
      </c>
      <c r="D19" s="207">
        <f t="shared" si="0"/>
        <v>77386.03863864408</v>
      </c>
      <c r="E19" s="207">
        <f t="shared" si="1"/>
        <v>13720.311468864005</v>
      </c>
      <c r="F19" s="207">
        <f t="shared" si="2"/>
        <v>63665.727169780075</v>
      </c>
      <c r="G19" s="207">
        <f t="shared" si="3"/>
        <v>182000</v>
      </c>
      <c r="H19" s="207">
        <f t="shared" si="4"/>
        <v>-118334.27283021992</v>
      </c>
      <c r="I19" s="207">
        <f t="shared" si="5"/>
        <v>0</v>
      </c>
      <c r="J19" s="207">
        <v>0</v>
      </c>
      <c r="K19" s="207">
        <f t="shared" si="6"/>
        <v>1056510.1264285124</v>
      </c>
      <c r="L19" s="6" t="str">
        <f t="shared" si="7"/>
        <v>OK</v>
      </c>
    </row>
    <row r="20" spans="1:12">
      <c r="A20">
        <v>3</v>
      </c>
      <c r="B20" s="207">
        <f t="shared" si="8"/>
        <v>1056510.1264285124</v>
      </c>
      <c r="C20" s="6">
        <f t="shared" si="9"/>
        <v>47.190528000000015</v>
      </c>
      <c r="D20" s="207">
        <f t="shared" si="0"/>
        <v>86672.363275281386</v>
      </c>
      <c r="E20" s="207">
        <f t="shared" si="1"/>
        <v>15366.748845127688</v>
      </c>
      <c r="F20" s="207">
        <f t="shared" si="2"/>
        <v>71305.614430153699</v>
      </c>
      <c r="G20" s="207">
        <f t="shared" si="3"/>
        <v>182000</v>
      </c>
      <c r="H20" s="207">
        <f t="shared" si="4"/>
        <v>-110694.3855698463</v>
      </c>
      <c r="I20" s="207">
        <f t="shared" si="5"/>
        <v>0</v>
      </c>
      <c r="J20" s="207">
        <v>0</v>
      </c>
      <c r="K20" s="207">
        <f t="shared" si="6"/>
        <v>945815.74085866613</v>
      </c>
      <c r="L20" s="6" t="str">
        <f t="shared" si="7"/>
        <v>OK</v>
      </c>
    </row>
    <row r="21" spans="1:12">
      <c r="A21">
        <v>4</v>
      </c>
      <c r="B21" s="207">
        <f t="shared" si="8"/>
        <v>945815.74085866613</v>
      </c>
      <c r="C21" s="6">
        <f t="shared" si="9"/>
        <v>52.853391360000025</v>
      </c>
      <c r="D21" s="207">
        <f t="shared" si="0"/>
        <v>97073.04686831517</v>
      </c>
      <c r="E21" s="207">
        <f t="shared" si="1"/>
        <v>17210.758706543027</v>
      </c>
      <c r="F21" s="207">
        <f t="shared" si="2"/>
        <v>79862.288161772143</v>
      </c>
      <c r="G21" s="207">
        <f t="shared" si="3"/>
        <v>182000</v>
      </c>
      <c r="H21" s="207">
        <f t="shared" si="4"/>
        <v>-102137.71183822786</v>
      </c>
      <c r="I21" s="207">
        <f t="shared" si="5"/>
        <v>0</v>
      </c>
      <c r="J21" s="207">
        <v>0</v>
      </c>
      <c r="K21" s="207">
        <f t="shared" si="6"/>
        <v>843678.02902043832</v>
      </c>
      <c r="L21" s="6" t="str">
        <f t="shared" si="7"/>
        <v>OK</v>
      </c>
    </row>
    <row r="22" spans="1:12">
      <c r="A22">
        <v>5</v>
      </c>
      <c r="B22" s="207">
        <f t="shared" si="8"/>
        <v>843678.02902043832</v>
      </c>
      <c r="C22" s="6">
        <f t="shared" si="9"/>
        <v>59.19579832320003</v>
      </c>
      <c r="D22" s="207">
        <f t="shared" si="0"/>
        <v>108721.812492513</v>
      </c>
      <c r="E22" s="207">
        <f t="shared" si="1"/>
        <v>19276.049751328188</v>
      </c>
      <c r="F22" s="207">
        <f t="shared" si="2"/>
        <v>89445.762741184808</v>
      </c>
      <c r="G22" s="207">
        <f t="shared" si="3"/>
        <v>182000</v>
      </c>
      <c r="H22" s="207">
        <f t="shared" si="4"/>
        <v>-92554.237258815192</v>
      </c>
      <c r="I22" s="207">
        <f t="shared" si="5"/>
        <v>0</v>
      </c>
      <c r="J22" s="207">
        <v>0</v>
      </c>
      <c r="K22" s="207">
        <f t="shared" si="6"/>
        <v>751123.79176162311</v>
      </c>
      <c r="L22" s="6" t="str">
        <f t="shared" si="7"/>
        <v>OK</v>
      </c>
    </row>
    <row r="23" spans="1:12">
      <c r="A23">
        <v>6</v>
      </c>
      <c r="B23" s="207">
        <f t="shared" si="8"/>
        <v>751123.79176162311</v>
      </c>
      <c r="C23" s="6">
        <f t="shared" si="9"/>
        <v>66.299294121984033</v>
      </c>
      <c r="D23" s="207">
        <f t="shared" si="0"/>
        <v>121768.42999161455</v>
      </c>
      <c r="E23" s="207">
        <f t="shared" si="1"/>
        <v>21589.175721487569</v>
      </c>
      <c r="F23" s="207">
        <f t="shared" si="2"/>
        <v>100179.25427012698</v>
      </c>
      <c r="G23" s="207">
        <f t="shared" si="3"/>
        <v>182000</v>
      </c>
      <c r="H23" s="207">
        <f t="shared" si="4"/>
        <v>-81820.745729873015</v>
      </c>
      <c r="I23" s="207">
        <f t="shared" si="5"/>
        <v>0</v>
      </c>
      <c r="J23" s="207">
        <v>0</v>
      </c>
      <c r="K23" s="207">
        <f t="shared" si="6"/>
        <v>669303.04603175004</v>
      </c>
      <c r="L23" s="6" t="str">
        <f t="shared" si="7"/>
        <v>OK</v>
      </c>
    </row>
    <row r="24" spans="1:12">
      <c r="A24">
        <v>7</v>
      </c>
      <c r="B24" s="207">
        <f t="shared" si="8"/>
        <v>669303.04603175004</v>
      </c>
      <c r="C24" s="6">
        <f t="shared" si="9"/>
        <v>74.255209416622122</v>
      </c>
      <c r="D24" s="207">
        <f t="shared" si="0"/>
        <v>136380.64159060831</v>
      </c>
      <c r="E24" s="207">
        <f t="shared" si="1"/>
        <v>24179.876808066081</v>
      </c>
      <c r="F24" s="207">
        <f t="shared" si="2"/>
        <v>112200.76478254223</v>
      </c>
      <c r="G24" s="207">
        <f t="shared" si="3"/>
        <v>182000</v>
      </c>
      <c r="H24" s="207">
        <f t="shared" si="4"/>
        <v>-69799.235217457768</v>
      </c>
      <c r="I24" s="207">
        <f t="shared" si="5"/>
        <v>0</v>
      </c>
      <c r="J24" s="207">
        <v>0</v>
      </c>
      <c r="K24" s="207">
        <f t="shared" si="6"/>
        <v>599503.81081429229</v>
      </c>
      <c r="L24" s="6" t="str">
        <f t="shared" si="7"/>
        <v>OK</v>
      </c>
    </row>
    <row r="25" spans="1:12">
      <c r="A25">
        <v>8</v>
      </c>
      <c r="B25" s="207">
        <f t="shared" si="8"/>
        <v>599503.81081429229</v>
      </c>
      <c r="C25" s="6">
        <f t="shared" si="9"/>
        <v>83.165834546616779</v>
      </c>
      <c r="D25" s="207">
        <f t="shared" si="0"/>
        <v>152746.31858148129</v>
      </c>
      <c r="E25" s="207">
        <f t="shared" si="1"/>
        <v>27081.462025033979</v>
      </c>
      <c r="F25" s="207">
        <f t="shared" si="2"/>
        <v>125664.85655644731</v>
      </c>
      <c r="G25" s="207">
        <f t="shared" si="3"/>
        <v>182000</v>
      </c>
      <c r="H25" s="207">
        <f t="shared" si="4"/>
        <v>-56335.14344355269</v>
      </c>
      <c r="I25" s="207">
        <f t="shared" si="5"/>
        <v>0</v>
      </c>
      <c r="J25" s="207">
        <v>0</v>
      </c>
      <c r="K25" s="207">
        <f t="shared" si="6"/>
        <v>543168.66737073963</v>
      </c>
      <c r="L25" s="6" t="str">
        <f t="shared" si="7"/>
        <v>OK</v>
      </c>
    </row>
    <row r="26" spans="1:12">
      <c r="A26">
        <v>9</v>
      </c>
      <c r="B26" s="207">
        <f t="shared" si="8"/>
        <v>543168.66737073963</v>
      </c>
      <c r="C26" s="6">
        <f t="shared" si="9"/>
        <v>93.145734692210794</v>
      </c>
      <c r="D26" s="207">
        <f t="shared" si="0"/>
        <v>171075.87681125908</v>
      </c>
      <c r="E26" s="207">
        <f t="shared" si="1"/>
        <v>30331.237468038104</v>
      </c>
      <c r="F26" s="207">
        <f t="shared" si="2"/>
        <v>140744.63934322097</v>
      </c>
      <c r="G26" s="207">
        <f t="shared" si="3"/>
        <v>182000</v>
      </c>
      <c r="H26" s="207">
        <f t="shared" si="4"/>
        <v>-41255.360656779027</v>
      </c>
      <c r="I26" s="207">
        <f t="shared" si="5"/>
        <v>0</v>
      </c>
      <c r="J26" s="207">
        <v>0</v>
      </c>
      <c r="K26" s="207">
        <f t="shared" si="6"/>
        <v>501913.3067139606</v>
      </c>
      <c r="L26" s="6" t="str">
        <f t="shared" si="7"/>
        <v>OK</v>
      </c>
    </row>
    <row r="27" spans="1:12">
      <c r="A27">
        <v>10</v>
      </c>
      <c r="B27" s="207">
        <f t="shared" si="8"/>
        <v>501913.3067139606</v>
      </c>
      <c r="C27" s="6">
        <f t="shared" si="9"/>
        <v>104.3232228552761</v>
      </c>
      <c r="D27" s="207">
        <f t="shared" si="0"/>
        <v>191604.98202861016</v>
      </c>
      <c r="E27" s="207">
        <f t="shared" si="1"/>
        <v>33970.985964202642</v>
      </c>
      <c r="F27" s="207">
        <f t="shared" si="2"/>
        <v>157633.99606440752</v>
      </c>
      <c r="G27" s="207">
        <f t="shared" si="3"/>
        <v>182000</v>
      </c>
      <c r="H27" s="207">
        <f t="shared" si="4"/>
        <v>-24366.003935592482</v>
      </c>
      <c r="I27" s="207">
        <f t="shared" si="5"/>
        <v>0</v>
      </c>
      <c r="J27" s="207">
        <v>0</v>
      </c>
      <c r="K27" s="207">
        <f t="shared" si="6"/>
        <v>477547.30277836812</v>
      </c>
      <c r="L27" s="6" t="str">
        <f t="shared" si="7"/>
        <v>OK</v>
      </c>
    </row>
    <row r="28" spans="1:12">
      <c r="A28">
        <v>11</v>
      </c>
      <c r="B28" s="207">
        <f t="shared" si="8"/>
        <v>477547.30277836812</v>
      </c>
      <c r="C28" s="6">
        <f t="shared" si="9"/>
        <v>116.84200959790924</v>
      </c>
      <c r="D28" s="207">
        <f t="shared" si="0"/>
        <v>214597.5798720434</v>
      </c>
      <c r="E28" s="207">
        <f t="shared" si="1"/>
        <v>38047.504279906978</v>
      </c>
      <c r="F28" s="207">
        <f t="shared" si="2"/>
        <v>176550.07559213642</v>
      </c>
      <c r="G28" s="207">
        <f t="shared" si="3"/>
        <v>182000</v>
      </c>
      <c r="H28" s="207">
        <f t="shared" si="4"/>
        <v>-5449.924407863582</v>
      </c>
      <c r="I28" s="207">
        <f t="shared" si="5"/>
        <v>0</v>
      </c>
      <c r="J28" s="207">
        <v>0</v>
      </c>
      <c r="K28" s="207">
        <f t="shared" si="6"/>
        <v>472097.37837050454</v>
      </c>
      <c r="L28" s="6" t="str">
        <f t="shared" si="7"/>
        <v>OK</v>
      </c>
    </row>
    <row r="29" spans="1:12">
      <c r="A29">
        <v>12</v>
      </c>
      <c r="B29" s="207">
        <f t="shared" si="8"/>
        <v>472097.37837050454</v>
      </c>
      <c r="C29" s="6">
        <f t="shared" si="9"/>
        <v>130.86305074965836</v>
      </c>
      <c r="D29" s="207">
        <f t="shared" si="0"/>
        <v>240349.28945668862</v>
      </c>
      <c r="E29" s="207">
        <f t="shared" si="1"/>
        <v>42613.204793495795</v>
      </c>
      <c r="F29" s="207">
        <f t="shared" si="2"/>
        <v>197736.08466319283</v>
      </c>
      <c r="G29" s="207">
        <f t="shared" si="3"/>
        <v>182000</v>
      </c>
      <c r="H29" s="207">
        <f t="shared" si="4"/>
        <v>15736.084663192829</v>
      </c>
      <c r="I29" s="207">
        <f t="shared" si="5"/>
        <v>0</v>
      </c>
      <c r="J29" s="207">
        <v>0</v>
      </c>
      <c r="K29" s="207">
        <f t="shared" si="6"/>
        <v>487833.46303369734</v>
      </c>
      <c r="L29" s="6" t="str">
        <f t="shared" si="7"/>
        <v>OK</v>
      </c>
    </row>
    <row r="30" spans="1:12">
      <c r="A30">
        <v>13</v>
      </c>
      <c r="B30" s="207">
        <f t="shared" si="8"/>
        <v>487833.46303369734</v>
      </c>
      <c r="C30" s="6">
        <f t="shared" si="9"/>
        <v>146.56661683961738</v>
      </c>
      <c r="D30" s="207">
        <f t="shared" si="0"/>
        <v>269191.2041914913</v>
      </c>
      <c r="E30" s="207">
        <f t="shared" si="1"/>
        <v>47726.789368715312</v>
      </c>
      <c r="F30" s="207">
        <f t="shared" si="2"/>
        <v>221464.41482277599</v>
      </c>
      <c r="G30" s="207">
        <f t="shared" si="3"/>
        <v>182000</v>
      </c>
      <c r="H30" s="207">
        <f t="shared" si="4"/>
        <v>39464.414822775987</v>
      </c>
      <c r="I30" s="207">
        <f t="shared" si="5"/>
        <v>0</v>
      </c>
      <c r="J30" s="207">
        <v>0</v>
      </c>
      <c r="K30" s="207">
        <f t="shared" si="6"/>
        <v>527297.87785647332</v>
      </c>
      <c r="L30" s="6" t="str">
        <f t="shared" si="7"/>
        <v>OK</v>
      </c>
    </row>
    <row r="31" spans="1:12">
      <c r="A31">
        <v>14</v>
      </c>
      <c r="B31" s="207">
        <f t="shared" si="8"/>
        <v>527297.87785647332</v>
      </c>
      <c r="C31" s="6">
        <f t="shared" si="9"/>
        <v>164.15461086037149</v>
      </c>
      <c r="D31" s="207">
        <f t="shared" si="0"/>
        <v>301494.14869447029</v>
      </c>
      <c r="E31" s="207">
        <f t="shared" si="1"/>
        <v>53454.004092961142</v>
      </c>
      <c r="F31" s="207">
        <f t="shared" si="2"/>
        <v>248040.14460150915</v>
      </c>
      <c r="G31" s="207">
        <f t="shared" si="3"/>
        <v>182000</v>
      </c>
      <c r="H31" s="207">
        <f t="shared" si="4"/>
        <v>66040.14460150915</v>
      </c>
      <c r="I31" s="207">
        <f t="shared" si="5"/>
        <v>0</v>
      </c>
      <c r="J31" s="207">
        <v>0</v>
      </c>
      <c r="K31" s="207">
        <f t="shared" si="6"/>
        <v>593338.02245798241</v>
      </c>
      <c r="L31" s="6" t="str">
        <f t="shared" si="7"/>
        <v>OK</v>
      </c>
    </row>
    <row r="32" spans="1:12">
      <c r="A32">
        <v>15</v>
      </c>
      <c r="B32" s="207">
        <f t="shared" si="8"/>
        <v>593338.02245798241</v>
      </c>
      <c r="C32" s="6">
        <f t="shared" si="9"/>
        <v>183.8531641636161</v>
      </c>
      <c r="D32" s="207">
        <f t="shared" si="0"/>
        <v>337673.44653780677</v>
      </c>
      <c r="E32" s="207">
        <f t="shared" si="1"/>
        <v>59868.484584116493</v>
      </c>
      <c r="F32" s="207">
        <f t="shared" si="2"/>
        <v>277804.96195369028</v>
      </c>
      <c r="G32" s="207">
        <f t="shared" si="3"/>
        <v>182000</v>
      </c>
      <c r="H32" s="207">
        <f t="shared" si="4"/>
        <v>95804.961953690276</v>
      </c>
      <c r="I32" s="207">
        <f t="shared" si="5"/>
        <v>0</v>
      </c>
      <c r="J32" s="207">
        <v>0</v>
      </c>
      <c r="K32" s="207">
        <f t="shared" si="6"/>
        <v>689142.98441167269</v>
      </c>
      <c r="L32" s="6" t="str">
        <f t="shared" si="7"/>
        <v>OK</v>
      </c>
    </row>
    <row r="33" spans="1:12">
      <c r="A33">
        <v>16</v>
      </c>
      <c r="B33" s="207">
        <f t="shared" si="8"/>
        <v>689142.98441167269</v>
      </c>
      <c r="C33" s="6">
        <f t="shared" si="9"/>
        <v>205.91554386325006</v>
      </c>
      <c r="D33" s="207">
        <f t="shared" si="0"/>
        <v>378194.26012234366</v>
      </c>
      <c r="E33" s="207">
        <f t="shared" si="1"/>
        <v>67052.70273421047</v>
      </c>
      <c r="F33" s="207">
        <f t="shared" si="2"/>
        <v>311141.55738813319</v>
      </c>
      <c r="G33" s="207">
        <f t="shared" si="3"/>
        <v>182000</v>
      </c>
      <c r="H33" s="207">
        <f t="shared" si="4"/>
        <v>129141.55738813319</v>
      </c>
      <c r="I33" s="207">
        <f t="shared" si="5"/>
        <v>0</v>
      </c>
      <c r="J33" s="207">
        <v>0</v>
      </c>
      <c r="K33" s="207">
        <f t="shared" si="6"/>
        <v>818284.54179980583</v>
      </c>
      <c r="L33" s="6" t="str">
        <f t="shared" si="7"/>
        <v>OK</v>
      </c>
    </row>
    <row r="34" spans="1:12">
      <c r="A34">
        <v>17</v>
      </c>
      <c r="B34" s="207">
        <f t="shared" si="8"/>
        <v>818284.54179980583</v>
      </c>
      <c r="C34" s="6">
        <f t="shared" si="9"/>
        <v>230.62540912684008</v>
      </c>
      <c r="D34" s="207">
        <f t="shared" si="0"/>
        <v>423577.57133702491</v>
      </c>
      <c r="E34" s="207">
        <f t="shared" si="1"/>
        <v>75099.027062315727</v>
      </c>
      <c r="F34" s="207">
        <f t="shared" si="2"/>
        <v>348478.54427470919</v>
      </c>
      <c r="G34" s="207">
        <f t="shared" si="3"/>
        <v>182000</v>
      </c>
      <c r="H34" s="207">
        <f t="shared" si="4"/>
        <v>166478.54427470919</v>
      </c>
      <c r="I34" s="207">
        <f t="shared" si="5"/>
        <v>0</v>
      </c>
      <c r="J34" s="207">
        <v>0</v>
      </c>
      <c r="K34" s="207">
        <f t="shared" si="6"/>
        <v>984763.08607451501</v>
      </c>
      <c r="L34" s="6" t="str">
        <f t="shared" si="7"/>
        <v>OK</v>
      </c>
    </row>
    <row r="35" spans="1:12">
      <c r="A35">
        <v>18</v>
      </c>
      <c r="B35" s="207">
        <f t="shared" si="8"/>
        <v>984763.08607451501</v>
      </c>
      <c r="C35" s="6">
        <f t="shared" si="9"/>
        <v>258.30045822206091</v>
      </c>
      <c r="D35" s="207">
        <f t="shared" si="0"/>
        <v>474406.87989746797</v>
      </c>
      <c r="E35" s="207">
        <f t="shared" si="1"/>
        <v>84110.91030979366</v>
      </c>
      <c r="F35" s="207">
        <f t="shared" si="2"/>
        <v>390295.96958767431</v>
      </c>
      <c r="G35" s="207">
        <f t="shared" si="3"/>
        <v>182000</v>
      </c>
      <c r="H35" s="207">
        <f t="shared" si="4"/>
        <v>208295.96958767431</v>
      </c>
      <c r="I35" s="207">
        <f t="shared" si="5"/>
        <v>0</v>
      </c>
      <c r="J35" s="207">
        <v>0</v>
      </c>
      <c r="K35" s="207">
        <f t="shared" si="6"/>
        <v>1193059.0556621894</v>
      </c>
      <c r="L35" s="6" t="str">
        <f t="shared" si="7"/>
        <v>OK</v>
      </c>
    </row>
  </sheetData>
  <mergeCells count="3">
    <mergeCell ref="A1:Q1"/>
    <mergeCell ref="A2:Q2"/>
    <mergeCell ref="A16:L16"/>
  </mergeCells>
  <conditionalFormatting sqref="I5:I11">
    <cfRule type="expression" dxfId="36" priority="1">
      <formula>I5="GREEN"</formula>
    </cfRule>
    <cfRule type="expression" dxfId="35" priority="2">
      <formula>I5="AMBER"</formula>
    </cfRule>
    <cfRule type="expression" dxfId="34" priority="3">
      <formula>I5="RED"</formula>
    </cfRule>
  </conditionalFormatting>
  <conditionalFormatting sqref="L18:L35">
    <cfRule type="expression" dxfId="33" priority="4">
      <formula>L18="CASH OUT"</formula>
    </cfRule>
  </conditionalFormatting>
  <dataValidations count="1">
    <dataValidation type="list" sqref="B10" xr:uid="{00000000-0002-0000-0E00-000000000000}">
      <formula1>"Ultra-Lean Pilot,Lean MVP,Full Team"</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1"/>
  <sheetViews>
    <sheetView workbookViewId="0">
      <selection sqref="A1:N1"/>
    </sheetView>
  </sheetViews>
  <sheetFormatPr baseColWidth="10" defaultColWidth="8.83203125" defaultRowHeight="14"/>
  <cols>
    <col min="1" max="1" width="34" customWidth="1"/>
    <col min="2" max="3" width="14" customWidth="1"/>
    <col min="4" max="4" width="22" customWidth="1"/>
    <col min="5" max="13" width="14" customWidth="1"/>
  </cols>
  <sheetData>
    <row r="1" spans="1:14" ht="15">
      <c r="A1" s="482" t="s">
        <v>1729</v>
      </c>
      <c r="B1" s="482"/>
      <c r="C1" s="482"/>
      <c r="D1" s="482"/>
      <c r="E1" s="482"/>
      <c r="F1" s="482"/>
      <c r="G1" s="482"/>
      <c r="H1" s="482"/>
      <c r="I1" s="482"/>
      <c r="J1" s="482"/>
      <c r="K1" s="482"/>
      <c r="L1" s="482"/>
      <c r="M1" s="482"/>
      <c r="N1" s="482"/>
    </row>
    <row r="2" spans="1:14" ht="15">
      <c r="A2" s="425" t="s">
        <v>1730</v>
      </c>
      <c r="B2" s="425"/>
      <c r="C2" s="425"/>
      <c r="D2" s="425"/>
      <c r="E2" s="425"/>
      <c r="F2" s="425"/>
      <c r="G2" s="425"/>
      <c r="H2" s="425"/>
      <c r="I2" s="425"/>
      <c r="J2" s="425"/>
      <c r="K2" s="425"/>
      <c r="L2" s="425"/>
      <c r="M2" s="425"/>
      <c r="N2" s="425"/>
    </row>
    <row r="4" spans="1:14" ht="15">
      <c r="A4" s="191" t="s">
        <v>1731</v>
      </c>
      <c r="B4" s="191" t="s">
        <v>1732</v>
      </c>
      <c r="C4" s="191" t="s">
        <v>1733</v>
      </c>
      <c r="D4" s="191" t="s">
        <v>1734</v>
      </c>
      <c r="E4" s="191" t="s">
        <v>1735</v>
      </c>
      <c r="F4" s="191" t="s">
        <v>1736</v>
      </c>
      <c r="G4" s="191" t="s">
        <v>1737</v>
      </c>
      <c r="H4" s="191" t="s">
        <v>1738</v>
      </c>
      <c r="I4" s="191" t="s">
        <v>1739</v>
      </c>
      <c r="J4" s="191" t="s">
        <v>1740</v>
      </c>
      <c r="K4" s="191" t="s">
        <v>1741</v>
      </c>
      <c r="L4" s="191" t="s">
        <v>1742</v>
      </c>
      <c r="M4" s="191" t="s">
        <v>1743</v>
      </c>
    </row>
    <row r="5" spans="1:14" ht="15">
      <c r="A5" s="157" t="s">
        <v>211</v>
      </c>
      <c r="B5" s="6">
        <f>'Cash Runway'!C18</f>
        <v>37.620000000000005</v>
      </c>
      <c r="C5" s="6">
        <f>'Cash Runway'!C19</f>
        <v>42.134400000000007</v>
      </c>
      <c r="D5" s="6">
        <f>'Cash Runway'!C20</f>
        <v>47.190528000000015</v>
      </c>
      <c r="E5" s="6">
        <f>'Cash Runway'!C21</f>
        <v>52.853391360000025</v>
      </c>
      <c r="F5" s="6">
        <f>'Cash Runway'!C22</f>
        <v>59.19579832320003</v>
      </c>
      <c r="G5" s="6">
        <f>'Cash Runway'!C23</f>
        <v>66.299294121984033</v>
      </c>
      <c r="H5" s="6">
        <f>'Cash Runway'!C24</f>
        <v>74.255209416622122</v>
      </c>
      <c r="I5" s="6">
        <f>'Cash Runway'!C25</f>
        <v>83.165834546616779</v>
      </c>
      <c r="J5" s="6">
        <f>'Cash Runway'!C26</f>
        <v>93.145734692210794</v>
      </c>
      <c r="K5" s="6">
        <f>'Cash Runway'!C27</f>
        <v>104.3232228552761</v>
      </c>
      <c r="L5" s="6">
        <f>'Cash Runway'!C28</f>
        <v>116.84200959790924</v>
      </c>
      <c r="M5" s="6">
        <f>'Cash Runway'!C29</f>
        <v>130.86305074965836</v>
      </c>
    </row>
    <row r="6" spans="1:14" ht="15">
      <c r="A6" s="157" t="s">
        <v>1744</v>
      </c>
      <c r="B6" s="207">
        <f t="shared" ref="B6:M6" si="0">B5*$B$24</f>
        <v>79773.811920000007</v>
      </c>
      <c r="C6" s="207">
        <f t="shared" si="0"/>
        <v>89346.669350400014</v>
      </c>
      <c r="D6" s="207">
        <f t="shared" si="0"/>
        <v>100068.26967244803</v>
      </c>
      <c r="E6" s="207">
        <f t="shared" si="0"/>
        <v>112076.46203314181</v>
      </c>
      <c r="F6" s="207">
        <f t="shared" si="0"/>
        <v>125525.63747711884</v>
      </c>
      <c r="G6" s="207">
        <f t="shared" si="0"/>
        <v>140588.71397437309</v>
      </c>
      <c r="H6" s="207">
        <f t="shared" si="0"/>
        <v>157459.35965129788</v>
      </c>
      <c r="I6" s="207">
        <f t="shared" si="0"/>
        <v>176354.48280945362</v>
      </c>
      <c r="J6" s="207">
        <f t="shared" si="0"/>
        <v>197517.02074658807</v>
      </c>
      <c r="K6" s="207">
        <f t="shared" si="0"/>
        <v>221219.06323617866</v>
      </c>
      <c r="L6" s="207">
        <f t="shared" si="0"/>
        <v>247765.35082452011</v>
      </c>
      <c r="M6" s="207">
        <f t="shared" si="0"/>
        <v>277497.19292346254</v>
      </c>
    </row>
    <row r="7" spans="1:14" ht="15">
      <c r="A7" s="157" t="s">
        <v>1745</v>
      </c>
      <c r="B7" s="207">
        <f t="shared" ref="B7:M7" si="1">B5*$B$25</f>
        <v>10679.13456406779</v>
      </c>
      <c r="C7" s="207">
        <f t="shared" si="1"/>
        <v>11960.630711755926</v>
      </c>
      <c r="D7" s="207">
        <f t="shared" si="1"/>
        <v>13395.90639716664</v>
      </c>
      <c r="E7" s="207">
        <f t="shared" si="1"/>
        <v>15003.415164826638</v>
      </c>
      <c r="F7" s="207">
        <f t="shared" si="1"/>
        <v>16803.824984605835</v>
      </c>
      <c r="G7" s="207">
        <f t="shared" si="1"/>
        <v>18820.283982758534</v>
      </c>
      <c r="H7" s="207">
        <f t="shared" si="1"/>
        <v>21078.71806068956</v>
      </c>
      <c r="I7" s="207">
        <f t="shared" si="1"/>
        <v>23608.164227972309</v>
      </c>
      <c r="J7" s="207">
        <f t="shared" si="1"/>
        <v>26441.143935328986</v>
      </c>
      <c r="K7" s="207">
        <f t="shared" si="1"/>
        <v>29614.08120756847</v>
      </c>
      <c r="L7" s="207">
        <f t="shared" si="1"/>
        <v>33167.770952476683</v>
      </c>
      <c r="M7" s="207">
        <f t="shared" si="1"/>
        <v>37147.903466773889</v>
      </c>
    </row>
    <row r="8" spans="1:14" ht="15">
      <c r="A8" s="157" t="s">
        <v>1746</v>
      </c>
      <c r="B8" s="207">
        <f t="shared" ref="B8:M8" si="2">B5*$B$26</f>
        <v>7524.0000000000009</v>
      </c>
      <c r="C8" s="207">
        <f t="shared" si="2"/>
        <v>8426.880000000001</v>
      </c>
      <c r="D8" s="207">
        <f t="shared" si="2"/>
        <v>9438.1056000000026</v>
      </c>
      <c r="E8" s="207">
        <f t="shared" si="2"/>
        <v>10570.678272000005</v>
      </c>
      <c r="F8" s="207">
        <f t="shared" si="2"/>
        <v>11839.159664640007</v>
      </c>
      <c r="G8" s="207">
        <f t="shared" si="2"/>
        <v>13259.858824396806</v>
      </c>
      <c r="H8" s="207">
        <f t="shared" si="2"/>
        <v>14851.041883324424</v>
      </c>
      <c r="I8" s="207">
        <f t="shared" si="2"/>
        <v>16633.166909323354</v>
      </c>
      <c r="J8" s="207">
        <f t="shared" si="2"/>
        <v>18629.146938442158</v>
      </c>
      <c r="K8" s="207">
        <f t="shared" si="2"/>
        <v>20864.644571055222</v>
      </c>
      <c r="L8" s="207">
        <f t="shared" si="2"/>
        <v>23368.401919581847</v>
      </c>
      <c r="M8" s="207">
        <f t="shared" si="2"/>
        <v>26172.610149931672</v>
      </c>
    </row>
    <row r="9" spans="1:14" ht="15">
      <c r="A9" s="157" t="s">
        <v>215</v>
      </c>
      <c r="B9" s="207">
        <f t="shared" ref="B9:M9" si="3">B5*$B$27</f>
        <v>69094.677355932217</v>
      </c>
      <c r="C9" s="207">
        <f t="shared" si="3"/>
        <v>77386.03863864408</v>
      </c>
      <c r="D9" s="207">
        <f t="shared" si="3"/>
        <v>86672.363275281386</v>
      </c>
      <c r="E9" s="207">
        <f t="shared" si="3"/>
        <v>97073.04686831517</v>
      </c>
      <c r="F9" s="207">
        <f t="shared" si="3"/>
        <v>108721.812492513</v>
      </c>
      <c r="G9" s="207">
        <f t="shared" si="3"/>
        <v>121768.42999161455</v>
      </c>
      <c r="H9" s="207">
        <f t="shared" si="3"/>
        <v>136380.64159060831</v>
      </c>
      <c r="I9" s="207">
        <f t="shared" si="3"/>
        <v>152746.31858148129</v>
      </c>
      <c r="J9" s="207">
        <f t="shared" si="3"/>
        <v>171075.87681125908</v>
      </c>
      <c r="K9" s="207">
        <f t="shared" si="3"/>
        <v>191604.98202861016</v>
      </c>
      <c r="L9" s="207">
        <f t="shared" si="3"/>
        <v>214597.5798720434</v>
      </c>
      <c r="M9" s="207">
        <f t="shared" si="3"/>
        <v>240349.28945668862</v>
      </c>
    </row>
    <row r="10" spans="1:14" ht="15">
      <c r="A10" s="157" t="s">
        <v>1747</v>
      </c>
      <c r="B10" s="207">
        <f t="shared" ref="B10:M10" si="4">B5*$B$28</f>
        <v>12250.278097200007</v>
      </c>
      <c r="C10" s="207">
        <f t="shared" si="4"/>
        <v>13720.311468864007</v>
      </c>
      <c r="D10" s="207">
        <f t="shared" si="4"/>
        <v>15366.748845127691</v>
      </c>
      <c r="E10" s="207">
        <f t="shared" si="4"/>
        <v>17210.758706543016</v>
      </c>
      <c r="F10" s="207">
        <f t="shared" si="4"/>
        <v>19276.049751328181</v>
      </c>
      <c r="G10" s="207">
        <f t="shared" si="4"/>
        <v>21589.175721487562</v>
      </c>
      <c r="H10" s="207">
        <f t="shared" si="4"/>
        <v>24179.87680806607</v>
      </c>
      <c r="I10" s="207">
        <f t="shared" si="4"/>
        <v>27081.462025033998</v>
      </c>
      <c r="J10" s="207">
        <f t="shared" si="4"/>
        <v>30331.237468038078</v>
      </c>
      <c r="K10" s="207">
        <f t="shared" si="4"/>
        <v>33970.985964202649</v>
      </c>
      <c r="L10" s="207">
        <f t="shared" si="4"/>
        <v>38047.504279906971</v>
      </c>
      <c r="M10" s="207">
        <f t="shared" si="4"/>
        <v>42613.20479349581</v>
      </c>
    </row>
    <row r="11" spans="1:14" ht="15">
      <c r="A11" s="194" t="s">
        <v>1091</v>
      </c>
      <c r="B11" s="210">
        <f t="shared" ref="B11:M11" si="5">B5*$B$29</f>
        <v>56844.399258732206</v>
      </c>
      <c r="C11" s="210">
        <f t="shared" si="5"/>
        <v>63665.727169780075</v>
      </c>
      <c r="D11" s="210">
        <f t="shared" si="5"/>
        <v>71305.614430153699</v>
      </c>
      <c r="E11" s="210">
        <f t="shared" si="5"/>
        <v>79862.288161772143</v>
      </c>
      <c r="F11" s="210">
        <f t="shared" si="5"/>
        <v>89445.762741184808</v>
      </c>
      <c r="G11" s="210">
        <f t="shared" si="5"/>
        <v>100179.25427012698</v>
      </c>
      <c r="H11" s="210">
        <f t="shared" si="5"/>
        <v>112200.76478254223</v>
      </c>
      <c r="I11" s="210">
        <f t="shared" si="5"/>
        <v>125664.85655644731</v>
      </c>
      <c r="J11" s="210">
        <f t="shared" si="5"/>
        <v>140744.63934322097</v>
      </c>
      <c r="K11" s="210">
        <f t="shared" si="5"/>
        <v>157633.99606440752</v>
      </c>
      <c r="L11" s="210">
        <f t="shared" si="5"/>
        <v>176550.07559213642</v>
      </c>
      <c r="M11" s="210">
        <f t="shared" si="5"/>
        <v>197736.08466319283</v>
      </c>
    </row>
    <row r="12" spans="1:14" ht="15">
      <c r="A12" s="157" t="s">
        <v>279</v>
      </c>
      <c r="B12" s="184">
        <f t="shared" ref="B12:M12" si="6">IF(B9=0,0,B11/B9)</f>
        <v>0.82270301322785977</v>
      </c>
      <c r="C12" s="184">
        <f t="shared" si="6"/>
        <v>0.82270301322785988</v>
      </c>
      <c r="D12" s="184">
        <f t="shared" si="6"/>
        <v>0.82270301322785988</v>
      </c>
      <c r="E12" s="184">
        <f t="shared" si="6"/>
        <v>0.82270301322785977</v>
      </c>
      <c r="F12" s="184">
        <f t="shared" si="6"/>
        <v>0.82270301322785977</v>
      </c>
      <c r="G12" s="184">
        <f t="shared" si="6"/>
        <v>0.82270301322785977</v>
      </c>
      <c r="H12" s="184">
        <f t="shared" si="6"/>
        <v>0.82270301322785977</v>
      </c>
      <c r="I12" s="184">
        <f t="shared" si="6"/>
        <v>0.82270301322785999</v>
      </c>
      <c r="J12" s="184">
        <f t="shared" si="6"/>
        <v>0.82270301322785966</v>
      </c>
      <c r="K12" s="184">
        <f t="shared" si="6"/>
        <v>0.82270301322785988</v>
      </c>
      <c r="L12" s="184">
        <f t="shared" si="6"/>
        <v>0.82270301322785977</v>
      </c>
      <c r="M12" s="184">
        <f t="shared" si="6"/>
        <v>0.82270301322785988</v>
      </c>
    </row>
    <row r="13" spans="1:14" ht="15">
      <c r="A13" s="157" t="s">
        <v>1748</v>
      </c>
      <c r="B13" s="207">
        <f t="shared" ref="B13:M13" si="7">$B$30</f>
        <v>182000</v>
      </c>
      <c r="C13" s="207">
        <f t="shared" si="7"/>
        <v>182000</v>
      </c>
      <c r="D13" s="207">
        <f t="shared" si="7"/>
        <v>182000</v>
      </c>
      <c r="E13" s="207">
        <f t="shared" si="7"/>
        <v>182000</v>
      </c>
      <c r="F13" s="207">
        <f t="shared" si="7"/>
        <v>182000</v>
      </c>
      <c r="G13" s="207">
        <f t="shared" si="7"/>
        <v>182000</v>
      </c>
      <c r="H13" s="207">
        <f t="shared" si="7"/>
        <v>182000</v>
      </c>
      <c r="I13" s="207">
        <f t="shared" si="7"/>
        <v>182000</v>
      </c>
      <c r="J13" s="207">
        <f t="shared" si="7"/>
        <v>182000</v>
      </c>
      <c r="K13" s="207">
        <f t="shared" si="7"/>
        <v>182000</v>
      </c>
      <c r="L13" s="207">
        <f t="shared" si="7"/>
        <v>182000</v>
      </c>
      <c r="M13" s="207">
        <f t="shared" si="7"/>
        <v>182000</v>
      </c>
    </row>
    <row r="14" spans="1:14" ht="15">
      <c r="A14" s="202" t="s">
        <v>1749</v>
      </c>
      <c r="B14" s="217">
        <f t="shared" ref="B14:M14" si="8">B11-B13</f>
        <v>-125155.60074126779</v>
      </c>
      <c r="C14" s="217">
        <f t="shared" si="8"/>
        <v>-118334.27283021992</v>
      </c>
      <c r="D14" s="217">
        <f t="shared" si="8"/>
        <v>-110694.3855698463</v>
      </c>
      <c r="E14" s="217">
        <f t="shared" si="8"/>
        <v>-102137.71183822786</v>
      </c>
      <c r="F14" s="217">
        <f t="shared" si="8"/>
        <v>-92554.237258815192</v>
      </c>
      <c r="G14" s="217">
        <f t="shared" si="8"/>
        <v>-81820.745729873015</v>
      </c>
      <c r="H14" s="217">
        <f t="shared" si="8"/>
        <v>-69799.235217457768</v>
      </c>
      <c r="I14" s="217">
        <f t="shared" si="8"/>
        <v>-56335.14344355269</v>
      </c>
      <c r="J14" s="217">
        <f t="shared" si="8"/>
        <v>-41255.360656779027</v>
      </c>
      <c r="K14" s="217">
        <f t="shared" si="8"/>
        <v>-24366.003935592482</v>
      </c>
      <c r="L14" s="217">
        <f t="shared" si="8"/>
        <v>-5449.924407863582</v>
      </c>
      <c r="M14" s="217">
        <f t="shared" si="8"/>
        <v>15736.084663192829</v>
      </c>
    </row>
    <row r="15" spans="1:14" ht="15">
      <c r="A15" s="157" t="s">
        <v>1750</v>
      </c>
      <c r="B15" s="207">
        <f t="shared" ref="B15:M15" si="9">IF(B9=0,0,B14/B9)</f>
        <v>-1.8113638492954389</v>
      </c>
      <c r="C15" s="207">
        <f t="shared" si="9"/>
        <v>-1.5291423997393714</v>
      </c>
      <c r="D15" s="207">
        <f t="shared" si="9"/>
        <v>-1.2771589626357391</v>
      </c>
      <c r="E15" s="207">
        <f t="shared" si="9"/>
        <v>-1.0521737509360676</v>
      </c>
      <c r="F15" s="207">
        <f t="shared" si="9"/>
        <v>-0.85129409763278951</v>
      </c>
      <c r="G15" s="207">
        <f t="shared" si="9"/>
        <v>-0.67193726432629142</v>
      </c>
      <c r="H15" s="207">
        <f t="shared" si="9"/>
        <v>-0.51179723458834647</v>
      </c>
      <c r="I15" s="207">
        <f t="shared" si="9"/>
        <v>-0.36881506517946722</v>
      </c>
      <c r="J15" s="207">
        <f t="shared" si="9"/>
        <v>-0.24115241392153935</v>
      </c>
      <c r="K15" s="207">
        <f t="shared" si="9"/>
        <v>-0.12716790386981788</v>
      </c>
      <c r="L15" s="207">
        <f t="shared" si="9"/>
        <v>-2.5396019895066714E-2</v>
      </c>
      <c r="M15" s="207">
        <f t="shared" si="9"/>
        <v>6.5471733653818434E-2</v>
      </c>
    </row>
    <row r="16" spans="1:14" ht="15">
      <c r="A16" s="157" t="s">
        <v>1751</v>
      </c>
      <c r="B16" s="207">
        <f t="shared" ref="B16:M16" si="10">$B$31</f>
        <v>0</v>
      </c>
      <c r="C16" s="207">
        <f t="shared" si="10"/>
        <v>0</v>
      </c>
      <c r="D16" s="207">
        <f t="shared" si="10"/>
        <v>0</v>
      </c>
      <c r="E16" s="207">
        <f t="shared" si="10"/>
        <v>0</v>
      </c>
      <c r="F16" s="207">
        <f t="shared" si="10"/>
        <v>0</v>
      </c>
      <c r="G16" s="207">
        <f t="shared" si="10"/>
        <v>0</v>
      </c>
      <c r="H16" s="207">
        <f t="shared" si="10"/>
        <v>0</v>
      </c>
      <c r="I16" s="207">
        <f t="shared" si="10"/>
        <v>0</v>
      </c>
      <c r="J16" s="207">
        <f t="shared" si="10"/>
        <v>0</v>
      </c>
      <c r="K16" s="207">
        <f t="shared" si="10"/>
        <v>0</v>
      </c>
      <c r="L16" s="207">
        <f t="shared" si="10"/>
        <v>0</v>
      </c>
      <c r="M16" s="207">
        <f t="shared" si="10"/>
        <v>0</v>
      </c>
    </row>
    <row r="17" spans="1:13" ht="15">
      <c r="A17" s="157" t="s">
        <v>1752</v>
      </c>
      <c r="B17" s="207">
        <f>'Cash Runway'!J18</f>
        <v>0</v>
      </c>
      <c r="C17" s="207">
        <f>'Cash Runway'!J19</f>
        <v>0</v>
      </c>
      <c r="D17" s="207">
        <f>'Cash Runway'!J20</f>
        <v>0</v>
      </c>
      <c r="E17" s="207">
        <f>'Cash Runway'!J21</f>
        <v>0</v>
      </c>
      <c r="F17" s="207">
        <f>'Cash Runway'!J22</f>
        <v>0</v>
      </c>
      <c r="G17" s="207">
        <f>'Cash Runway'!J23</f>
        <v>0</v>
      </c>
      <c r="H17" s="207">
        <f>'Cash Runway'!J24</f>
        <v>0</v>
      </c>
      <c r="I17" s="207">
        <f>'Cash Runway'!J25</f>
        <v>0</v>
      </c>
      <c r="J17" s="207">
        <f>'Cash Runway'!J26</f>
        <v>0</v>
      </c>
      <c r="K17" s="207">
        <f>'Cash Runway'!J27</f>
        <v>0</v>
      </c>
      <c r="L17" s="207">
        <f>'Cash Runway'!J28</f>
        <v>0</v>
      </c>
      <c r="M17" s="207">
        <f>'Cash Runway'!J29</f>
        <v>0</v>
      </c>
    </row>
    <row r="18" spans="1:13" ht="15">
      <c r="A18" s="157" t="s">
        <v>1753</v>
      </c>
      <c r="B18" s="207">
        <f t="shared" ref="B18:M18" si="11">B14-B16+B17</f>
        <v>-125155.60074126779</v>
      </c>
      <c r="C18" s="207">
        <f t="shared" si="11"/>
        <v>-118334.27283021992</v>
      </c>
      <c r="D18" s="207">
        <f t="shared" si="11"/>
        <v>-110694.3855698463</v>
      </c>
      <c r="E18" s="207">
        <f t="shared" si="11"/>
        <v>-102137.71183822786</v>
      </c>
      <c r="F18" s="207">
        <f t="shared" si="11"/>
        <v>-92554.237258815192</v>
      </c>
      <c r="G18" s="207">
        <f t="shared" si="11"/>
        <v>-81820.745729873015</v>
      </c>
      <c r="H18" s="207">
        <f t="shared" si="11"/>
        <v>-69799.235217457768</v>
      </c>
      <c r="I18" s="207">
        <f t="shared" si="11"/>
        <v>-56335.14344355269</v>
      </c>
      <c r="J18" s="207">
        <f t="shared" si="11"/>
        <v>-41255.360656779027</v>
      </c>
      <c r="K18" s="207">
        <f t="shared" si="11"/>
        <v>-24366.003935592482</v>
      </c>
      <c r="L18" s="207">
        <f t="shared" si="11"/>
        <v>-5449.924407863582</v>
      </c>
      <c r="M18" s="207">
        <f t="shared" si="11"/>
        <v>15736.084663192829</v>
      </c>
    </row>
    <row r="19" spans="1:13" ht="15">
      <c r="A19" s="202" t="s">
        <v>500</v>
      </c>
      <c r="B19" s="217">
        <f>'Cash Runway'!K18</f>
        <v>1174844.3992587323</v>
      </c>
      <c r="C19" s="217">
        <f>'Cash Runway'!K19</f>
        <v>1056510.1264285124</v>
      </c>
      <c r="D19" s="217">
        <f>'Cash Runway'!K20</f>
        <v>945815.74085866613</v>
      </c>
      <c r="E19" s="217">
        <f>'Cash Runway'!K21</f>
        <v>843678.02902043832</v>
      </c>
      <c r="F19" s="217">
        <f>'Cash Runway'!K22</f>
        <v>751123.79176162311</v>
      </c>
      <c r="G19" s="217">
        <f>'Cash Runway'!K23</f>
        <v>669303.04603175004</v>
      </c>
      <c r="H19" s="217">
        <f>'Cash Runway'!K24</f>
        <v>599503.81081429229</v>
      </c>
      <c r="I19" s="217">
        <f>'Cash Runway'!K25</f>
        <v>543168.66737073963</v>
      </c>
      <c r="J19" s="217">
        <f>'Cash Runway'!K26</f>
        <v>501913.3067139606</v>
      </c>
      <c r="K19" s="217">
        <f>'Cash Runway'!K27</f>
        <v>477547.30277836812</v>
      </c>
      <c r="L19" s="217">
        <f>'Cash Runway'!K28</f>
        <v>472097.37837050454</v>
      </c>
      <c r="M19" s="217">
        <f>'Cash Runway'!K29</f>
        <v>487833.46303369734</v>
      </c>
    </row>
    <row r="23" spans="1:13" ht="15">
      <c r="A23" s="187" t="s">
        <v>1754</v>
      </c>
      <c r="B23" s="187" t="s">
        <v>2</v>
      </c>
      <c r="C23" s="187" t="s">
        <v>3</v>
      </c>
      <c r="D23" s="187" t="s">
        <v>1755</v>
      </c>
    </row>
    <row r="24" spans="1:13">
      <c r="A24" t="s">
        <v>1756</v>
      </c>
      <c r="B24" s="207">
        <f>IF('Whitefield Monthly Projection'!$Q$19=0,0,'Whitefield Monthly Projection'!$Q$27/'Whitefield Monthly Projection'!$Q$19)</f>
        <v>2120.5160000000001</v>
      </c>
      <c r="C24" t="s">
        <v>20</v>
      </c>
      <c r="D24" t="s">
        <v>1757</v>
      </c>
    </row>
    <row r="25" spans="1:13">
      <c r="A25" t="s">
        <v>1758</v>
      </c>
      <c r="B25" s="207">
        <f>IF('Whitefield Monthly Projection'!$Q$19=0,0,('Whitefield Monthly Projection'!$Q$28+'Whitefield Monthly Projection'!$Q$29)/'Whitefield Monthly Projection'!$Q$19)</f>
        <v>283.86854237288117</v>
      </c>
      <c r="C25" t="s">
        <v>20</v>
      </c>
      <c r="D25" t="s">
        <v>1757</v>
      </c>
    </row>
    <row r="26" spans="1:13">
      <c r="A26" t="s">
        <v>1759</v>
      </c>
      <c r="B26" s="207">
        <f>'Whitefield Monthly Projection'!$B$16*'Global Inputs'!$B$15</f>
        <v>200</v>
      </c>
      <c r="C26" t="s">
        <v>20</v>
      </c>
      <c r="D26" t="s">
        <v>1760</v>
      </c>
    </row>
    <row r="27" spans="1:13">
      <c r="A27" t="s">
        <v>1721</v>
      </c>
      <c r="B27" s="207">
        <f>IF('Whitefield Monthly Projection'!$Q$19=0,0,'Whitefield Monthly Projection'!$Q$30/'Whitefield Monthly Projection'!$Q$19)</f>
        <v>1836.6474576271187</v>
      </c>
      <c r="C27" t="s">
        <v>20</v>
      </c>
      <c r="D27" t="s">
        <v>1757</v>
      </c>
    </row>
    <row r="28" spans="1:13">
      <c r="A28" t="s">
        <v>1761</v>
      </c>
      <c r="B28" s="207">
        <f>B27-B29</f>
        <v>325.63206000000014</v>
      </c>
      <c r="C28" t="s">
        <v>20</v>
      </c>
      <c r="D28" t="s">
        <v>1762</v>
      </c>
    </row>
    <row r="29" spans="1:13">
      <c r="A29" t="s">
        <v>367</v>
      </c>
      <c r="B29" s="207">
        <f>'Whitefield Monthly Projection'!$Q$34</f>
        <v>1511.0153976271185</v>
      </c>
      <c r="C29" t="s">
        <v>20</v>
      </c>
      <c r="D29" t="s">
        <v>1757</v>
      </c>
    </row>
    <row r="30" spans="1:13">
      <c r="A30" t="s">
        <v>1763</v>
      </c>
      <c r="B30" s="207">
        <f>'Cash Runway'!$B$11</f>
        <v>182000</v>
      </c>
      <c r="C30" t="s">
        <v>1235</v>
      </c>
      <c r="D30" t="s">
        <v>1764</v>
      </c>
    </row>
    <row r="31" spans="1:13">
      <c r="A31" t="s">
        <v>1765</v>
      </c>
      <c r="B31" s="207">
        <f>'Cash Runway'!$B$14</f>
        <v>0</v>
      </c>
      <c r="C31" t="s">
        <v>1235</v>
      </c>
      <c r="D31" t="s">
        <v>1766</v>
      </c>
    </row>
  </sheetData>
  <mergeCells count="2">
    <mergeCell ref="A1:N1"/>
    <mergeCell ref="A2:N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43"/>
  <sheetViews>
    <sheetView workbookViewId="0">
      <selection sqref="A1:P1"/>
    </sheetView>
  </sheetViews>
  <sheetFormatPr baseColWidth="10" defaultColWidth="8.83203125" defaultRowHeight="14"/>
  <cols>
    <col min="1" max="1" width="28" customWidth="1"/>
    <col min="2" max="3" width="18" customWidth="1"/>
    <col min="4" max="4" width="20" customWidth="1"/>
    <col min="6" max="6" width="32" customWidth="1"/>
    <col min="7" max="7" width="14" customWidth="1"/>
    <col min="8" max="13" width="15" customWidth="1"/>
    <col min="14" max="16" width="14" customWidth="1"/>
    <col min="18" max="18" width="34" customWidth="1"/>
    <col min="19" max="19" width="18" customWidth="1"/>
  </cols>
  <sheetData>
    <row r="1" spans="1:19" ht="23">
      <c r="A1" s="483" t="s">
        <v>1767</v>
      </c>
      <c r="B1" s="483"/>
      <c r="C1" s="483"/>
      <c r="D1" s="483"/>
      <c r="E1" s="483"/>
      <c r="F1" s="483"/>
      <c r="G1" s="483"/>
      <c r="H1" s="483"/>
      <c r="I1" s="483"/>
      <c r="J1" s="483"/>
      <c r="K1" s="483"/>
      <c r="L1" s="483"/>
      <c r="M1" s="483"/>
      <c r="N1" s="483"/>
      <c r="O1" s="483"/>
      <c r="P1" s="483"/>
    </row>
    <row r="2" spans="1:19" ht="15">
      <c r="A2" s="425" t="s">
        <v>1768</v>
      </c>
      <c r="B2" s="425"/>
      <c r="C2" s="425"/>
      <c r="D2" s="425"/>
      <c r="E2" s="425"/>
      <c r="F2" s="425"/>
      <c r="G2" s="425"/>
      <c r="H2" s="425"/>
      <c r="I2" s="425"/>
      <c r="J2" s="425"/>
      <c r="K2" s="425"/>
      <c r="L2" s="425"/>
      <c r="M2" s="425"/>
      <c r="N2" s="425"/>
      <c r="O2" s="425"/>
      <c r="P2" s="425"/>
    </row>
    <row r="4" spans="1:19" ht="15">
      <c r="A4" s="484" t="s">
        <v>492</v>
      </c>
      <c r="B4" s="484"/>
      <c r="C4" s="484"/>
      <c r="D4" s="484" t="s">
        <v>215</v>
      </c>
      <c r="E4" s="484"/>
      <c r="F4" s="484"/>
      <c r="G4" s="484" t="s">
        <v>238</v>
      </c>
      <c r="H4" s="484"/>
      <c r="I4" s="484"/>
      <c r="J4" s="484" t="s">
        <v>1664</v>
      </c>
      <c r="K4" s="484"/>
      <c r="L4" s="484"/>
      <c r="M4" s="484" t="s">
        <v>1769</v>
      </c>
      <c r="N4" s="484"/>
      <c r="O4" s="484"/>
      <c r="P4" s="484"/>
      <c r="R4" s="187" t="s">
        <v>1770</v>
      </c>
      <c r="S4" s="187" t="s">
        <v>976</v>
      </c>
    </row>
    <row r="5" spans="1:19">
      <c r="A5" s="485">
        <f>'Whitefield Monthly Projection'!$Q$19</f>
        <v>37.620000000000005</v>
      </c>
      <c r="B5" s="485"/>
      <c r="C5" s="485"/>
      <c r="D5" s="486">
        <f>'Whitefield Monthly Projection'!$Q$30</f>
        <v>69094.677355932217</v>
      </c>
      <c r="E5" s="487"/>
      <c r="F5" s="487"/>
      <c r="G5" s="486">
        <f>'Whitefield Monthly Projection'!$Q$32</f>
        <v>56844.399258732206</v>
      </c>
      <c r="H5" s="487"/>
      <c r="I5" s="487"/>
      <c r="J5" s="486">
        <f>'Whitefield Monthly Projection'!$Q$37</f>
        <v>-81155.600741267786</v>
      </c>
      <c r="K5" s="487"/>
      <c r="L5" s="487"/>
      <c r="M5" s="488" t="str">
        <f>'Cash Runway'!$G$8</f>
        <v>&gt;18 months</v>
      </c>
      <c r="N5" s="488"/>
      <c r="O5" s="488"/>
      <c r="P5" s="488"/>
      <c r="R5" t="s">
        <v>1771</v>
      </c>
      <c r="S5" s="7">
        <f>IF('Whitefield Monthly Projection'!$Q$19=0,0,'Whitefield Monthly Projection'!$Q$27/'Whitefield Monthly Projection'!$Q$19)</f>
        <v>2120.5160000000001</v>
      </c>
    </row>
    <row r="6" spans="1:19">
      <c r="A6" s="485"/>
      <c r="B6" s="485"/>
      <c r="C6" s="485"/>
      <c r="D6" s="487"/>
      <c r="E6" s="487"/>
      <c r="F6" s="487"/>
      <c r="G6" s="487"/>
      <c r="H6" s="487"/>
      <c r="I6" s="487"/>
      <c r="J6" s="487"/>
      <c r="K6" s="487"/>
      <c r="L6" s="487"/>
      <c r="M6" s="488"/>
      <c r="N6" s="488"/>
      <c r="O6" s="488"/>
      <c r="P6" s="488"/>
      <c r="R6" t="s">
        <v>1772</v>
      </c>
      <c r="S6" s="7">
        <f>IF('Whitefield Monthly Projection'!$Q$19=0,0,('Whitefield Monthly Projection'!$Q$28+'Whitefield Monthly Projection'!$Q$29)/'Whitefield Monthly Projection'!$Q$19)</f>
        <v>283.86854237288117</v>
      </c>
    </row>
    <row r="7" spans="1:19">
      <c r="R7" t="s">
        <v>1773</v>
      </c>
      <c r="S7" s="7">
        <f>'Whitefield Monthly Projection'!$B$16*'Global Inputs'!$B$15</f>
        <v>200</v>
      </c>
    </row>
    <row r="8" spans="1:19" ht="15">
      <c r="A8" s="489" t="s">
        <v>435</v>
      </c>
      <c r="B8" s="489"/>
      <c r="C8" s="489" t="s">
        <v>1774</v>
      </c>
      <c r="D8" s="489"/>
      <c r="E8" s="489" t="s">
        <v>280</v>
      </c>
      <c r="F8" s="489"/>
      <c r="G8" s="489" t="s">
        <v>1630</v>
      </c>
      <c r="H8" s="489"/>
      <c r="I8" s="489" t="s">
        <v>1662</v>
      </c>
      <c r="J8" s="489"/>
      <c r="K8" s="489" t="s">
        <v>1775</v>
      </c>
      <c r="L8" s="489"/>
      <c r="M8" s="489" t="s">
        <v>1776</v>
      </c>
      <c r="N8" s="489"/>
      <c r="O8" s="489" t="s">
        <v>250</v>
      </c>
      <c r="P8" s="489"/>
      <c r="R8" t="s">
        <v>199</v>
      </c>
      <c r="S8" s="7">
        <f>'Whitefield Monthly Projection'!$Q$34+IF('Whitefield Monthly Projection'!$Q$19=0,0,'Whitefield Monthly Projection'!$Q$31/'Whitefield Monthly Projection'!$Q$19)</f>
        <v>1836.6474576271189</v>
      </c>
    </row>
    <row r="9" spans="1:19">
      <c r="A9" s="490">
        <f>'Whitefield Monthly Projection'!$Q$34</f>
        <v>1511.0153976271185</v>
      </c>
      <c r="B9" s="491"/>
      <c r="C9" s="490">
        <f>IF('Whitefield Monthly Projection'!$Q$19=0,0,'Whitefield Monthly Projection'!$Q$34-'Global Inputs'!$B$30/'Whitefield Monthly Projection'!$Q$19)</f>
        <v>394.58796541021275</v>
      </c>
      <c r="D9" s="491"/>
      <c r="E9" s="490">
        <f>'Whitefield Monthly Projection'!$Q$35</f>
        <v>327.05960987599968</v>
      </c>
      <c r="F9" s="491"/>
      <c r="G9" s="490">
        <f>'Customer Economics'!$B$11</f>
        <v>204.5</v>
      </c>
      <c r="H9" s="491"/>
      <c r="I9" s="490">
        <f>'Customer Economics'!$B$20</f>
        <v>4130.4521230528535</v>
      </c>
      <c r="J9" s="491"/>
      <c r="K9" s="492">
        <f>'Customer Economics'!$B$21</f>
        <v>20.19780989267899</v>
      </c>
      <c r="L9" s="492"/>
      <c r="M9" s="493">
        <f>'Customer Economics'!$G$8</f>
        <v>0.4</v>
      </c>
      <c r="N9" s="493"/>
      <c r="O9" s="493">
        <f>'Whitefield Monthly Projection'!$Q$21</f>
        <v>0.18104625000000002</v>
      </c>
      <c r="P9" s="493"/>
      <c r="R9" t="s">
        <v>1777</v>
      </c>
      <c r="S9" s="7">
        <f>IF('Whitefield Monthly Projection'!$Q$19=0,0,'Whitefield Monthly Projection'!$Q$31/'Whitefield Monthly Projection'!$Q$19)</f>
        <v>325.63206000000025</v>
      </c>
    </row>
    <row r="10" spans="1:19">
      <c r="A10" s="491"/>
      <c r="B10" s="491"/>
      <c r="C10" s="491"/>
      <c r="D10" s="491"/>
      <c r="E10" s="491"/>
      <c r="F10" s="491"/>
      <c r="G10" s="491"/>
      <c r="H10" s="491"/>
      <c r="I10" s="491"/>
      <c r="J10" s="491"/>
      <c r="K10" s="492"/>
      <c r="L10" s="492"/>
      <c r="M10" s="493"/>
      <c r="N10" s="493"/>
      <c r="O10" s="493"/>
      <c r="P10" s="493"/>
      <c r="R10" t="s">
        <v>1778</v>
      </c>
      <c r="S10" s="7">
        <f>'Whitefield Monthly Projection'!$Q$34</f>
        <v>1511.0153976271185</v>
      </c>
    </row>
    <row r="11" spans="1:19">
      <c r="R11" t="s">
        <v>1779</v>
      </c>
      <c r="S11" s="7">
        <f>IF('Whitefield Monthly Projection'!$Q$19=0,0,'Global Inputs'!$B$30/'Whitefield Monthly Projection'!$Q$19)</f>
        <v>1116.4274322169058</v>
      </c>
    </row>
    <row r="13" spans="1:19" ht="15">
      <c r="A13" s="480" t="s">
        <v>1780</v>
      </c>
      <c r="B13" s="480"/>
      <c r="C13" s="480"/>
      <c r="D13" s="480"/>
      <c r="E13" s="480"/>
      <c r="F13" s="480" t="s">
        <v>1781</v>
      </c>
      <c r="G13" s="480"/>
      <c r="H13" s="480"/>
      <c r="I13" s="175"/>
      <c r="J13" s="175"/>
      <c r="K13" s="175"/>
      <c r="L13" s="175"/>
      <c r="M13" s="175"/>
      <c r="N13" s="175"/>
      <c r="O13" s="175"/>
      <c r="P13" s="175"/>
    </row>
    <row r="14" spans="1:19" ht="16">
      <c r="A14" s="198" t="s">
        <v>235</v>
      </c>
      <c r="B14" s="198" t="s">
        <v>1782</v>
      </c>
      <c r="C14" s="198" t="s">
        <v>3</v>
      </c>
      <c r="D14" s="198" t="s">
        <v>1385</v>
      </c>
      <c r="F14" s="198" t="s">
        <v>994</v>
      </c>
      <c r="G14" s="198" t="s">
        <v>558</v>
      </c>
      <c r="H14" s="198" t="s">
        <v>1783</v>
      </c>
      <c r="I14" s="198" t="s">
        <v>1784</v>
      </c>
      <c r="J14" s="198"/>
      <c r="K14" s="198"/>
      <c r="L14" s="198"/>
      <c r="M14" s="198"/>
      <c r="N14" s="198"/>
      <c r="O14" s="198"/>
      <c r="P14" s="198"/>
    </row>
    <row r="15" spans="1:19">
      <c r="A15" t="s">
        <v>221</v>
      </c>
      <c r="B15" s="203">
        <f>'Whitefield Monthly Projection'!$Q$39</f>
        <v>91.329314192769729</v>
      </c>
      <c r="C15" t="s">
        <v>1620</v>
      </c>
      <c r="D15" t="s">
        <v>1785</v>
      </c>
      <c r="F15" t="s">
        <v>1786</v>
      </c>
      <c r="G15" s="6" t="str">
        <f>IF($C$9&gt;500,"GREEN",IF($C$9&gt;250,"AMBER","RED"))</f>
        <v>AMBER</v>
      </c>
      <c r="H15" s="494" t="s">
        <v>1787</v>
      </c>
      <c r="I15" s="494"/>
      <c r="J15" s="494"/>
      <c r="K15" s="494"/>
      <c r="L15" s="494"/>
      <c r="M15" s="494"/>
      <c r="N15" s="495">
        <f>C9</f>
        <v>394.58796541021275</v>
      </c>
      <c r="O15" s="494"/>
      <c r="P15" s="494"/>
    </row>
    <row r="16" spans="1:19">
      <c r="A16" t="s">
        <v>222</v>
      </c>
      <c r="B16" s="203">
        <f>'Whitefield Monthly Projection'!$Q$40</f>
        <v>3.0443104730923243</v>
      </c>
      <c r="C16" t="s">
        <v>1788</v>
      </c>
      <c r="D16" t="s">
        <v>1789</v>
      </c>
      <c r="F16" t="s">
        <v>1790</v>
      </c>
      <c r="G16" s="6" t="str">
        <f>IF(AND($O$9&gt;=0.75,$J$5&gt;=0),"GREEN",IF($O$9&gt;=0.6,"AMBER","RED"))</f>
        <v>RED</v>
      </c>
      <c r="H16" s="494" t="s">
        <v>1791</v>
      </c>
      <c r="I16" s="494"/>
      <c r="J16" s="494"/>
      <c r="K16" s="494"/>
      <c r="L16" s="494"/>
      <c r="M16" s="494"/>
      <c r="N16" s="496">
        <f>O9</f>
        <v>0.18104625000000002</v>
      </c>
      <c r="O16" s="494"/>
      <c r="P16" s="494"/>
    </row>
    <row r="17" spans="1:16">
      <c r="A17" t="s">
        <v>1792</v>
      </c>
      <c r="B17" s="203">
        <f>IF('Whitefield Monthly Projection'!$B$12*(1-'Whitefield Monthly Projection'!$B$13)*(1-'Whitefield Monthly Projection'!$B$14)=0,0,B16/('Whitefield Monthly Projection'!$B$12*(1-'Whitefield Monthly Projection'!$B$13)*(1-'Whitefield Monthly Projection'!$B$14)))</f>
        <v>14.566078818623561</v>
      </c>
      <c r="C17" t="s">
        <v>1793</v>
      </c>
      <c r="D17" t="s">
        <v>1794</v>
      </c>
      <c r="F17" t="s">
        <v>1795</v>
      </c>
      <c r="G17" s="6" t="str">
        <f>IF(AND($K$9&gt;=3,$J$5&gt;=0),"GREEN",IF($K$9&gt;=2,"AMBER","RED"))</f>
        <v>AMBER</v>
      </c>
      <c r="H17" s="494" t="s">
        <v>1796</v>
      </c>
      <c r="I17" s="494"/>
      <c r="J17" s="494"/>
      <c r="K17" s="494"/>
      <c r="L17" s="494"/>
      <c r="M17" s="494"/>
      <c r="N17" s="497">
        <f>K9</f>
        <v>20.19780989267899</v>
      </c>
      <c r="O17" s="494"/>
      <c r="P17" s="494"/>
    </row>
    <row r="18" spans="1:16">
      <c r="A18" t="s">
        <v>224</v>
      </c>
      <c r="B18" s="203">
        <f>IF('Global Inputs'!$B$27*'Global Inputs'!$B$28*'Global Inputs'!$B$29=0,0,B15*'Whitefield Monthly Projection'!$Q$15/('Global Inputs'!$B$27*'Global Inputs'!$B$28*'Global Inputs'!$B$29))</f>
        <v>3.1208685767055924</v>
      </c>
      <c r="C18" t="s">
        <v>1036</v>
      </c>
      <c r="D18" t="s">
        <v>1797</v>
      </c>
      <c r="F18" t="s">
        <v>1798</v>
      </c>
      <c r="G18" s="6" t="str">
        <f>IF($K$9&gt;=3,"GREEN",IF($K$9&gt;=2,"AMBER","RED"))</f>
        <v>GREEN</v>
      </c>
      <c r="H18" s="494" t="s">
        <v>1799</v>
      </c>
      <c r="I18" s="494"/>
      <c r="J18" s="494"/>
      <c r="K18" s="494"/>
      <c r="L18" s="494"/>
      <c r="M18" s="494"/>
      <c r="N18" s="497">
        <f>K9</f>
        <v>20.19780989267899</v>
      </c>
      <c r="O18" s="494"/>
      <c r="P18" s="494"/>
    </row>
    <row r="19" spans="1:16">
      <c r="A19" t="s">
        <v>1800</v>
      </c>
      <c r="B19" s="207">
        <f>'Whitefield Monthly Projection'!$Q$32</f>
        <v>56844.399258732206</v>
      </c>
      <c r="C19" t="s">
        <v>1235</v>
      </c>
      <c r="D19" t="s">
        <v>1801</v>
      </c>
      <c r="F19" t="s">
        <v>1802</v>
      </c>
      <c r="G19" s="6" t="str">
        <f>IF($B$21/$G$5&lt;=0.05,"GREEN",IF($B$21/$G$5&lt;=0.1,"AMBER","RED"))</f>
        <v>GREEN</v>
      </c>
      <c r="H19" s="494" t="s">
        <v>1803</v>
      </c>
      <c r="I19" s="494"/>
      <c r="J19" s="494"/>
      <c r="K19" s="494"/>
      <c r="L19" s="494"/>
      <c r="M19" s="494"/>
      <c r="N19" s="496">
        <f>IF(G5=0,0,B21/G5)</f>
        <v>4.3104828780886437E-2</v>
      </c>
      <c r="O19" s="494"/>
      <c r="P19" s="494"/>
    </row>
    <row r="20" spans="1:16">
      <c r="A20" t="s">
        <v>1712</v>
      </c>
      <c r="B20" s="207">
        <f>MAX(-'Whitefield Monthly Projection'!$Q$37,0)</f>
        <v>81155.600741267786</v>
      </c>
      <c r="C20" t="s">
        <v>1235</v>
      </c>
      <c r="D20" t="s">
        <v>1804</v>
      </c>
      <c r="F20" t="s">
        <v>1805</v>
      </c>
      <c r="G20" s="6" t="str">
        <f>IF('MVP1 Pricing &amp; SKU'!$V$30&gt;0,"GREEN","RED")</f>
        <v>GREEN</v>
      </c>
      <c r="H20" s="494" t="s">
        <v>1806</v>
      </c>
      <c r="I20" s="494"/>
      <c r="J20" s="494"/>
      <c r="K20" s="494"/>
      <c r="L20" s="494"/>
      <c r="M20" s="494"/>
      <c r="N20" s="495">
        <f>'MVP1 Pricing &amp; SKU'!$V$30</f>
        <v>139.37453465048642</v>
      </c>
      <c r="O20" s="494"/>
      <c r="P20" s="494"/>
    </row>
    <row r="21" spans="1:16">
      <c r="A21" t="s">
        <v>1807</v>
      </c>
      <c r="B21" s="207">
        <f>'Whitefield Monthly Projection'!$V$17</f>
        <v>2450.2680971999998</v>
      </c>
      <c r="C21" t="s">
        <v>1235</v>
      </c>
      <c r="D21" t="s">
        <v>1808</v>
      </c>
      <c r="F21" t="s">
        <v>1809</v>
      </c>
      <c r="G21" s="6" t="str">
        <f>IF(AND($J$5&gt;0,$O$9&gt;=0.7),"GREEN",IF($J$5&gt;0,"AMBER","RED"))</f>
        <v>RED</v>
      </c>
      <c r="H21" s="494" t="s">
        <v>1810</v>
      </c>
      <c r="I21" s="494"/>
      <c r="J21" s="494"/>
      <c r="K21" s="494"/>
      <c r="L21" s="494"/>
      <c r="M21" s="494"/>
      <c r="N21" s="495">
        <f>J5</f>
        <v>-81155.600741267786</v>
      </c>
      <c r="O21" s="494"/>
      <c r="P21" s="494"/>
    </row>
    <row r="22" spans="1:16">
      <c r="F22" t="s">
        <v>1811</v>
      </c>
      <c r="G22" s="6" t="str">
        <f>IF(AND('Whitefield Monthly Projection'!$Q$19&gt;=250,'Customer Economics'!$G$8&gt;=0.4,'Whitefield Monthly Projection'!$Q$37&gt;=0,'Whitefield Monthly Projection'!$Q$21&gt;=0.6,'Cash Runway'!$G$8="&gt;18 months"),"GREEN","RED")</f>
        <v>RED</v>
      </c>
      <c r="H22" s="494" t="s">
        <v>1812</v>
      </c>
      <c r="I22" s="494"/>
      <c r="J22" s="494"/>
      <c r="K22" s="494"/>
      <c r="L22" s="494"/>
      <c r="M22" s="494"/>
      <c r="N22" s="498">
        <f>'Whitefield Monthly Projection'!$Q$19</f>
        <v>37.620000000000005</v>
      </c>
      <c r="O22" s="494"/>
      <c r="P22" s="494"/>
    </row>
    <row r="25" spans="1:16" ht="15">
      <c r="A25" s="480" t="s">
        <v>1813</v>
      </c>
      <c r="B25" s="480"/>
      <c r="C25" s="480"/>
      <c r="D25" s="480"/>
      <c r="E25" s="480"/>
      <c r="F25" s="480" t="s">
        <v>1814</v>
      </c>
      <c r="G25" s="480"/>
      <c r="H25" s="480"/>
      <c r="I25" s="175"/>
      <c r="J25" s="175"/>
      <c r="K25" s="175"/>
      <c r="L25" s="175"/>
      <c r="M25" s="175"/>
      <c r="N25" s="175"/>
      <c r="O25" s="175"/>
      <c r="P25" s="175"/>
    </row>
    <row r="26" spans="1:16" ht="16">
      <c r="A26" s="198" t="s">
        <v>1815</v>
      </c>
      <c r="B26" s="198" t="s">
        <v>336</v>
      </c>
      <c r="C26" s="198" t="s">
        <v>1016</v>
      </c>
      <c r="D26" s="198" t="s">
        <v>1816</v>
      </c>
      <c r="F26" s="198" t="s">
        <v>235</v>
      </c>
      <c r="G26" s="198" t="s">
        <v>336</v>
      </c>
      <c r="H26" s="198" t="s">
        <v>1817</v>
      </c>
    </row>
    <row r="27" spans="1:16">
      <c r="A27" t="s">
        <v>325</v>
      </c>
      <c r="B27" s="174">
        <f>'Whitefield Monthly Projection'!$Q$19</f>
        <v>37.620000000000005</v>
      </c>
      <c r="C27" s="214">
        <v>250</v>
      </c>
      <c r="D27" s="6" t="str">
        <f>IF(B27&gt;=C27,"YES","NO")</f>
        <v>NO</v>
      </c>
      <c r="F27" t="s">
        <v>1818</v>
      </c>
      <c r="G27" s="207">
        <f>'Whitefield Monthly Projection'!$Q$34</f>
        <v>1511.0153976271185</v>
      </c>
      <c r="H27" s="499" t="str">
        <f>IF(G27&gt;0,"Positive unit contribution","Negative unit contribution")</f>
        <v>Positive unit contribution</v>
      </c>
      <c r="I27" s="494"/>
      <c r="J27" s="494"/>
      <c r="K27" s="494"/>
      <c r="L27" s="494"/>
      <c r="M27" s="494"/>
      <c r="N27" s="494"/>
      <c r="O27" s="494"/>
      <c r="P27" s="494"/>
    </row>
    <row r="28" spans="1:16">
      <c r="A28" t="s">
        <v>1625</v>
      </c>
      <c r="B28" s="184">
        <f>'Customer Economics'!$G$8</f>
        <v>0.4</v>
      </c>
      <c r="C28" s="215">
        <v>0.4</v>
      </c>
      <c r="D28" s="6" t="str">
        <f>IF(B28&gt;=C28,"YES","NO")</f>
        <v>YES</v>
      </c>
      <c r="F28" t="s">
        <v>1819</v>
      </c>
      <c r="G28" s="207">
        <f>$C$9</f>
        <v>394.58796541021275</v>
      </c>
      <c r="H28" s="499" t="str">
        <f>IF(G28&gt;0,"Positive after payroll allocation","Payroll density still insufficient")</f>
        <v>Positive after payroll allocation</v>
      </c>
      <c r="I28" s="494"/>
      <c r="J28" s="494"/>
      <c r="K28" s="494"/>
      <c r="L28" s="494"/>
      <c r="M28" s="494"/>
      <c r="N28" s="494"/>
      <c r="O28" s="494"/>
      <c r="P28" s="494"/>
    </row>
    <row r="29" spans="1:16">
      <c r="A29" t="s">
        <v>204</v>
      </c>
      <c r="B29" s="184">
        <f>'Whitefield Monthly Projection'!$Q$33</f>
        <v>0.82270301322785977</v>
      </c>
      <c r="C29" s="215">
        <v>0.3</v>
      </c>
      <c r="D29" s="6" t="str">
        <f>IF(B29&gt;=C29,"YES","NO")</f>
        <v>YES</v>
      </c>
      <c r="F29" t="s">
        <v>1820</v>
      </c>
      <c r="G29" s="207">
        <f>'Whitefield Monthly Projection'!$Q$37</f>
        <v>-81155.600741267786</v>
      </c>
      <c r="H29" s="499" t="str">
        <f>IF(G29&gt;=0,"Fixed costs covered","Fixed-cost absorption gap")</f>
        <v>Fixed-cost absorption gap</v>
      </c>
      <c r="I29" s="494"/>
      <c r="J29" s="494"/>
      <c r="K29" s="494"/>
      <c r="L29" s="494"/>
      <c r="M29" s="494"/>
      <c r="N29" s="494"/>
      <c r="O29" s="494"/>
      <c r="P29" s="494"/>
    </row>
    <row r="30" spans="1:16">
      <c r="A30" t="s">
        <v>314</v>
      </c>
      <c r="B30" s="184">
        <f>'Whitefield Monthly Projection'!$Q$21</f>
        <v>0.18104625000000002</v>
      </c>
      <c r="C30" s="215">
        <v>0.6</v>
      </c>
      <c r="D30" s="6" t="str">
        <f>IF(B30&gt;=C30,"YES","NO")</f>
        <v>NO</v>
      </c>
      <c r="F30" t="s">
        <v>1775</v>
      </c>
      <c r="G30" s="200">
        <f>'Customer Economics'!$B$21</f>
        <v>20.19780989267899</v>
      </c>
      <c r="H30" s="499" t="str">
        <f>IF(G30&gt;=3,"Healthy planning ratio",IF(G30&gt;=2,"Borderline","Unsustainable"))</f>
        <v>Healthy planning ratio</v>
      </c>
      <c r="I30" s="494"/>
      <c r="J30" s="494"/>
      <c r="K30" s="494"/>
      <c r="L30" s="494"/>
      <c r="M30" s="494"/>
      <c r="N30" s="494"/>
      <c r="O30" s="494"/>
      <c r="P30" s="494"/>
    </row>
    <row r="31" spans="1:16">
      <c r="A31" t="s">
        <v>1821</v>
      </c>
      <c r="B31" s="207">
        <f>'Whitefield Monthly Projection'!$Q$37</f>
        <v>-81155.600741267786</v>
      </c>
      <c r="C31" s="211">
        <v>0</v>
      </c>
      <c r="D31" s="6" t="str">
        <f>IF(B31&gt;=C31,"YES","NO")</f>
        <v>NO</v>
      </c>
      <c r="F31" t="s">
        <v>1822</v>
      </c>
      <c r="G31" s="207">
        <f>'MVP1 Pricing &amp; SKU'!$V$30</f>
        <v>139.37453465048642</v>
      </c>
      <c r="H31" s="499" t="s">
        <v>1823</v>
      </c>
      <c r="I31" s="494"/>
      <c r="J31" s="494"/>
      <c r="K31" s="494"/>
      <c r="L31" s="494"/>
      <c r="M31" s="494"/>
      <c r="N31" s="494"/>
      <c r="O31" s="494"/>
      <c r="P31" s="494"/>
    </row>
    <row r="32" spans="1:16">
      <c r="A32" t="s">
        <v>677</v>
      </c>
      <c r="B32" s="6" t="str">
        <f>'Cash Runway'!$G$8</f>
        <v>&gt;18 months</v>
      </c>
      <c r="C32" t="s">
        <v>1824</v>
      </c>
      <c r="D32" s="6" t="str">
        <f>IF(OR(B32="&gt;18 months",AND(ISNUMBER(B32),B32&gt;=12)),"YES","NO")</f>
        <v>YES</v>
      </c>
      <c r="F32" t="s">
        <v>1825</v>
      </c>
      <c r="G32" s="207">
        <f>INDEX('Service Portfolio'!$L$40:$L$47,MATCH(0.8,'Service Portfolio'!$H$40:$H$47,0))</f>
        <v>610.91851298766437</v>
      </c>
      <c r="H32" s="499" t="str">
        <f>IF(G32&gt;0,"Sustainable in model","Too low under fully loaded cost")</f>
        <v>Sustainable in model</v>
      </c>
      <c r="I32" s="494"/>
      <c r="J32" s="494"/>
      <c r="K32" s="494"/>
      <c r="L32" s="494"/>
      <c r="M32" s="494"/>
      <c r="N32" s="494"/>
      <c r="O32" s="494"/>
      <c r="P32" s="494"/>
    </row>
    <row r="34" spans="1:16">
      <c r="A34" t="s">
        <v>1826</v>
      </c>
      <c r="B34" t="str">
        <f>IF(COUNTIF(D27:D32,"NO")=0,"YES","NOT YET")</f>
        <v>NOT YET</v>
      </c>
    </row>
    <row r="36" spans="1:16" ht="15">
      <c r="A36" s="429" t="s">
        <v>1827</v>
      </c>
      <c r="B36" s="429"/>
      <c r="C36" s="429"/>
      <c r="D36" s="429"/>
      <c r="E36" s="429"/>
      <c r="F36" s="429"/>
      <c r="G36" s="429"/>
      <c r="H36" s="429"/>
      <c r="I36" s="429"/>
      <c r="J36" s="429"/>
      <c r="K36" s="429"/>
      <c r="L36" s="429"/>
      <c r="M36" s="429"/>
      <c r="N36" s="429"/>
      <c r="O36" s="429"/>
      <c r="P36" s="429"/>
    </row>
    <row r="38" spans="1:16" ht="32">
      <c r="A38" s="198" t="s">
        <v>1828</v>
      </c>
      <c r="B38" s="198" t="s">
        <v>336</v>
      </c>
      <c r="C38" s="198" t="s">
        <v>1829</v>
      </c>
      <c r="D38" s="198" t="s">
        <v>3</v>
      </c>
    </row>
    <row r="39" spans="1:16">
      <c r="A39" t="s">
        <v>325</v>
      </c>
      <c r="B39">
        <f>'Whitefield Monthly Projection'!$Q$19</f>
        <v>37.620000000000005</v>
      </c>
      <c r="C39">
        <f>'Whitefield Monthly Projection'!$Q$39</f>
        <v>91.329314192769729</v>
      </c>
      <c r="D39" t="s">
        <v>1620</v>
      </c>
    </row>
    <row r="40" spans="1:16">
      <c r="A40" t="s">
        <v>367</v>
      </c>
      <c r="B40">
        <f>'Whitefield Monthly Projection'!$Q$34</f>
        <v>1511.0153976271185</v>
      </c>
      <c r="C40">
        <v>500</v>
      </c>
      <c r="D40" t="s">
        <v>976</v>
      </c>
    </row>
    <row r="41" spans="1:16">
      <c r="A41" t="s">
        <v>314</v>
      </c>
      <c r="B41">
        <f>'Whitefield Monthly Projection'!$Q$21</f>
        <v>0.18104625000000002</v>
      </c>
      <c r="C41">
        <v>0.65</v>
      </c>
      <c r="D41" t="s">
        <v>11</v>
      </c>
    </row>
    <row r="42" spans="1:16">
      <c r="A42" t="s">
        <v>1775</v>
      </c>
      <c r="B42">
        <f>'Customer Economics'!$B$21</f>
        <v>20.19780989267899</v>
      </c>
      <c r="C42">
        <v>3</v>
      </c>
      <c r="D42" t="s">
        <v>1645</v>
      </c>
    </row>
    <row r="43" spans="1:16">
      <c r="A43" t="s">
        <v>1664</v>
      </c>
      <c r="B43">
        <f>'Whitefield Monthly Projection'!$Q$37</f>
        <v>-81155.600741267786</v>
      </c>
      <c r="C43">
        <v>0</v>
      </c>
      <c r="D43" t="s">
        <v>976</v>
      </c>
    </row>
  </sheetData>
  <mergeCells count="53">
    <mergeCell ref="H32:P32"/>
    <mergeCell ref="A36:P36"/>
    <mergeCell ref="H27:P27"/>
    <mergeCell ref="H28:P28"/>
    <mergeCell ref="H29:P29"/>
    <mergeCell ref="H30:P30"/>
    <mergeCell ref="H31:P31"/>
    <mergeCell ref="H21:M21"/>
    <mergeCell ref="N21:P21"/>
    <mergeCell ref="H22:M22"/>
    <mergeCell ref="N22:P22"/>
    <mergeCell ref="A25:H25"/>
    <mergeCell ref="H18:M18"/>
    <mergeCell ref="N18:P18"/>
    <mergeCell ref="H19:M19"/>
    <mergeCell ref="N19:P19"/>
    <mergeCell ref="H20:M20"/>
    <mergeCell ref="N20:P20"/>
    <mergeCell ref="H15:M15"/>
    <mergeCell ref="N15:P15"/>
    <mergeCell ref="H16:M16"/>
    <mergeCell ref="N16:P16"/>
    <mergeCell ref="H17:M17"/>
    <mergeCell ref="N17:P17"/>
    <mergeCell ref="M8:N8"/>
    <mergeCell ref="M9:N10"/>
    <mergeCell ref="O8:P8"/>
    <mergeCell ref="O9:P10"/>
    <mergeCell ref="A13:H13"/>
    <mergeCell ref="G8:H8"/>
    <mergeCell ref="G9:H10"/>
    <mergeCell ref="I8:J8"/>
    <mergeCell ref="I9:J10"/>
    <mergeCell ref="K8:L8"/>
    <mergeCell ref="K9:L10"/>
    <mergeCell ref="A8:B8"/>
    <mergeCell ref="A9:B10"/>
    <mergeCell ref="C8:D8"/>
    <mergeCell ref="C9:D10"/>
    <mergeCell ref="E8:F8"/>
    <mergeCell ref="E9:F10"/>
    <mergeCell ref="A1:P1"/>
    <mergeCell ref="A2:P2"/>
    <mergeCell ref="A4:C4"/>
    <mergeCell ref="A5:C6"/>
    <mergeCell ref="D4:F4"/>
    <mergeCell ref="D5:F6"/>
    <mergeCell ref="G4:I4"/>
    <mergeCell ref="G5:I6"/>
    <mergeCell ref="J4:L4"/>
    <mergeCell ref="J5:L6"/>
    <mergeCell ref="M4:P4"/>
    <mergeCell ref="M5:P6"/>
  </mergeCells>
  <conditionalFormatting sqref="B34">
    <cfRule type="expression" dxfId="32" priority="8">
      <formula>B34="YES"</formula>
    </cfRule>
    <cfRule type="expression" dxfId="31" priority="9">
      <formula>B34="NOT YET"</formula>
    </cfRule>
  </conditionalFormatting>
  <conditionalFormatting sqref="D27:D32">
    <cfRule type="expression" dxfId="30" priority="6">
      <formula>D27="YES"</formula>
    </cfRule>
    <cfRule type="expression" dxfId="29" priority="7">
      <formula>D27="NO"</formula>
    </cfRule>
  </conditionalFormatting>
  <conditionalFormatting sqref="G15:G22">
    <cfRule type="expression" dxfId="28" priority="3">
      <formula>G15="GREEN"</formula>
    </cfRule>
    <cfRule type="expression" dxfId="27" priority="4">
      <formula>G15="AMBER"</formula>
    </cfRule>
    <cfRule type="expression" dxfId="26" priority="5">
      <formula>G15="RED"</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91"/>
  <sheetViews>
    <sheetView tabSelected="1" workbookViewId="0">
      <selection activeCell="B12" sqref="B12"/>
    </sheetView>
  </sheetViews>
  <sheetFormatPr baseColWidth="10" defaultColWidth="8.83203125" defaultRowHeight="14"/>
  <cols>
    <col min="1" max="1" width="31" customWidth="1"/>
    <col min="2" max="2" width="20" customWidth="1"/>
    <col min="3" max="3" width="31" customWidth="1"/>
    <col min="4" max="4" width="34" customWidth="1"/>
    <col min="5" max="5" width="3" customWidth="1"/>
    <col min="6" max="7" width="24" customWidth="1"/>
    <col min="8" max="10" width="18" customWidth="1"/>
    <col min="11" max="11" width="14" customWidth="1"/>
    <col min="12" max="12" width="19" customWidth="1"/>
    <col min="13" max="14" width="17" customWidth="1"/>
    <col min="16" max="17" width="2" customWidth="1"/>
  </cols>
  <sheetData>
    <row r="1" spans="1:17" ht="45.25" customHeight="1">
      <c r="A1" s="500" t="s">
        <v>1830</v>
      </c>
      <c r="B1" s="500"/>
      <c r="C1" s="500"/>
      <c r="D1" s="500"/>
      <c r="E1" s="500"/>
      <c r="F1" s="500"/>
      <c r="G1" s="500"/>
      <c r="H1" s="500"/>
      <c r="I1" s="500"/>
      <c r="J1" s="500"/>
      <c r="K1" s="500"/>
      <c r="L1" s="500"/>
      <c r="M1" s="500"/>
      <c r="N1" s="500"/>
      <c r="P1" s="259" t="s">
        <v>1085</v>
      </c>
      <c r="Q1" s="259" t="s">
        <v>1086</v>
      </c>
    </row>
    <row r="2" spans="1:17" ht="30.75" customHeight="1">
      <c r="A2" s="501" t="s">
        <v>1831</v>
      </c>
      <c r="B2" s="501"/>
      <c r="C2" s="501"/>
      <c r="D2" s="501"/>
      <c r="E2" s="501"/>
      <c r="F2" s="501"/>
      <c r="G2" s="501"/>
      <c r="H2" s="501"/>
      <c r="I2" s="501"/>
      <c r="J2" s="501"/>
      <c r="K2" s="501"/>
      <c r="L2" s="501"/>
      <c r="M2" s="501"/>
      <c r="N2" s="501"/>
      <c r="P2" s="259" t="str">
        <f>'Service Master'!B5</f>
        <v>Hospital Visit</v>
      </c>
      <c r="Q2" s="259">
        <v>1</v>
      </c>
    </row>
    <row r="3" spans="1:17">
      <c r="A3" s="268"/>
      <c r="B3" s="268"/>
      <c r="C3" s="268"/>
      <c r="D3" s="268"/>
      <c r="E3" s="268"/>
      <c r="F3" s="268"/>
      <c r="G3" s="268"/>
      <c r="H3" s="268"/>
      <c r="I3" s="268"/>
      <c r="J3" s="268"/>
      <c r="K3" s="268"/>
      <c r="L3" s="268"/>
      <c r="M3" s="268"/>
      <c r="N3" s="268"/>
      <c r="P3" s="259" t="str">
        <f>'Service Master'!B6</f>
        <v>Hospital Visit — Concierge at Hospital</v>
      </c>
      <c r="Q3" s="259">
        <v>1.5</v>
      </c>
    </row>
    <row r="4" spans="1:17" ht="15">
      <c r="A4" s="502" t="s">
        <v>1832</v>
      </c>
      <c r="B4" s="503"/>
      <c r="C4" s="503"/>
      <c r="D4" s="504"/>
      <c r="E4" s="268"/>
      <c r="F4" s="507" t="s">
        <v>1833</v>
      </c>
      <c r="G4" s="508"/>
      <c r="H4" s="508"/>
      <c r="I4" s="509"/>
      <c r="J4" s="564" t="s">
        <v>1834</v>
      </c>
      <c r="K4" s="564"/>
      <c r="L4" s="564"/>
      <c r="M4" s="564"/>
      <c r="N4" s="564"/>
      <c r="P4" s="259" t="str">
        <f>'Service Master'!B7</f>
        <v>Clinic Visit</v>
      </c>
      <c r="Q4" s="259">
        <v>2</v>
      </c>
    </row>
    <row r="5" spans="1:17" ht="16">
      <c r="A5" s="269" t="s">
        <v>1835</v>
      </c>
      <c r="B5" s="270" t="s">
        <v>1836</v>
      </c>
      <c r="C5" s="505" t="s">
        <v>1837</v>
      </c>
      <c r="D5" s="506"/>
      <c r="E5" s="268"/>
      <c r="F5" s="269" t="s">
        <v>1838</v>
      </c>
      <c r="G5" s="510" t="str">
        <f>INDEX('Service Economics'!$B$5:$B$34,MATCH($B$10,'Service Economics'!$A$5:$A$34,0))</f>
        <v>Medical Visit</v>
      </c>
      <c r="H5" s="510"/>
      <c r="I5" s="511"/>
      <c r="J5" s="565" t="s">
        <v>1839</v>
      </c>
      <c r="K5" s="565"/>
      <c r="L5" s="565"/>
      <c r="M5" s="566" t="s">
        <v>1840</v>
      </c>
      <c r="N5" s="566"/>
      <c r="P5" s="259" t="str">
        <f>'Service Master'!B8</f>
        <v>Diagnostic Center Visit</v>
      </c>
      <c r="Q5" s="259">
        <v>2.5</v>
      </c>
    </row>
    <row r="6" spans="1:17" ht="16">
      <c r="A6" s="269" t="s">
        <v>1841</v>
      </c>
      <c r="B6" s="271">
        <f ca="1">TODAY()</f>
        <v>46296</v>
      </c>
      <c r="C6" s="505" t="s">
        <v>1842</v>
      </c>
      <c r="D6" s="506"/>
      <c r="E6" s="268"/>
      <c r="F6" s="269" t="s">
        <v>1670</v>
      </c>
      <c r="G6" s="510">
        <f>INDEX('Service Economics'!$C$5:$C$34,MATCH($B$10,'Service Economics'!$A$5:$A$34,0))</f>
        <v>4</v>
      </c>
      <c r="H6" s="510"/>
      <c r="I6" s="511"/>
      <c r="J6" s="565" t="s">
        <v>1843</v>
      </c>
      <c r="K6" s="565"/>
      <c r="L6" s="565"/>
      <c r="M6" s="566" t="s">
        <v>1844</v>
      </c>
      <c r="N6" s="566"/>
      <c r="P6" s="259" t="str">
        <f>'Service Master'!B9</f>
        <v>Health Check-up Concierge</v>
      </c>
      <c r="Q6" s="259">
        <v>3</v>
      </c>
    </row>
    <row r="7" spans="1:17" ht="16">
      <c r="A7" s="269" t="s">
        <v>1845</v>
      </c>
      <c r="B7" s="270"/>
      <c r="C7" s="505" t="s">
        <v>1846</v>
      </c>
      <c r="D7" s="506"/>
      <c r="E7" s="268"/>
      <c r="F7" s="269" t="s">
        <v>1847</v>
      </c>
      <c r="G7" s="512">
        <f>INDEX('Service Economics'!$D$5:$D$34,MATCH($B$10,'Service Economics'!$A$5:$A$34,0))</f>
        <v>1</v>
      </c>
      <c r="H7" s="510"/>
      <c r="I7" s="511"/>
      <c r="J7" s="565" t="s">
        <v>1848</v>
      </c>
      <c r="K7" s="565"/>
      <c r="L7" s="565"/>
      <c r="M7" s="566" t="s">
        <v>1849</v>
      </c>
      <c r="N7" s="566"/>
      <c r="P7" s="259" t="str">
        <f>'Service Master'!B10</f>
        <v>Hospital Admission Concierge</v>
      </c>
      <c r="Q7" s="259">
        <v>3.5</v>
      </c>
    </row>
    <row r="8" spans="1:17" ht="16">
      <c r="A8" s="269" t="s">
        <v>1850</v>
      </c>
      <c r="B8" s="270"/>
      <c r="C8" s="505" t="s">
        <v>1846</v>
      </c>
      <c r="D8" s="506"/>
      <c r="E8" s="268"/>
      <c r="F8" s="269" t="s">
        <v>43</v>
      </c>
      <c r="G8" s="510">
        <f>INDEX('Service Economics'!$F$5:$F$34,MATCH($B$10,'Service Economics'!$A$5:$A$34,0))</f>
        <v>1</v>
      </c>
      <c r="H8" s="510"/>
      <c r="I8" s="511"/>
      <c r="J8" s="567" t="s">
        <v>1851</v>
      </c>
      <c r="K8" s="567"/>
      <c r="L8" s="567"/>
      <c r="M8" s="514">
        <f>'Global Inputs'!$B$15</f>
        <v>500</v>
      </c>
      <c r="N8" s="515"/>
      <c r="P8" s="259" t="str">
        <f>'Service Master'!B11</f>
        <v>Hospital Discharge Concierge</v>
      </c>
      <c r="Q8" s="259">
        <v>4</v>
      </c>
    </row>
    <row r="9" spans="1:17" ht="16">
      <c r="A9" s="269" t="s">
        <v>1852</v>
      </c>
      <c r="B9" s="270"/>
      <c r="C9" s="505" t="s">
        <v>1846</v>
      </c>
      <c r="D9" s="506"/>
      <c r="E9" s="268"/>
      <c r="F9" s="269" t="s">
        <v>1853</v>
      </c>
      <c r="G9" s="510" t="str">
        <f>INDEX('Service Economics'!$AH$5:$AH$34,MATCH($B$10,'Service Economics'!$A$5:$A$34,0))</f>
        <v>AUTO</v>
      </c>
      <c r="H9" s="510"/>
      <c r="I9" s="511"/>
      <c r="J9" s="567" t="s">
        <v>1854</v>
      </c>
      <c r="K9" s="567"/>
      <c r="L9" s="567"/>
      <c r="M9" s="517">
        <f>'NC Credits'!$B$15</f>
        <v>4.1299999999999996E-2</v>
      </c>
      <c r="N9" s="515"/>
      <c r="P9" s="259" t="str">
        <f>'Service Master'!B12</f>
        <v>Overnight Hospital Concierge</v>
      </c>
      <c r="Q9" s="259">
        <v>4.5</v>
      </c>
    </row>
    <row r="10" spans="1:17" ht="16">
      <c r="A10" s="269" t="s">
        <v>1855</v>
      </c>
      <c r="B10" s="272" t="s">
        <v>59</v>
      </c>
      <c r="C10" s="505" t="s">
        <v>1856</v>
      </c>
      <c r="D10" s="506"/>
      <c r="E10" s="268"/>
      <c r="F10" s="269" t="s">
        <v>1675</v>
      </c>
      <c r="G10" s="510">
        <f>INDEX('Service Economics'!$AQ$5:$AQ$34,MATCH($B$10,'Service Economics'!$A$5:$A$34,0))</f>
        <v>5</v>
      </c>
      <c r="H10" s="510"/>
      <c r="I10" s="511"/>
      <c r="J10" s="268"/>
      <c r="K10" s="268"/>
      <c r="L10" s="268"/>
      <c r="M10" s="268"/>
      <c r="N10" s="268"/>
      <c r="P10" s="259" t="str">
        <f>'Service Master'!B13</f>
        <v>Multi-Day Hospital Concierge (per 12h shift)</v>
      </c>
      <c r="Q10" s="259">
        <v>5</v>
      </c>
    </row>
    <row r="11" spans="1:17" ht="16">
      <c r="A11" s="269" t="s">
        <v>1090</v>
      </c>
      <c r="B11" s="273">
        <v>5</v>
      </c>
      <c r="C11" s="505" t="s">
        <v>1857</v>
      </c>
      <c r="D11" s="506"/>
      <c r="E11" s="268"/>
      <c r="F11" s="269" t="s">
        <v>1273</v>
      </c>
      <c r="G11" s="510" t="str">
        <f>INDEX('Service Economics'!$AR$5:$AR$34,MATCH($B$10,'Service Economics'!$A$5:$A$34,0))</f>
        <v>Full journey: home → facility → return / safe handover</v>
      </c>
      <c r="H11" s="510"/>
      <c r="I11" s="511"/>
      <c r="J11" s="268"/>
      <c r="K11" s="268"/>
      <c r="L11" s="268"/>
      <c r="M11" s="268"/>
      <c r="N11" s="268"/>
      <c r="P11" s="259" t="str">
        <f>'Service Master'!B14</f>
        <v>Day Surgery / Procedure Concierge</v>
      </c>
      <c r="Q11" s="259">
        <v>5.5</v>
      </c>
    </row>
    <row r="12" spans="1:17" ht="30">
      <c r="A12" s="269" t="s">
        <v>1858</v>
      </c>
      <c r="B12" s="272" t="s">
        <v>2412</v>
      </c>
      <c r="C12" s="505" t="s">
        <v>1859</v>
      </c>
      <c r="D12" s="506"/>
      <c r="E12" s="268"/>
      <c r="F12" s="269" t="s">
        <v>1860</v>
      </c>
      <c r="G12" s="513">
        <f>'MVP1 Pricing &amp; SKU'!$B$5</f>
        <v>2</v>
      </c>
      <c r="H12" s="510"/>
      <c r="I12" s="511"/>
      <c r="J12" s="268"/>
      <c r="K12" s="268"/>
      <c r="L12" s="268"/>
      <c r="M12" s="268"/>
      <c r="N12" s="268"/>
      <c r="P12" s="259" t="str">
        <f>'Service Master'!B15</f>
        <v>Pre-Surgery Concierge</v>
      </c>
      <c r="Q12" s="259">
        <v>6</v>
      </c>
    </row>
    <row r="13" spans="1:17" ht="16">
      <c r="A13" s="269" t="s">
        <v>1861</v>
      </c>
      <c r="B13" s="274">
        <f>'Global Pricing Config'!$B$10</f>
        <v>500</v>
      </c>
      <c r="C13" s="505" t="s">
        <v>1862</v>
      </c>
      <c r="D13" s="506"/>
      <c r="E13" s="268"/>
      <c r="F13" s="269" t="s">
        <v>1179</v>
      </c>
      <c r="G13" s="514">
        <f>'Global Pricing Config'!$B$5</f>
        <v>299</v>
      </c>
      <c r="H13" s="515"/>
      <c r="I13" s="515"/>
      <c r="J13" s="268"/>
      <c r="K13" s="268"/>
      <c r="L13" s="268"/>
      <c r="M13" s="268"/>
      <c r="N13" s="268"/>
      <c r="P13" s="259" t="str">
        <f>'Service Master'!B16</f>
        <v>Post-Surgery Follow-up</v>
      </c>
      <c r="Q13" s="259">
        <v>6.5</v>
      </c>
    </row>
    <row r="14" spans="1:17" ht="16">
      <c r="A14" s="269" t="s">
        <v>1863</v>
      </c>
      <c r="B14" s="274"/>
      <c r="C14" s="505" t="s">
        <v>1864</v>
      </c>
      <c r="D14" s="506"/>
      <c r="E14" s="268"/>
      <c r="F14" s="269" t="s">
        <v>1865</v>
      </c>
      <c r="G14" s="514">
        <f>'Global Pricing Config'!$B$5*$G$7</f>
        <v>299</v>
      </c>
      <c r="H14" s="515"/>
      <c r="I14" s="515"/>
      <c r="J14" s="268"/>
      <c r="K14" s="268"/>
      <c r="L14" s="268"/>
      <c r="M14" s="268"/>
      <c r="N14" s="268"/>
      <c r="P14" s="259" t="str">
        <f>'Service Master'!B17</f>
        <v>Dialysis Visit Concierge</v>
      </c>
      <c r="Q14" s="259">
        <v>7</v>
      </c>
    </row>
    <row r="15" spans="1:17" ht="16">
      <c r="A15" s="269" t="s">
        <v>1866</v>
      </c>
      <c r="B15" s="272"/>
      <c r="C15" s="505" t="s">
        <v>1867</v>
      </c>
      <c r="D15" s="506"/>
      <c r="E15" s="268"/>
      <c r="F15" s="269" t="s">
        <v>1202</v>
      </c>
      <c r="G15" s="516">
        <f>'Global Pricing Config'!$B$7</f>
        <v>199</v>
      </c>
      <c r="H15" s="515"/>
      <c r="I15" s="515"/>
      <c r="J15" s="268"/>
      <c r="K15" s="268"/>
      <c r="L15" s="268"/>
      <c r="M15" s="268"/>
      <c r="N15" s="268"/>
      <c r="P15" s="259" t="str">
        <f>'Service Master'!B18</f>
        <v>Chemotherapy Visit Concierge</v>
      </c>
      <c r="Q15" s="259">
        <v>7.5</v>
      </c>
    </row>
    <row r="16" spans="1:17" ht="16">
      <c r="A16" s="236" t="s">
        <v>1868</v>
      </c>
      <c r="B16" s="317" t="s">
        <v>2228</v>
      </c>
      <c r="C16" s="576" t="s">
        <v>1869</v>
      </c>
      <c r="D16" s="576"/>
      <c r="E16" s="268"/>
      <c r="F16" s="269" t="s">
        <v>1870</v>
      </c>
      <c r="G16" s="517">
        <f>'Global Pricing Config'!$B$8</f>
        <v>0.18</v>
      </c>
      <c r="H16" s="515"/>
      <c r="I16" s="515"/>
      <c r="J16" s="268"/>
      <c r="K16" s="268"/>
      <c r="L16" s="268"/>
      <c r="M16" s="268"/>
      <c r="N16" s="268"/>
      <c r="P16" s="259" t="str">
        <f>'Service Master'!B19</f>
        <v>Radiation Therapy Concierge</v>
      </c>
      <c r="Q16" s="259">
        <v>8</v>
      </c>
    </row>
    <row r="17" spans="1:17" ht="32">
      <c r="A17" s="518" t="str">
        <f>IF(IFERROR(ISNUMBER(SEARCH("Manual",$G$9)),FALSE),"MANUAL PRICING REQUIRED","AUTO PRICING ACTIVE")</f>
        <v>AUTO PRICING ACTIVE</v>
      </c>
      <c r="B17" s="519"/>
      <c r="C17" s="519"/>
      <c r="D17" s="520"/>
      <c r="E17" s="268"/>
      <c r="F17" s="269" t="s">
        <v>1122</v>
      </c>
      <c r="G17" s="514">
        <f>'Global Pricing Config'!$B$9</f>
        <v>149</v>
      </c>
      <c r="H17" s="515"/>
      <c r="I17" s="515"/>
      <c r="J17" s="268"/>
      <c r="K17" s="268"/>
      <c r="L17" s="268"/>
      <c r="M17" s="268"/>
      <c r="N17" s="268"/>
      <c r="P17" s="259" t="str">
        <f>'Service Master'!B20</f>
        <v>Physiotherapy / Rehab Visit</v>
      </c>
      <c r="Q17" s="259">
        <v>8.5</v>
      </c>
    </row>
    <row r="18" spans="1:17" ht="16">
      <c r="A18" s="268"/>
      <c r="B18" s="268"/>
      <c r="C18" s="268"/>
      <c r="D18" s="268"/>
      <c r="E18" s="268"/>
      <c r="F18" s="269" t="s">
        <v>1871</v>
      </c>
      <c r="G18" s="514">
        <f>'Global Pricing Config'!$B$10</f>
        <v>500</v>
      </c>
      <c r="H18" s="515"/>
      <c r="I18" s="515"/>
      <c r="J18" s="268"/>
      <c r="K18" s="268"/>
      <c r="L18" s="268"/>
      <c r="M18" s="268"/>
      <c r="N18" s="268"/>
      <c r="P18" s="259" t="str">
        <f>'Service Master'!B21</f>
        <v>Chronic Care Follow-up</v>
      </c>
      <c r="Q18" s="259">
        <v>9</v>
      </c>
    </row>
    <row r="19" spans="1:17" ht="16">
      <c r="A19" s="268"/>
      <c r="B19" s="268"/>
      <c r="C19" s="268"/>
      <c r="D19" s="268"/>
      <c r="E19" s="268"/>
      <c r="F19" s="269" t="s">
        <v>1872</v>
      </c>
      <c r="G19" s="517" t="str">
        <f>INDEX('Service Master'!$A$5:$A$34,MATCH($B$10,'Service Master'!$B$5:$B$34,0))</f>
        <v>HOSPITAL_VISIT</v>
      </c>
      <c r="H19" s="515"/>
      <c r="I19" s="515"/>
      <c r="J19" s="268"/>
      <c r="K19" s="268"/>
      <c r="L19" s="268"/>
      <c r="M19" s="268"/>
      <c r="N19" s="268"/>
      <c r="P19" s="259" t="str">
        <f>'Service Master'!B22</f>
        <v>NRI Parent Medical Concierge</v>
      </c>
      <c r="Q19" s="259">
        <v>9.5</v>
      </c>
    </row>
    <row r="20" spans="1:17" ht="37.25" customHeight="1">
      <c r="A20" s="568" t="s">
        <v>1873</v>
      </c>
      <c r="B20" s="569"/>
      <c r="C20" s="569"/>
      <c r="D20" s="569"/>
      <c r="E20" s="569"/>
      <c r="F20" s="569"/>
      <c r="G20" s="570"/>
      <c r="H20" s="571"/>
      <c r="I20" s="262"/>
      <c r="J20" s="561" t="s">
        <v>1874</v>
      </c>
      <c r="K20" s="561" t="s">
        <v>1874</v>
      </c>
      <c r="L20" s="561" t="s">
        <v>1874</v>
      </c>
      <c r="M20" s="561" t="s">
        <v>1874</v>
      </c>
      <c r="N20" s="561" t="s">
        <v>1874</v>
      </c>
      <c r="P20" s="259" t="str">
        <f>'Service Master'!B23</f>
        <v>Second Opinion Concierge</v>
      </c>
      <c r="Q20" s="259">
        <v>10</v>
      </c>
    </row>
    <row r="21" spans="1:17" ht="15">
      <c r="A21" s="577" t="s">
        <v>38</v>
      </c>
      <c r="B21" s="578"/>
      <c r="C21" s="578"/>
      <c r="D21" s="579" t="str">
        <f>$B$10</f>
        <v>Hospital Visit</v>
      </c>
      <c r="E21" s="579"/>
      <c r="F21" s="580"/>
      <c r="G21" s="581"/>
      <c r="H21" s="582"/>
      <c r="I21" s="278"/>
      <c r="J21" s="548" t="s">
        <v>1835</v>
      </c>
      <c r="K21" s="549"/>
      <c r="L21" s="562" t="str">
        <f>$B$5</f>
        <v>NC-Q-0001</v>
      </c>
      <c r="M21" s="562"/>
      <c r="N21" s="563"/>
      <c r="P21" s="259" t="str">
        <f>'Service Master'!B24</f>
        <v>Teleconsultation Concierge</v>
      </c>
      <c r="Q21" s="259">
        <v>10.5</v>
      </c>
    </row>
    <row r="22" spans="1:17" ht="15">
      <c r="A22" s="577" t="s">
        <v>1538</v>
      </c>
      <c r="B22" s="578"/>
      <c r="C22" s="578"/>
      <c r="D22" s="579" t="str">
        <f>TEXT($B$11,"0.0")&amp;" hrs"</f>
        <v>5.0 hrs</v>
      </c>
      <c r="E22" s="579"/>
      <c r="F22" s="579"/>
      <c r="G22" s="579"/>
      <c r="H22" s="582"/>
      <c r="I22" s="268"/>
      <c r="J22" s="548" t="s">
        <v>1841</v>
      </c>
      <c r="K22" s="549"/>
      <c r="L22" s="562" t="str">
        <f ca="1">TEXT($B$6,"dd-mmm-yyyy")</f>
        <v>01-Oct-2026</v>
      </c>
      <c r="M22" s="562"/>
      <c r="N22" s="563"/>
      <c r="P22" s="259" t="str">
        <f>'Service Master'!B25</f>
        <v>Medical Records Concierge</v>
      </c>
      <c r="Q22" s="259">
        <v>11</v>
      </c>
    </row>
    <row r="23" spans="1:17" ht="15">
      <c r="A23" s="577" t="s">
        <v>1875</v>
      </c>
      <c r="B23" s="578"/>
      <c r="C23" s="578"/>
      <c r="D23" s="583">
        <f>$B$39</f>
        <v>1495</v>
      </c>
      <c r="E23" s="579"/>
      <c r="F23" s="579"/>
      <c r="G23" s="579"/>
      <c r="H23" s="582"/>
      <c r="I23" s="268"/>
      <c r="J23" s="548" t="s">
        <v>1040</v>
      </c>
      <c r="K23" s="549"/>
      <c r="L23" s="562" t="str">
        <f>IF($B$7="","—",$B$7)</f>
        <v>—</v>
      </c>
      <c r="M23" s="562"/>
      <c r="N23" s="563"/>
      <c r="P23" s="259" t="str">
        <f>'Service Master'!B26</f>
        <v>Insurance / TPA Desk Concierge</v>
      </c>
      <c r="Q23" s="259">
        <v>11.5</v>
      </c>
    </row>
    <row r="24" spans="1:17" ht="15">
      <c r="A24" s="577" t="s">
        <v>1202</v>
      </c>
      <c r="B24" s="578"/>
      <c r="C24" s="578"/>
      <c r="D24" s="583">
        <f>$B$40</f>
        <v>199</v>
      </c>
      <c r="E24" s="579"/>
      <c r="F24" s="579"/>
      <c r="G24" s="579"/>
      <c r="H24" s="582"/>
      <c r="I24" s="268"/>
      <c r="J24" s="548" t="s">
        <v>1876</v>
      </c>
      <c r="K24" s="549"/>
      <c r="L24" s="562" t="str">
        <f>IF($B$8="","—",$B$8)</f>
        <v>—</v>
      </c>
      <c r="M24" s="562"/>
      <c r="N24" s="563"/>
      <c r="P24" s="259" t="str">
        <f>'Service Master'!B27</f>
        <v>Hospital Transfer Concierge</v>
      </c>
      <c r="Q24" s="259">
        <v>12</v>
      </c>
    </row>
    <row r="25" spans="1:17" ht="15">
      <c r="A25" s="577" t="s">
        <v>1877</v>
      </c>
      <c r="B25" s="578"/>
      <c r="C25" s="578"/>
      <c r="D25" s="583">
        <f>$B$42</f>
        <v>1694</v>
      </c>
      <c r="E25" s="579"/>
      <c r="F25" s="579"/>
      <c r="G25" s="579"/>
      <c r="H25" s="582"/>
      <c r="I25" s="268"/>
      <c r="J25" s="548" t="s">
        <v>1852</v>
      </c>
      <c r="K25" s="549"/>
      <c r="L25" s="562" t="str">
        <f>IF($B$9="","—",$B$9)</f>
        <v>—</v>
      </c>
      <c r="M25" s="562"/>
      <c r="N25" s="563"/>
      <c r="P25" s="259" t="str">
        <f>'Service Master'!B28</f>
        <v>Rehab / Nursing Facility Transfer</v>
      </c>
      <c r="Q25" s="259">
        <v>12.5</v>
      </c>
    </row>
    <row r="26" spans="1:17" ht="15">
      <c r="A26" s="577" t="s">
        <v>1878</v>
      </c>
      <c r="B26" s="578"/>
      <c r="C26" s="578"/>
      <c r="D26" s="583">
        <f>IF(ISNUMBER($B$47),-$B$47,"")</f>
        <v>0</v>
      </c>
      <c r="E26" s="579"/>
      <c r="F26" s="579"/>
      <c r="G26" s="579"/>
      <c r="H26" s="582"/>
      <c r="I26" s="268"/>
      <c r="J26" s="548" t="s">
        <v>38</v>
      </c>
      <c r="K26" s="549"/>
      <c r="L26" s="562" t="str">
        <f>$B$10</f>
        <v>Hospital Visit</v>
      </c>
      <c r="M26" s="562"/>
      <c r="N26" s="563"/>
      <c r="P26" s="259" t="str">
        <f>'Service Master'!B29</f>
        <v>24×7 Urgent Care Coordination</v>
      </c>
      <c r="Q26" s="259">
        <v>13</v>
      </c>
    </row>
    <row r="27" spans="1:17" ht="38" customHeight="1">
      <c r="A27" s="577" t="s">
        <v>1879</v>
      </c>
      <c r="B27" s="578"/>
      <c r="C27" s="578"/>
      <c r="D27" s="584">
        <f>$B$48</f>
        <v>1694</v>
      </c>
      <c r="E27" s="580"/>
      <c r="F27" s="580"/>
      <c r="G27" s="580"/>
      <c r="H27" s="585"/>
      <c r="I27" s="268"/>
      <c r="J27" s="548" t="s">
        <v>1880</v>
      </c>
      <c r="K27" s="549"/>
      <c r="L27" s="562" t="str">
        <f>TEXT($B$11,"0.0")&amp;" hours"</f>
        <v>5.0 hours</v>
      </c>
      <c r="M27" s="562"/>
      <c r="N27" s="563"/>
      <c r="P27" s="259" t="str">
        <f>'Service Master'!B30</f>
        <v>Doctor-at-Home Coordination</v>
      </c>
      <c r="Q27" s="259">
        <v>13.5</v>
      </c>
    </row>
    <row r="28" spans="1:17" ht="15">
      <c r="A28" s="577" t="s">
        <v>1881</v>
      </c>
      <c r="B28" s="578"/>
      <c r="C28" s="578"/>
      <c r="D28" s="586">
        <f>IF($B$12="NivrāaCare Arranges Transport",$B$13,0)</f>
        <v>0</v>
      </c>
      <c r="E28" s="587"/>
      <c r="F28" s="587"/>
      <c r="G28" s="587"/>
      <c r="H28" s="588"/>
      <c r="I28" s="268"/>
      <c r="J28" s="275"/>
      <c r="K28" s="276"/>
      <c r="L28" s="276"/>
      <c r="M28" s="276"/>
      <c r="N28" s="277"/>
      <c r="P28" s="259" t="str">
        <f>'Service Master'!B31</f>
        <v>Nurse-at-Home Coordination</v>
      </c>
      <c r="Q28" s="259">
        <v>14</v>
      </c>
    </row>
    <row r="29" spans="1:17" ht="37.25" customHeight="1">
      <c r="A29" s="577" t="s">
        <v>1122</v>
      </c>
      <c r="B29" s="578"/>
      <c r="C29" s="578"/>
      <c r="D29" s="589">
        <f>IF($B$12="NivrāaCare Arranges Transport",'Global Pricing Config'!$B$9,0)</f>
        <v>0</v>
      </c>
      <c r="E29" s="590"/>
      <c r="F29" s="590"/>
      <c r="G29" s="590"/>
      <c r="H29" s="591"/>
      <c r="I29" s="268"/>
      <c r="J29" s="599" t="s">
        <v>1882</v>
      </c>
      <c r="K29" s="599"/>
      <c r="L29" s="599"/>
      <c r="M29" s="599"/>
      <c r="N29" s="599"/>
      <c r="P29" s="259" t="str">
        <f>'Service Master'!B32</f>
        <v>Medical Tourism — Concierge Package (24 HR Basis)</v>
      </c>
      <c r="Q29" s="259">
        <v>14.5</v>
      </c>
    </row>
    <row r="30" spans="1:17" ht="37.25" customHeight="1">
      <c r="A30" s="577" t="s">
        <v>1883</v>
      </c>
      <c r="B30" s="578"/>
      <c r="C30" s="578"/>
      <c r="D30" s="589">
        <f>D28+D29</f>
        <v>0</v>
      </c>
      <c r="E30" s="590"/>
      <c r="F30" s="590"/>
      <c r="G30" s="590"/>
      <c r="H30" s="591"/>
      <c r="I30" s="268"/>
      <c r="J30" s="567" t="s">
        <v>1884</v>
      </c>
      <c r="K30" s="567"/>
      <c r="L30" s="567"/>
      <c r="M30" s="593">
        <f>$B$42</f>
        <v>1694</v>
      </c>
      <c r="N30" s="593"/>
      <c r="P30" s="259" t="str">
        <f>'Service Master'!B33</f>
        <v>Pharmacy / Prescription Coordination</v>
      </c>
      <c r="Q30" s="259">
        <v>15</v>
      </c>
    </row>
    <row r="31" spans="1:17" ht="40" customHeight="1">
      <c r="A31" s="577" t="s">
        <v>1937</v>
      </c>
      <c r="B31" s="578"/>
      <c r="C31" s="578"/>
      <c r="D31" s="589">
        <f>D27+D30</f>
        <v>1694</v>
      </c>
      <c r="E31" s="590"/>
      <c r="F31" s="590"/>
      <c r="G31" s="590"/>
      <c r="H31" s="591"/>
      <c r="I31" s="268"/>
      <c r="J31" s="567" t="s">
        <v>1885</v>
      </c>
      <c r="K31" s="567"/>
      <c r="L31" s="567"/>
      <c r="M31" s="600">
        <f>IF(ISNUMBER($B$47),-$B$47,"")</f>
        <v>0</v>
      </c>
      <c r="N31" s="593"/>
      <c r="P31" s="259" t="str">
        <f>'Service Master'!B34</f>
        <v>Family Medical Update Concierge</v>
      </c>
      <c r="Q31" s="259">
        <v>15.5</v>
      </c>
    </row>
    <row r="32" spans="1:17" ht="34.75" customHeight="1">
      <c r="A32" s="616" t="s">
        <v>1886</v>
      </c>
      <c r="B32" s="617"/>
      <c r="C32" s="617"/>
      <c r="D32" s="334">
        <f>$M$49</f>
        <v>84</v>
      </c>
      <c r="E32" s="334"/>
      <c r="F32" s="521"/>
      <c r="G32" s="521"/>
      <c r="H32" s="522"/>
      <c r="I32" s="268"/>
      <c r="J32" s="567" t="s">
        <v>1879</v>
      </c>
      <c r="K32" s="567"/>
      <c r="L32" s="567"/>
      <c r="M32" s="593">
        <f>$B$48</f>
        <v>1694</v>
      </c>
      <c r="N32" s="593"/>
      <c r="P32" s="259"/>
      <c r="Q32" s="259">
        <v>16</v>
      </c>
    </row>
    <row r="33" spans="1:17" ht="52">
      <c r="A33" s="335" t="str">
        <f>"Earn "&amp;ROUND('NC Credits'!$B$6*100/'NC Credits'!$B$7,2)&amp;" NivrāaCredits per ₹100 of eligible NivrāaCare care-service spend. Credits are added after successful journey completion."</f>
        <v>Earn 5 NivrāaCredits per ₹100 of eligible NivrāaCare care-service spend. Credits are added after successful journey completion.</v>
      </c>
      <c r="B33" s="336"/>
      <c r="C33" s="337"/>
      <c r="D33" s="337"/>
      <c r="E33" s="337"/>
      <c r="F33" s="523"/>
      <c r="G33" s="523"/>
      <c r="H33" s="524"/>
      <c r="I33" s="268"/>
      <c r="J33" s="567" t="s">
        <v>1887</v>
      </c>
      <c r="K33" s="567"/>
      <c r="L33" s="567"/>
      <c r="M33" s="593">
        <f>IF($B$12="NivrāaCare Arranges Transport",$B$13,0)</f>
        <v>0</v>
      </c>
      <c r="N33" s="593"/>
      <c r="P33" s="259"/>
      <c r="Q33" s="259">
        <v>16.5</v>
      </c>
    </row>
    <row r="34" spans="1:17" ht="33.25" customHeight="1">
      <c r="A34" s="338"/>
      <c r="B34" s="339"/>
      <c r="C34" s="340"/>
      <c r="D34" s="340"/>
      <c r="E34" s="340"/>
      <c r="F34" s="525"/>
      <c r="G34" s="525"/>
      <c r="H34" s="526"/>
      <c r="I34" s="268"/>
      <c r="J34" s="601" t="s">
        <v>1888</v>
      </c>
      <c r="K34" s="601"/>
      <c r="L34" s="601"/>
      <c r="M34" s="602">
        <f>IF($B$12="NivrāaCare Arranges Transport",'Global Pricing Config'!$B$9,0)</f>
        <v>0</v>
      </c>
      <c r="N34" s="602"/>
      <c r="P34" s="259"/>
      <c r="Q34" s="259">
        <v>17</v>
      </c>
    </row>
    <row r="35" spans="1:17" ht="15">
      <c r="A35" s="279"/>
      <c r="B35" s="280"/>
      <c r="C35" s="260"/>
      <c r="D35" s="260"/>
      <c r="E35" s="276"/>
      <c r="F35" s="527"/>
      <c r="G35" s="527"/>
      <c r="H35" s="528"/>
      <c r="I35" s="268"/>
      <c r="J35" s="567" t="s">
        <v>1883</v>
      </c>
      <c r="K35" s="567"/>
      <c r="L35" s="567"/>
      <c r="M35" s="593">
        <f>$B$51</f>
        <v>0</v>
      </c>
      <c r="N35" s="593"/>
      <c r="P35" s="259"/>
      <c r="Q35" s="259">
        <v>17.5</v>
      </c>
    </row>
    <row r="36" spans="1:17" ht="32" customHeight="1">
      <c r="A36" s="341" t="s">
        <v>1889</v>
      </c>
      <c r="B36" s="342"/>
      <c r="C36" s="343"/>
      <c r="D36" s="343"/>
      <c r="E36" s="343"/>
      <c r="F36" s="529"/>
      <c r="G36" s="529"/>
      <c r="H36" s="530"/>
      <c r="I36" s="268"/>
      <c r="J36" s="603" t="s">
        <v>1890</v>
      </c>
      <c r="K36" s="603"/>
      <c r="L36" s="603"/>
      <c r="M36" s="604">
        <f>$B$52</f>
        <v>1694</v>
      </c>
      <c r="N36" s="604"/>
      <c r="P36" s="259"/>
      <c r="Q36" s="259">
        <v>18</v>
      </c>
    </row>
    <row r="37" spans="1:17" ht="30.75" customHeight="1">
      <c r="A37" s="344" t="s">
        <v>1891</v>
      </c>
      <c r="B37" s="345" t="s">
        <v>2</v>
      </c>
      <c r="C37" s="346" t="s">
        <v>1162</v>
      </c>
      <c r="D37" s="346" t="s">
        <v>1892</v>
      </c>
      <c r="E37" s="347"/>
      <c r="F37" s="572" t="s">
        <v>1893</v>
      </c>
      <c r="G37" s="572"/>
      <c r="H37" s="573"/>
      <c r="I37" s="268"/>
      <c r="J37" s="605" t="s">
        <v>1894</v>
      </c>
      <c r="K37" s="605"/>
      <c r="L37" s="605"/>
      <c r="M37" s="606">
        <f>$M$49</f>
        <v>84</v>
      </c>
      <c r="N37" s="605"/>
      <c r="P37" s="259"/>
      <c r="Q37" s="259">
        <v>18.5</v>
      </c>
    </row>
    <row r="38" spans="1:17" ht="15">
      <c r="A38" s="348" t="s">
        <v>1090</v>
      </c>
      <c r="B38" s="349">
        <f>$B$11</f>
        <v>5</v>
      </c>
      <c r="C38" s="350" t="s">
        <v>1895</v>
      </c>
      <c r="D38" s="350" t="s">
        <v>1896</v>
      </c>
      <c r="E38" s="347"/>
      <c r="F38" s="531" t="s">
        <v>1171</v>
      </c>
      <c r="G38" s="532">
        <f>MAX($B$11,'Global Pricing Config'!$B$6)</f>
        <v>5</v>
      </c>
      <c r="H38" s="533"/>
      <c r="I38" s="268"/>
      <c r="J38" s="256"/>
      <c r="K38" s="257"/>
      <c r="L38" s="257"/>
      <c r="M38" s="257"/>
      <c r="N38" s="258"/>
      <c r="P38" s="259"/>
      <c r="Q38" s="259">
        <v>19</v>
      </c>
    </row>
    <row r="39" spans="1:17" ht="26">
      <c r="A39" s="348" t="s">
        <v>1875</v>
      </c>
      <c r="B39" s="351">
        <f>$G$38*$G$41</f>
        <v>1495</v>
      </c>
      <c r="C39" s="350" t="s">
        <v>1897</v>
      </c>
      <c r="D39" s="350" t="s">
        <v>1898</v>
      </c>
      <c r="E39" s="347"/>
      <c r="F39" s="531" t="s">
        <v>1179</v>
      </c>
      <c r="G39" s="534">
        <f>'Global Pricing Config'!$B$5</f>
        <v>299</v>
      </c>
      <c r="H39" s="533"/>
      <c r="I39" s="268"/>
      <c r="J39" s="607" t="str">
        <f>"Transport charges are estimates and may vary based on actual third-party cab fare. " &amp;"Additional service time is billed at the selected effective service rate. " &amp;"Credits are added after successful journey completion. Current earn rate: " &amp;ROUND('NC Credits'!$B$6*100/'NC Credits'!$B$7,2) &amp; " NivrāaCredits per ₹100 eligible care-service spend."</f>
        <v>Transport charges are estimates and may vary based on actual third-party cab fare. Additional service time is billed at the selected effective service rate. Credits are added after successful journey completion. Current earn rate: 5 NivrāaCredits per ₹100 eligible care-service spend.</v>
      </c>
      <c r="K39" s="607"/>
      <c r="L39" s="607"/>
      <c r="M39" s="607"/>
      <c r="N39" s="607"/>
      <c r="P39" s="259"/>
      <c r="Q39" s="259">
        <v>19.5</v>
      </c>
    </row>
    <row r="40" spans="1:17" ht="15">
      <c r="A40" s="348" t="s">
        <v>1202</v>
      </c>
      <c r="B40" s="351">
        <f>'Global Pricing Config'!$B$7</f>
        <v>199</v>
      </c>
      <c r="C40" s="350" t="s">
        <v>1899</v>
      </c>
      <c r="D40" s="350" t="s">
        <v>1900</v>
      </c>
      <c r="E40" s="347"/>
      <c r="F40" s="531" t="s">
        <v>1847</v>
      </c>
      <c r="G40" s="535">
        <f>$G$7</f>
        <v>1</v>
      </c>
      <c r="H40" s="533"/>
      <c r="I40" s="268"/>
      <c r="J40" s="607"/>
      <c r="K40" s="607"/>
      <c r="L40" s="607"/>
      <c r="M40" s="607"/>
      <c r="N40" s="607"/>
      <c r="P40" s="259"/>
      <c r="Q40" s="259">
        <v>20</v>
      </c>
    </row>
    <row r="41" spans="1:17" ht="26">
      <c r="A41" s="348" t="s">
        <v>1901</v>
      </c>
      <c r="B41" s="351">
        <f>IF(IFERROR(ISNUMBER(SEARCH("Manual",$G$42)),FALSE),"",B39+B40)</f>
        <v>1694</v>
      </c>
      <c r="C41" s="350" t="s">
        <v>1902</v>
      </c>
      <c r="D41" s="350" t="s">
        <v>1903</v>
      </c>
      <c r="E41" s="347"/>
      <c r="F41" s="531" t="s">
        <v>1865</v>
      </c>
      <c r="G41" s="534">
        <f>G39*G40</f>
        <v>299</v>
      </c>
      <c r="H41" s="533"/>
      <c r="I41" s="268"/>
      <c r="J41" s="608" t="str">
        <f>IF(IFERROR(ISNUMBER(SEARCH("Manual",$G$9)),FALSE),"MANUAL PRICING REQUIRED — customer total will appear only after an approved override is entered.","Quote generated from the current NivrāaCare master pricing model.")</f>
        <v>Quote generated from the current NivrāaCare master pricing model.</v>
      </c>
      <c r="K41" s="608"/>
      <c r="L41" s="608"/>
      <c r="M41" s="608"/>
      <c r="N41" s="608"/>
      <c r="P41" s="259"/>
      <c r="Q41" s="259">
        <v>20.5</v>
      </c>
    </row>
    <row r="42" spans="1:17" ht="26">
      <c r="A42" s="348" t="s">
        <v>1877</v>
      </c>
      <c r="B42" s="351">
        <f>IF(ISNUMBER($B$14),$B$14,B41)</f>
        <v>1694</v>
      </c>
      <c r="C42" s="350" t="s">
        <v>1904</v>
      </c>
      <c r="D42" s="350" t="s">
        <v>1905</v>
      </c>
      <c r="E42" s="347"/>
      <c r="F42" s="531" t="s">
        <v>1264</v>
      </c>
      <c r="G42" s="536" t="str">
        <f>$G$9</f>
        <v>AUTO</v>
      </c>
      <c r="H42" s="533"/>
      <c r="I42" s="268"/>
      <c r="J42" s="608"/>
      <c r="K42" s="608"/>
      <c r="L42" s="608"/>
      <c r="M42" s="608"/>
      <c r="N42" s="608"/>
      <c r="P42" s="259"/>
      <c r="Q42" s="259">
        <v>21</v>
      </c>
    </row>
    <row r="43" spans="1:17" ht="26">
      <c r="A43" s="348" t="s">
        <v>1906</v>
      </c>
      <c r="B43" s="351" t="str">
        <f>IF(NOT(ISNUMBER(B42)),"",$B$16)</f>
        <v>-</v>
      </c>
      <c r="C43" s="350" t="s">
        <v>1907</v>
      </c>
      <c r="D43" s="350" t="s">
        <v>1908</v>
      </c>
      <c r="E43" s="347"/>
      <c r="F43" s="347" t="s">
        <v>1909</v>
      </c>
      <c r="G43" s="618" t="str">
        <f>IF(IFERROR(ISNUMBER(SEARCH("Manual",G42)),FALSE),"MANUAL PRICING REQUIRED","AUTO PRICING")</f>
        <v>AUTO PRICING</v>
      </c>
      <c r="H43" s="619"/>
      <c r="I43" s="268"/>
      <c r="J43" s="268"/>
      <c r="K43" s="268"/>
      <c r="L43" s="268"/>
      <c r="M43" s="268"/>
      <c r="N43" s="268"/>
      <c r="P43" s="259"/>
      <c r="Q43" s="259">
        <v>21.5</v>
      </c>
    </row>
    <row r="44" spans="1:17" ht="15">
      <c r="A44" s="348" t="s">
        <v>1910</v>
      </c>
      <c r="B44" s="351">
        <f>IF(NOT(ISNUMBER(B42)),"",B42*'Global Pricing Config'!$B$14)</f>
        <v>338.8</v>
      </c>
      <c r="C44" s="350" t="s">
        <v>1911</v>
      </c>
      <c r="D44" s="350" t="s">
        <v>1912</v>
      </c>
      <c r="E44" s="347"/>
      <c r="F44" s="537"/>
      <c r="G44" s="537"/>
      <c r="H44" s="538"/>
      <c r="I44" s="268"/>
      <c r="J44" s="592" t="s">
        <v>1913</v>
      </c>
      <c r="K44" s="592" t="s">
        <v>1913</v>
      </c>
      <c r="L44" s="592" t="s">
        <v>1913</v>
      </c>
      <c r="M44" s="592" t="s">
        <v>1913</v>
      </c>
      <c r="N44" s="592" t="s">
        <v>1913</v>
      </c>
      <c r="P44" s="259"/>
      <c r="Q44" s="259">
        <v>22</v>
      </c>
    </row>
    <row r="45" spans="1:17" ht="15">
      <c r="A45" s="348" t="s">
        <v>1885</v>
      </c>
      <c r="B45" s="351">
        <f>IF(NOT(ISNUMBER(B42)),"",MIN(MAX(B43,0),MAX(B44,0),MAX(B42,0)))</f>
        <v>0</v>
      </c>
      <c r="C45" s="350" t="s">
        <v>1914</v>
      </c>
      <c r="D45" s="350" t="s">
        <v>1915</v>
      </c>
      <c r="E45" s="347"/>
      <c r="F45" s="539" t="str">
        <f>"Care Price = "&amp;TEXT($G$38,"0.0")&amp;" hrs × ₹"&amp;TEXT($G$39,"#,##0")&amp;" × "&amp;TEXT($G$40,"0.00")&amp;"x + ₹"&amp;TEXT($B$40,"#,##0")&amp;" = ₹"&amp;TEXT($B$41,"#,##0")</f>
        <v>Care Price = 5.0 hrs × ₹299 × 1.00x + ₹199 = ₹1,694</v>
      </c>
      <c r="G45" s="539"/>
      <c r="H45" s="540"/>
      <c r="I45" s="268"/>
      <c r="J45" s="567" t="s">
        <v>1916</v>
      </c>
      <c r="K45" s="567"/>
      <c r="L45" s="567"/>
      <c r="M45" s="593">
        <f>IF(NOT(ISNUMBER($B$48)),"",$B$48)</f>
        <v>1694</v>
      </c>
      <c r="N45" s="594"/>
      <c r="P45" s="259"/>
      <c r="Q45" s="259">
        <v>22.5</v>
      </c>
    </row>
    <row r="46" spans="1:17" ht="26">
      <c r="A46" s="352" t="s">
        <v>1917</v>
      </c>
      <c r="B46" s="353">
        <f>IF(NOT(ISNUMBER(B42)),"",MAX(B42-B45,0))</f>
        <v>1694</v>
      </c>
      <c r="C46" s="354" t="s">
        <v>1918</v>
      </c>
      <c r="D46" s="354" t="s">
        <v>1919</v>
      </c>
      <c r="E46" s="347"/>
      <c r="F46" s="539"/>
      <c r="G46" s="539"/>
      <c r="H46" s="540"/>
      <c r="I46" s="268"/>
      <c r="J46" s="567" t="s">
        <v>1920</v>
      </c>
      <c r="K46" s="567"/>
      <c r="L46" s="567"/>
      <c r="M46" s="595">
        <f>'NC Credits'!$B$6</f>
        <v>0.05</v>
      </c>
      <c r="N46" s="594"/>
      <c r="P46" s="259"/>
      <c r="Q46" s="259">
        <v>23</v>
      </c>
    </row>
    <row r="47" spans="1:17" ht="30">
      <c r="A47" s="355" t="s">
        <v>1921</v>
      </c>
      <c r="B47" s="356">
        <f>B45</f>
        <v>0</v>
      </c>
      <c r="C47" s="357" t="s">
        <v>1922</v>
      </c>
      <c r="D47" s="357" t="s">
        <v>1923</v>
      </c>
      <c r="E47" s="347"/>
      <c r="F47" s="539"/>
      <c r="G47" s="539"/>
      <c r="H47" s="540"/>
      <c r="I47" s="268"/>
      <c r="J47" s="567" t="s">
        <v>1924</v>
      </c>
      <c r="K47" s="567"/>
      <c r="L47" s="567"/>
      <c r="M47" s="596">
        <f>100*'NC Credits'!$B$6/'NC Credits'!$B$7</f>
        <v>5</v>
      </c>
      <c r="N47" s="594"/>
      <c r="P47" s="259"/>
      <c r="Q47" s="259">
        <v>23.5</v>
      </c>
    </row>
    <row r="48" spans="1:17" ht="16">
      <c r="A48" s="358" t="s">
        <v>1925</v>
      </c>
      <c r="B48" s="359">
        <f>B46</f>
        <v>1694</v>
      </c>
      <c r="C48" s="360" t="s">
        <v>1922</v>
      </c>
      <c r="D48" s="360" t="s">
        <v>1926</v>
      </c>
      <c r="E48" s="347"/>
      <c r="F48" s="539"/>
      <c r="G48" s="539"/>
      <c r="H48" s="540"/>
      <c r="I48" s="268"/>
      <c r="J48" s="567" t="s">
        <v>1927</v>
      </c>
      <c r="K48" s="567"/>
      <c r="L48" s="567"/>
      <c r="M48" s="597">
        <f>IF(NOT(ISNUMBER($B$48)),"",$B$48*'NC Credits'!$B$6/'NC Credits'!$B$7*'NC Credits'!$B$5)</f>
        <v>84.7</v>
      </c>
      <c r="N48" s="594"/>
      <c r="P48" s="259"/>
      <c r="Q48" s="259">
        <v>24</v>
      </c>
    </row>
    <row r="49" spans="1:14" ht="15">
      <c r="A49" s="348" t="s">
        <v>1928</v>
      </c>
      <c r="B49" s="351">
        <f>IF(NOT(ISNUMBER(B48)),"",B48-B50)</f>
        <v>258.4067796610168</v>
      </c>
      <c r="C49" s="350" t="s">
        <v>1929</v>
      </c>
      <c r="D49" s="350" t="s">
        <v>1930</v>
      </c>
      <c r="E49" s="347"/>
      <c r="F49" s="347"/>
      <c r="G49" s="347"/>
      <c r="H49" s="361"/>
      <c r="I49" s="268"/>
      <c r="J49" s="567" t="s">
        <v>1931</v>
      </c>
      <c r="K49" s="567"/>
      <c r="L49" s="567"/>
      <c r="M49" s="598">
        <f>IF(NOT(ISNUMBER(M48)),"",FLOOR(M48,1))</f>
        <v>84</v>
      </c>
      <c r="N49" s="594"/>
    </row>
    <row r="50" spans="1:14" ht="16">
      <c r="A50" s="333" t="s">
        <v>706</v>
      </c>
      <c r="B50" s="362">
        <f>IF(NOT(ISNUMBER(B48)),"",B48/(1+'Global Pricing Config'!$B$8))</f>
        <v>1435.5932203389832</v>
      </c>
      <c r="C50" s="363" t="s">
        <v>1932</v>
      </c>
      <c r="D50" s="363" t="s">
        <v>1933</v>
      </c>
      <c r="E50" s="347"/>
      <c r="F50" s="347"/>
      <c r="G50" s="347"/>
      <c r="H50" s="361"/>
      <c r="I50" s="268"/>
      <c r="J50" s="567" t="s">
        <v>1934</v>
      </c>
      <c r="K50" s="567"/>
      <c r="L50" s="567"/>
      <c r="M50" s="593" t="str">
        <f>IF('NC Credits'!$B$5=0,"CREDIT EARNING OFF",IF(NOT(ISNUMBER($B$48)),"PENDING FINAL PRICE",IF($B$48&lt;=0,"NO ELIGIBLE SPEND","CREDIT EARNING ACTIVE")))</f>
        <v>CREDIT EARNING ACTIVE</v>
      </c>
      <c r="N50" s="594"/>
    </row>
    <row r="51" spans="1:14" ht="15">
      <c r="A51" s="348" t="s">
        <v>1883</v>
      </c>
      <c r="B51" s="364">
        <f>IF($B$12="NivrāaCare Arranges Transport",$B$13+'Global Pricing Config'!$B$9,0)</f>
        <v>0</v>
      </c>
      <c r="C51" s="350" t="s">
        <v>1935</v>
      </c>
      <c r="D51" s="350" t="s">
        <v>1936</v>
      </c>
      <c r="E51" s="347"/>
      <c r="F51" s="347"/>
      <c r="G51" s="347"/>
      <c r="H51" s="361"/>
      <c r="I51" s="268"/>
      <c r="J51" s="567"/>
      <c r="K51" s="567"/>
      <c r="L51" s="567"/>
      <c r="M51" s="595"/>
      <c r="N51" s="594"/>
    </row>
    <row r="52" spans="1:14" ht="16">
      <c r="A52" s="365" t="s">
        <v>1937</v>
      </c>
      <c r="B52" s="366">
        <f>IF(NOT(ISNUMBER(B48)),"",B48+B51)</f>
        <v>1694</v>
      </c>
      <c r="C52" s="367" t="s">
        <v>1938</v>
      </c>
      <c r="D52" s="367" t="s">
        <v>1939</v>
      </c>
      <c r="E52" s="368"/>
      <c r="F52" s="368"/>
      <c r="G52" s="368"/>
      <c r="H52" s="369"/>
      <c r="I52" s="268"/>
      <c r="J52" s="614" t="s">
        <v>1940</v>
      </c>
      <c r="K52" s="614"/>
      <c r="L52" s="614"/>
      <c r="M52" s="615"/>
      <c r="N52" s="614"/>
    </row>
    <row r="53" spans="1:14" ht="34.75" customHeight="1">
      <c r="A53" s="541" t="s">
        <v>1941</v>
      </c>
      <c r="B53" s="542"/>
      <c r="C53" s="543"/>
      <c r="D53" s="544"/>
      <c r="E53" s="544"/>
      <c r="F53" s="544"/>
      <c r="G53" s="544"/>
      <c r="H53" s="544"/>
      <c r="I53" s="544"/>
      <c r="J53" s="567" t="s">
        <v>1942</v>
      </c>
      <c r="K53" s="567"/>
      <c r="L53" s="567"/>
      <c r="M53" s="609">
        <f>IF(NOT(ISNUMBER(M49)),"",M49*'NC Credits'!$B$7)</f>
        <v>84</v>
      </c>
      <c r="N53" s="610"/>
    </row>
    <row r="54" spans="1:14" ht="16">
      <c r="A54" s="263" t="s">
        <v>1943</v>
      </c>
      <c r="B54" s="264" t="s">
        <v>1944</v>
      </c>
      <c r="C54" s="265" t="s">
        <v>1945</v>
      </c>
      <c r="D54" s="268"/>
      <c r="E54" s="545" t="s">
        <v>1946</v>
      </c>
      <c r="F54" s="546"/>
      <c r="G54" s="546"/>
      <c r="H54" s="546"/>
      <c r="I54" s="547"/>
      <c r="J54" s="567" t="s">
        <v>1947</v>
      </c>
      <c r="K54" s="567"/>
      <c r="L54" s="567"/>
      <c r="M54" s="611">
        <f>'NC Credits'!$B$8</f>
        <v>0.7</v>
      </c>
      <c r="N54" s="610"/>
    </row>
    <row r="55" spans="1:14" ht="26">
      <c r="A55" s="279" t="s">
        <v>1744</v>
      </c>
      <c r="B55" s="281">
        <f>IF(NOT(ISNUMBER($B$52)),"",$B$52)</f>
        <v>1694</v>
      </c>
      <c r="C55" s="261" t="s">
        <v>1948</v>
      </c>
      <c r="D55" s="268"/>
      <c r="E55" s="548" t="s">
        <v>1949</v>
      </c>
      <c r="F55" s="549"/>
      <c r="G55" s="549"/>
      <c r="H55" s="552">
        <f>$B$41</f>
        <v>1694</v>
      </c>
      <c r="I55" s="553"/>
      <c r="J55" s="567" t="s">
        <v>1950</v>
      </c>
      <c r="K55" s="567"/>
      <c r="L55" s="567"/>
      <c r="M55" s="609">
        <f>IF(NOT(ISNUMBER(M53)),"",M53*M54)</f>
        <v>58.8</v>
      </c>
      <c r="N55" s="610"/>
    </row>
    <row r="56" spans="1:14" ht="26">
      <c r="A56" s="279" t="s">
        <v>1951</v>
      </c>
      <c r="B56" s="281">
        <f>IF(NOT(ISNUMBER($B$49)),"",$B$49)</f>
        <v>258.4067796610168</v>
      </c>
      <c r="C56" s="261" t="s">
        <v>1952</v>
      </c>
      <c r="D56" s="268"/>
      <c r="E56" s="548" t="s">
        <v>1953</v>
      </c>
      <c r="F56" s="549"/>
      <c r="G56" s="549"/>
      <c r="H56" s="552" t="str">
        <f>IF(ISNUMBER($B$14),$B$14,"")</f>
        <v/>
      </c>
      <c r="I56" s="553"/>
      <c r="J56" s="567" t="s">
        <v>1954</v>
      </c>
      <c r="K56" s="567"/>
      <c r="L56" s="567"/>
      <c r="M56" s="611">
        <f>IFERROR(M55/($B$50),0)</f>
        <v>4.0958677685950406E-2</v>
      </c>
      <c r="N56" s="610"/>
    </row>
    <row r="57" spans="1:14" ht="26">
      <c r="A57" s="279" t="s">
        <v>1955</v>
      </c>
      <c r="B57" s="281">
        <f>IF(NOT(ISNUMBER($B$50)),"",$B$50)</f>
        <v>1435.5932203389832</v>
      </c>
      <c r="C57" s="261" t="s">
        <v>1956</v>
      </c>
      <c r="D57" s="268"/>
      <c r="E57" s="548" t="s">
        <v>1957</v>
      </c>
      <c r="F57" s="549"/>
      <c r="G57" s="549"/>
      <c r="H57" s="552">
        <f>IF(ISNUMBER($B$14),$B$14-$B$41,0)</f>
        <v>0</v>
      </c>
      <c r="I57" s="553"/>
      <c r="J57" s="612" t="s">
        <v>1958</v>
      </c>
      <c r="K57" s="612"/>
      <c r="L57" s="612"/>
      <c r="M57" s="613" t="str">
        <f>IF(NOT(ISNUMBER($B$42)),"PENDING FINAL PRICE",IF($B$43&lt;=0,"NO CREDIT REDEMPTION",IF($B$43&gt;$B$45,"CREDIT DISCOUNT CAPPED","DISCOUNT APPLIED AS REQUESTED")))</f>
        <v>CREDIT DISCOUNT CAPPED</v>
      </c>
      <c r="N57" s="613"/>
    </row>
    <row r="58" spans="1:14" ht="26">
      <c r="A58" s="279" t="s">
        <v>1959</v>
      </c>
      <c r="B58" s="281">
        <f>IF($B$12="NivrāaCare Arranges Transport",'Global Inputs'!$B$16/(1+'Global Inputs'!$B$17),0)</f>
        <v>0</v>
      </c>
      <c r="C58" s="261" t="s">
        <v>1960</v>
      </c>
      <c r="D58" s="268"/>
      <c r="E58" s="548" t="s">
        <v>1961</v>
      </c>
      <c r="F58" s="549"/>
      <c r="G58" s="549"/>
      <c r="H58" s="554">
        <f>IF(OR(NOT(ISNUMBER($B$14)),$B$41=0),0,$B$14/$B$41-1)</f>
        <v>0</v>
      </c>
      <c r="I58" s="553"/>
      <c r="J58" s="318"/>
      <c r="K58" s="318"/>
      <c r="L58" s="318"/>
      <c r="M58" s="318"/>
      <c r="N58" s="318"/>
    </row>
    <row r="59" spans="1:14" ht="26">
      <c r="A59" s="279" t="s">
        <v>1100</v>
      </c>
      <c r="B59" s="281">
        <f>IF($B$12="NivrāaCare Arranges Transport",$B$13,0)</f>
        <v>0</v>
      </c>
      <c r="C59" s="261" t="s">
        <v>1962</v>
      </c>
      <c r="D59" s="268"/>
      <c r="E59" s="548" t="s">
        <v>1963</v>
      </c>
      <c r="F59" s="549"/>
      <c r="G59" s="549"/>
      <c r="H59" s="552">
        <f>IF(NOT(ISNUMBER($B$41)),"",($B$41/(1+$G$16)+IF($B$12="NivrāaCare Arranges Transport",'Global Inputs'!$B$16/(1+'Global Inputs'!$B$17),0))-(($B$41+IF($B$12="NivrāaCare Arranges Transport",$B$13+'Global Inputs'!$B$16,0))*'Global Inputs'!$B$8+'Global Inputs'!$B$9+'Global Inputs'!$B$10+'Global Inputs'!$B$11+'Global Inputs'!$B$12+'Global Inputs'!$B$13+'Global Inputs'!$B$14+FLOOR($B$41*'NC Credits'!$B$6/'NC Credits'!$B$7,1)*'NC Credits'!$B$7*'NC Credits'!$B$8+IFERROR($B$11*$G$8*INDEX('Service Economics'!$AI$5:$AI$34,MATCH($B$10,'Service Economics'!$A$5:$A$34,0)),0)+IF($B$12="NivrāaCare Arranges Transport",'Global Inputs'!$B$18,0)))</f>
        <v>1320.2932203389832</v>
      </c>
      <c r="I59" s="553"/>
      <c r="J59" s="612" t="str">
        <f>IF(M49="","Credits will be calculated after a valid final care price is available.","You will earn "&amp;TEXT(M49,"0")&amp;" NivrāaCredits on this journey. Credits are added after successful journey completion.")</f>
        <v>You will earn 84 NivrāaCredits on this journey. Credits are added after successful journey completion.</v>
      </c>
      <c r="K59" s="612"/>
      <c r="L59" s="612"/>
      <c r="M59" s="612"/>
      <c r="N59" s="612"/>
    </row>
    <row r="60" spans="1:14" ht="26">
      <c r="A60" s="279" t="s">
        <v>215</v>
      </c>
      <c r="B60" s="281">
        <f>B57+B58</f>
        <v>1435.5932203389832</v>
      </c>
      <c r="C60" s="261" t="s">
        <v>1125</v>
      </c>
      <c r="D60" s="268"/>
      <c r="E60" s="548" t="s">
        <v>1964</v>
      </c>
      <c r="F60" s="549"/>
      <c r="G60" s="549"/>
      <c r="H60" s="552">
        <f>$B$71</f>
        <v>1320.2932203389832</v>
      </c>
      <c r="I60" s="553"/>
      <c r="J60" s="612"/>
      <c r="K60" s="612"/>
      <c r="L60" s="612"/>
      <c r="M60" s="612"/>
      <c r="N60" s="612"/>
    </row>
    <row r="61" spans="1:14" ht="26">
      <c r="A61" s="279" t="s">
        <v>1965</v>
      </c>
      <c r="B61" s="281">
        <f>IF(B55="","",B55*'Global Inputs'!$B$8+'Global Inputs'!$B$9)</f>
        <v>0</v>
      </c>
      <c r="C61" s="261" t="s">
        <v>1966</v>
      </c>
      <c r="D61" s="268"/>
      <c r="E61" s="548" t="s">
        <v>1967</v>
      </c>
      <c r="F61" s="549"/>
      <c r="G61" s="549"/>
      <c r="H61" s="552">
        <f>H60-H59</f>
        <v>0</v>
      </c>
      <c r="I61" s="553"/>
      <c r="J61" s="612"/>
      <c r="K61" s="612"/>
      <c r="L61" s="612"/>
      <c r="M61" s="612"/>
      <c r="N61" s="612"/>
    </row>
    <row r="62" spans="1:14" ht="15">
      <c r="A62" s="279" t="s">
        <v>1129</v>
      </c>
      <c r="B62" s="281">
        <f>'Global Inputs'!$B$10</f>
        <v>10</v>
      </c>
      <c r="C62" s="261" t="s">
        <v>1968</v>
      </c>
      <c r="D62" s="268"/>
      <c r="E62" s="548" t="s">
        <v>1969</v>
      </c>
      <c r="F62" s="549"/>
      <c r="G62" s="549"/>
      <c r="H62" s="554">
        <f>IFERROR(H59/($B$41/(1+$G$16)+IF($B$12="NivrāaCare Arranges Transport",'Global Inputs'!$B$16/(1+'Global Inputs'!$B$17),0)),0)</f>
        <v>0.91968476977567892</v>
      </c>
      <c r="I62" s="553"/>
      <c r="J62" s="268"/>
      <c r="K62" s="268"/>
      <c r="L62" s="268"/>
      <c r="M62" s="268"/>
      <c r="N62" s="268"/>
    </row>
    <row r="63" spans="1:14" ht="15">
      <c r="A63" s="279" t="s">
        <v>1132</v>
      </c>
      <c r="B63" s="281">
        <f>'Global Inputs'!$B$11</f>
        <v>10</v>
      </c>
      <c r="C63" s="261" t="s">
        <v>1970</v>
      </c>
      <c r="D63" s="268"/>
      <c r="E63" s="548" t="s">
        <v>1971</v>
      </c>
      <c r="F63" s="549"/>
      <c r="G63" s="549"/>
      <c r="H63" s="554">
        <f>$B$72</f>
        <v>0.91968476977567892</v>
      </c>
      <c r="I63" s="553"/>
      <c r="J63" s="268"/>
      <c r="K63" s="268"/>
      <c r="L63" s="268"/>
      <c r="M63" s="268"/>
      <c r="N63" s="268"/>
    </row>
    <row r="64" spans="1:14" ht="15">
      <c r="A64" s="279" t="s">
        <v>1972</v>
      </c>
      <c r="B64" s="281">
        <f>'Global Inputs'!$B$12</f>
        <v>0.5</v>
      </c>
      <c r="C64" s="261" t="s">
        <v>1973</v>
      </c>
      <c r="D64" s="268"/>
      <c r="E64" s="548" t="s">
        <v>1974</v>
      </c>
      <c r="F64" s="549"/>
      <c r="G64" s="549"/>
      <c r="H64" s="554">
        <f>H63-H62</f>
        <v>0</v>
      </c>
      <c r="I64" s="553"/>
      <c r="J64" s="268"/>
      <c r="K64" s="268"/>
      <c r="L64" s="268"/>
      <c r="M64" s="268"/>
      <c r="N64" s="268"/>
    </row>
    <row r="65" spans="1:14" ht="15">
      <c r="A65" s="279" t="s">
        <v>1138</v>
      </c>
      <c r="B65" s="281">
        <f>'Global Inputs'!$B$13</f>
        <v>0</v>
      </c>
      <c r="C65" s="261" t="s">
        <v>1139</v>
      </c>
      <c r="D65" s="268"/>
      <c r="E65" s="550" t="s">
        <v>1975</v>
      </c>
      <c r="F65" s="551"/>
      <c r="G65" s="551"/>
      <c r="H65" s="555" t="str">
        <f>IF(IFERROR(ISNUMBER(SEARCH("Manual",$G$42)),FALSE),"MANUAL",IF(NOT(ISNUMBER($B$14)),"STANDARD",IF($B$75&lt;0,"RED",IF($B$76&lt;20%,"AMBER","GREEN"))))</f>
        <v>STANDARD</v>
      </c>
      <c r="I65" s="556"/>
      <c r="J65" s="268"/>
      <c r="K65" s="268"/>
      <c r="L65" s="268"/>
      <c r="M65" s="268"/>
      <c r="N65" s="268"/>
    </row>
    <row r="66" spans="1:14" ht="15">
      <c r="A66" s="279" t="s">
        <v>1976</v>
      </c>
      <c r="B66" s="281">
        <f>'Global Inputs'!$B$14</f>
        <v>36</v>
      </c>
      <c r="C66" s="261" t="s">
        <v>1977</v>
      </c>
      <c r="D66" s="268"/>
      <c r="E66" s="268"/>
      <c r="F66" s="268"/>
      <c r="G66" s="268"/>
      <c r="H66" s="268"/>
      <c r="I66" s="268"/>
      <c r="J66" s="268"/>
      <c r="K66" s="268"/>
      <c r="L66" s="268"/>
      <c r="M66" s="268"/>
      <c r="N66" s="268"/>
    </row>
    <row r="67" spans="1:14" ht="26">
      <c r="A67" s="279" t="s">
        <v>1978</v>
      </c>
      <c r="B67" s="281">
        <f>$M$55</f>
        <v>58.8</v>
      </c>
      <c r="C67" s="261" t="s">
        <v>1979</v>
      </c>
      <c r="D67" s="268"/>
      <c r="E67" s="557" t="s">
        <v>1980</v>
      </c>
      <c r="F67" s="558"/>
      <c r="G67" s="558"/>
      <c r="H67" s="558"/>
      <c r="I67" s="559"/>
      <c r="J67" s="268"/>
      <c r="K67" s="268"/>
      <c r="L67" s="268"/>
      <c r="M67" s="268"/>
      <c r="N67" s="268"/>
    </row>
    <row r="68" spans="1:14" ht="26">
      <c r="A68" s="279" t="s">
        <v>1146</v>
      </c>
      <c r="B68" s="281">
        <f>IFERROR($B$11*$G$8*INDEX('Service Economics'!$AI$5:$AI$34,MATCH($B$10,'Service Economics'!$A$5:$A$34,0)),0)</f>
        <v>0</v>
      </c>
      <c r="C68" s="261" t="s">
        <v>1981</v>
      </c>
      <c r="D68" s="268"/>
      <c r="E68" s="548" t="s">
        <v>1847</v>
      </c>
      <c r="F68" s="549"/>
      <c r="G68" s="549"/>
      <c r="H68" s="560">
        <f>$G$40</f>
        <v>1</v>
      </c>
      <c r="I68" s="553"/>
      <c r="J68" s="268"/>
      <c r="K68" s="268"/>
      <c r="L68" s="268"/>
      <c r="M68" s="268"/>
      <c r="N68" s="268"/>
    </row>
    <row r="69" spans="1:14" ht="26">
      <c r="A69" s="279" t="s">
        <v>56</v>
      </c>
      <c r="B69" s="281">
        <f>IF($B$12="NivrāaCare Arranges Transport",'Global Inputs'!$B$18,0)</f>
        <v>0</v>
      </c>
      <c r="C69" s="261" t="s">
        <v>1982</v>
      </c>
      <c r="D69" s="268"/>
      <c r="E69" s="548" t="s">
        <v>1983</v>
      </c>
      <c r="F69" s="549"/>
      <c r="G69" s="549"/>
      <c r="H69" s="552">
        <f>IFERROR($B$71/$B$11,0)</f>
        <v>264.05864406779665</v>
      </c>
      <c r="I69" s="553"/>
      <c r="J69" s="268"/>
      <c r="K69" s="268"/>
      <c r="L69" s="268"/>
      <c r="M69" s="268"/>
      <c r="N69" s="268"/>
    </row>
    <row r="70" spans="1:14" ht="16">
      <c r="A70" s="285" t="s">
        <v>1150</v>
      </c>
      <c r="B70" s="286">
        <f>SUM(B61:B69)</f>
        <v>115.3</v>
      </c>
      <c r="C70" s="266" t="s">
        <v>1984</v>
      </c>
      <c r="D70" s="268"/>
      <c r="E70" s="548" t="s">
        <v>1985</v>
      </c>
      <c r="F70" s="549"/>
      <c r="G70" s="549"/>
      <c r="H70" s="552">
        <f>IFERROR($B$75/$B$11,0)</f>
        <v>22.407684713488017</v>
      </c>
      <c r="I70" s="553"/>
      <c r="J70" s="268"/>
      <c r="K70" s="268"/>
      <c r="L70" s="268"/>
      <c r="M70" s="268"/>
      <c r="N70" s="268"/>
    </row>
    <row r="71" spans="1:14" ht="26">
      <c r="A71" s="285" t="s">
        <v>1091</v>
      </c>
      <c r="B71" s="286">
        <f>IF(B60="","",B60-B70)</f>
        <v>1320.2932203389832</v>
      </c>
      <c r="C71" s="266" t="s">
        <v>1986</v>
      </c>
      <c r="D71" s="268"/>
      <c r="E71" s="548" t="s">
        <v>279</v>
      </c>
      <c r="F71" s="549"/>
      <c r="G71" s="549"/>
      <c r="H71" s="554">
        <f>$B$72</f>
        <v>0.91968476977567892</v>
      </c>
      <c r="I71" s="553"/>
      <c r="J71" s="268"/>
      <c r="K71" s="268"/>
      <c r="L71" s="268"/>
      <c r="M71" s="268"/>
      <c r="N71" s="268"/>
    </row>
    <row r="72" spans="1:14" ht="26">
      <c r="A72" s="279" t="s">
        <v>279</v>
      </c>
      <c r="B72" s="284">
        <f>IFERROR(B71/B60,0)</f>
        <v>0.91968476977567892</v>
      </c>
      <c r="C72" s="261" t="s">
        <v>1987</v>
      </c>
      <c r="D72" s="268"/>
      <c r="E72" s="548" t="s">
        <v>1988</v>
      </c>
      <c r="F72" s="549"/>
      <c r="G72" s="549"/>
      <c r="H72" s="552">
        <f>$B$67</f>
        <v>58.8</v>
      </c>
      <c r="I72" s="553"/>
      <c r="J72" s="268"/>
      <c r="K72" s="268"/>
      <c r="L72" s="268"/>
      <c r="M72" s="268"/>
      <c r="N72" s="268"/>
    </row>
    <row r="73" spans="1:14" ht="26">
      <c r="A73" s="279" t="s">
        <v>1103</v>
      </c>
      <c r="B73" s="281">
        <f>IFERROR(B71/$B$11,0)</f>
        <v>264.05864406779665</v>
      </c>
      <c r="C73" s="261" t="s">
        <v>1989</v>
      </c>
      <c r="D73" s="268"/>
      <c r="E73" s="548" t="s">
        <v>1990</v>
      </c>
      <c r="F73" s="549"/>
      <c r="G73" s="549"/>
      <c r="H73" s="552">
        <f>$B$74</f>
        <v>1208.2547967715432</v>
      </c>
      <c r="I73" s="553"/>
      <c r="J73" s="268"/>
      <c r="K73" s="268"/>
      <c r="L73" s="268"/>
      <c r="M73" s="268"/>
      <c r="N73" s="268"/>
    </row>
    <row r="74" spans="1:14" ht="26">
      <c r="A74" s="282" t="s">
        <v>1991</v>
      </c>
      <c r="B74" s="283">
        <f>IFERROR($B$11*$G$8*'Angel Economics'!$G$10,0)</f>
        <v>1208.2547967715432</v>
      </c>
      <c r="C74" s="267" t="s">
        <v>1992</v>
      </c>
      <c r="D74" s="268"/>
      <c r="E74" s="548" t="s">
        <v>1993</v>
      </c>
      <c r="F74" s="549"/>
      <c r="G74" s="549"/>
      <c r="H74" s="552">
        <f>IF($B$12="NivrāaCare Arranges Transport",$B$58-$B$69-($B$51*'Global Inputs'!$B$8),0)</f>
        <v>0</v>
      </c>
      <c r="I74" s="553"/>
      <c r="J74" s="268"/>
      <c r="K74" s="268"/>
      <c r="L74" s="268"/>
      <c r="M74" s="268"/>
      <c r="N74" s="268"/>
    </row>
    <row r="75" spans="1:14" ht="26">
      <c r="A75" s="282" t="s">
        <v>1673</v>
      </c>
      <c r="B75" s="283">
        <f>B71-B74</f>
        <v>112.03842356744008</v>
      </c>
      <c r="C75" s="267" t="s">
        <v>1994</v>
      </c>
      <c r="D75" s="268"/>
      <c r="E75" s="550" t="s">
        <v>1909</v>
      </c>
      <c r="F75" s="551"/>
      <c r="G75" s="551"/>
      <c r="H75" s="555" t="str">
        <f>IF(IFERROR(ISNUMBER(SEARCH("Manual",$G$42)),FALSE),"MANUAL",IF($B$75&lt;0,"RED",IF(OR($B$76&lt;20%,IFERROR($B$75/$B$11,0)&lt;50),"AMBER","GREEN")))</f>
        <v>AMBER</v>
      </c>
      <c r="I75" s="556"/>
      <c r="J75" s="268"/>
      <c r="K75" s="268"/>
      <c r="L75" s="268"/>
      <c r="M75" s="268"/>
      <c r="N75" s="268"/>
    </row>
    <row r="76" spans="1:14" ht="32">
      <c r="A76" s="287" t="s">
        <v>1995</v>
      </c>
      <c r="B76" s="288">
        <f>IFERROR(B75/B60,0)</f>
        <v>7.8043293866339597E-2</v>
      </c>
      <c r="C76" s="289" t="s">
        <v>1996</v>
      </c>
      <c r="D76" s="268"/>
      <c r="E76" s="268"/>
      <c r="F76" s="268"/>
      <c r="G76" s="268"/>
      <c r="H76" s="268"/>
      <c r="I76" s="268"/>
      <c r="J76" s="268"/>
      <c r="K76" s="268"/>
      <c r="L76" s="268"/>
      <c r="M76" s="268"/>
      <c r="N76" s="268"/>
    </row>
    <row r="77" spans="1:14">
      <c r="A77" s="268"/>
      <c r="B77" s="268"/>
      <c r="C77" s="268"/>
      <c r="D77" s="268"/>
      <c r="E77" s="268"/>
      <c r="F77" s="268"/>
      <c r="G77" s="268"/>
      <c r="H77" s="268"/>
      <c r="I77" s="268"/>
      <c r="J77" s="268"/>
      <c r="K77" s="268"/>
      <c r="L77" s="268"/>
      <c r="M77" s="268"/>
      <c r="N77" s="268"/>
    </row>
    <row r="78" spans="1:14" ht="32" customHeight="1">
      <c r="A78" s="574" t="s">
        <v>1997</v>
      </c>
      <c r="B78" s="574"/>
      <c r="C78" s="574"/>
      <c r="D78" s="574"/>
      <c r="E78" s="574"/>
      <c r="F78" s="574"/>
      <c r="G78" s="574"/>
      <c r="H78" s="574"/>
      <c r="I78" s="574"/>
      <c r="J78" s="268"/>
      <c r="K78" s="268"/>
      <c r="L78" s="268"/>
      <c r="M78" s="268"/>
      <c r="N78" s="268"/>
    </row>
    <row r="79" spans="1:14" ht="37.25" customHeight="1">
      <c r="A79" s="575" t="s">
        <v>1998</v>
      </c>
      <c r="B79" s="575"/>
      <c r="C79" s="575"/>
      <c r="D79" s="575"/>
      <c r="E79" s="575"/>
      <c r="F79" s="575"/>
      <c r="G79" s="575"/>
      <c r="H79" s="575"/>
      <c r="I79" s="575"/>
      <c r="J79" s="268"/>
      <c r="K79" s="268"/>
      <c r="L79" s="268"/>
      <c r="M79" s="268"/>
      <c r="N79" s="268"/>
    </row>
    <row r="80" spans="1:14" ht="128">
      <c r="A80" s="296" t="s">
        <v>1668</v>
      </c>
      <c r="B80" s="297" t="s">
        <v>1999</v>
      </c>
      <c r="C80" s="297" t="s">
        <v>2000</v>
      </c>
      <c r="D80" s="297" t="s">
        <v>2001</v>
      </c>
      <c r="E80" s="297" t="s">
        <v>2002</v>
      </c>
      <c r="F80" s="297" t="s">
        <v>2003</v>
      </c>
      <c r="G80" s="297" t="s">
        <v>2004</v>
      </c>
      <c r="H80" s="297" t="s">
        <v>279</v>
      </c>
      <c r="I80" s="298" t="s">
        <v>2005</v>
      </c>
      <c r="J80" s="268"/>
      <c r="K80" s="268"/>
      <c r="L80" s="268"/>
      <c r="M80" s="268"/>
      <c r="N80" s="268"/>
    </row>
    <row r="81" spans="1:9">
      <c r="A81" s="299">
        <v>0.6</v>
      </c>
      <c r="B81" s="300">
        <f t="shared" ref="B81:B91" si="0">$G$14*A81</f>
        <v>179.4</v>
      </c>
      <c r="C81" s="300">
        <f t="shared" ref="C81:C91" si="1">$G$16+4*$G$14*A81</f>
        <v>717.78</v>
      </c>
      <c r="D81" s="300">
        <f t="shared" ref="D81:D91" si="2">$G$16+5*$G$14*A81</f>
        <v>897.18</v>
      </c>
      <c r="E81" s="300">
        <f t="shared" ref="E81:E91" si="3">$G$16+6*$G$14*A81</f>
        <v>1076.58</v>
      </c>
      <c r="F81" s="300">
        <f>((D81/(1+$G$17))-(D81*'Global Inputs'!$B$8+'Global Inputs'!$B$9+SUM('Global Inputs'!$B$10:$B$14)+(D81/(1+$G$17))*$M$9+5*$G$8*INDEX('Service Economics'!$AI$5:$AI$34,MATCH($B$10,'Service Economics'!$A$5:$A$34,0))))/5</f>
        <v>-10.153164712000001</v>
      </c>
      <c r="G81" s="300">
        <f>F81-('Angel Economics'!$G$10*$G$8)</f>
        <v>-251.80412406630862</v>
      </c>
      <c r="H81" s="301">
        <f t="shared" ref="H81:H91" si="4">IFERROR((F81*5)/(D81/(1+$G$17)),0)</f>
        <v>-8.4875649635524653</v>
      </c>
      <c r="I81" s="302" t="str">
        <f t="shared" ref="I81:I91" si="5">IF(G81&lt;0,"RED",IF(OR(G81&lt;50,H81&lt;20%),"AMBER","GREEN"))</f>
        <v>RED</v>
      </c>
    </row>
    <row r="82" spans="1:9">
      <c r="A82" s="299">
        <v>0.65</v>
      </c>
      <c r="B82" s="300">
        <f t="shared" si="0"/>
        <v>194.35</v>
      </c>
      <c r="C82" s="300">
        <f t="shared" si="1"/>
        <v>777.57999999999993</v>
      </c>
      <c r="D82" s="300">
        <f t="shared" si="2"/>
        <v>971.93</v>
      </c>
      <c r="E82" s="300">
        <f t="shared" si="3"/>
        <v>1166.2800000000002</v>
      </c>
      <c r="F82" s="300">
        <f>((D82/(1+$G$17))-(D82*'Global Inputs'!$B$8+'Global Inputs'!$B$9+SUM('Global Inputs'!$B$10:$B$14)+(D82/(1+$G$17))*$M$9+5*$G$8*INDEX('Service Economics'!$AI$5:$AI$34,MATCH($B$10,'Service Economics'!$A$5:$A$34,0))))/5</f>
        <v>-10.057614278666666</v>
      </c>
      <c r="G82" s="300">
        <f>F82-('Angel Economics'!$G$10*$G$8)</f>
        <v>-251.70857363297529</v>
      </c>
      <c r="H82" s="301">
        <f t="shared" si="4"/>
        <v>-7.761063768995708</v>
      </c>
      <c r="I82" s="302" t="str">
        <f t="shared" si="5"/>
        <v>RED</v>
      </c>
    </row>
    <row r="83" spans="1:9">
      <c r="A83" s="299">
        <v>0.7</v>
      </c>
      <c r="B83" s="300">
        <f t="shared" si="0"/>
        <v>209.29999999999998</v>
      </c>
      <c r="C83" s="300">
        <f t="shared" si="1"/>
        <v>837.37999999999988</v>
      </c>
      <c r="D83" s="300">
        <f t="shared" si="2"/>
        <v>1046.68</v>
      </c>
      <c r="E83" s="300">
        <f t="shared" si="3"/>
        <v>1255.98</v>
      </c>
      <c r="F83" s="300">
        <f>((D83/(1+$G$17))-(D83*'Global Inputs'!$B$8+'Global Inputs'!$B$9+SUM('Global Inputs'!$B$10:$B$14)+(D83/(1+$G$17))*$M$9+5*$G$8*INDEX('Service Economics'!$AI$5:$AI$34,MATCH($B$10,'Service Economics'!$A$5:$A$34,0))))/5</f>
        <v>-9.9620638453333328</v>
      </c>
      <c r="G83" s="300">
        <f>F83-('Angel Economics'!$G$10*$G$8)</f>
        <v>-251.61302319964193</v>
      </c>
      <c r="H83" s="301">
        <f t="shared" si="4"/>
        <v>-7.1383306110750171</v>
      </c>
      <c r="I83" s="302" t="str">
        <f t="shared" si="5"/>
        <v>RED</v>
      </c>
    </row>
    <row r="84" spans="1:9">
      <c r="A84" s="299">
        <v>0.75</v>
      </c>
      <c r="B84" s="300">
        <f t="shared" si="0"/>
        <v>224.25</v>
      </c>
      <c r="C84" s="300">
        <f t="shared" si="1"/>
        <v>897.18</v>
      </c>
      <c r="D84" s="300">
        <f t="shared" si="2"/>
        <v>1121.43</v>
      </c>
      <c r="E84" s="300">
        <f t="shared" si="3"/>
        <v>1345.68</v>
      </c>
      <c r="F84" s="300">
        <f>((D84/(1+$G$17))-(D84*'Global Inputs'!$B$8+'Global Inputs'!$B$9+SUM('Global Inputs'!$B$10:$B$14)+(D84/(1+$G$17))*$M$9+5*$G$8*INDEX('Service Economics'!$AI$5:$AI$34,MATCH($B$10,'Service Economics'!$A$5:$A$34,0))))/5</f>
        <v>-9.8665134119999998</v>
      </c>
      <c r="G84" s="300">
        <f>F84-('Angel Economics'!$G$10*$G$8)</f>
        <v>-251.5174727663086</v>
      </c>
      <c r="H84" s="301">
        <f t="shared" si="4"/>
        <v>-6.5986152136111924</v>
      </c>
      <c r="I84" s="302" t="str">
        <f t="shared" si="5"/>
        <v>RED</v>
      </c>
    </row>
    <row r="85" spans="1:9">
      <c r="A85" s="299">
        <v>0.8</v>
      </c>
      <c r="B85" s="300">
        <f t="shared" si="0"/>
        <v>239.20000000000002</v>
      </c>
      <c r="C85" s="300">
        <f t="shared" si="1"/>
        <v>956.98</v>
      </c>
      <c r="D85" s="300">
        <f t="shared" si="2"/>
        <v>1196.18</v>
      </c>
      <c r="E85" s="300">
        <f t="shared" si="3"/>
        <v>1435.38</v>
      </c>
      <c r="F85" s="300">
        <f>((D85/(1+$G$17))-(D85*'Global Inputs'!$B$8+'Global Inputs'!$B$9+SUM('Global Inputs'!$B$10:$B$14)+(D85/(1+$G$17))*$M$9+5*$G$8*INDEX('Service Economics'!$AI$5:$AI$34,MATCH($B$10,'Service Economics'!$A$5:$A$34,0))))/5</f>
        <v>-9.7709629786666667</v>
      </c>
      <c r="G85" s="300">
        <f>F85-('Angel Economics'!$G$10*$G$8)</f>
        <v>-251.42192233297527</v>
      </c>
      <c r="H85" s="301">
        <f t="shared" si="4"/>
        <v>-6.1263540888495038</v>
      </c>
      <c r="I85" s="302" t="str">
        <f t="shared" si="5"/>
        <v>RED</v>
      </c>
    </row>
    <row r="86" spans="1:9">
      <c r="A86" s="299">
        <v>0.85</v>
      </c>
      <c r="B86" s="300">
        <f t="shared" si="0"/>
        <v>254.15</v>
      </c>
      <c r="C86" s="300">
        <f t="shared" si="1"/>
        <v>1016.78</v>
      </c>
      <c r="D86" s="300">
        <f t="shared" si="2"/>
        <v>1270.93</v>
      </c>
      <c r="E86" s="300">
        <f t="shared" si="3"/>
        <v>1525.08</v>
      </c>
      <c r="F86" s="300">
        <f>((D86/(1+$G$17))-(D86*'Global Inputs'!$B$8+'Global Inputs'!$B$9+SUM('Global Inputs'!$B$10:$B$14)+(D86/(1+$G$17))*$M$9+5*$G$8*INDEX('Service Economics'!$AI$5:$AI$34,MATCH($B$10,'Service Economics'!$A$5:$A$34,0))))/5</f>
        <v>-9.6754125453333337</v>
      </c>
      <c r="G86" s="300">
        <f>F86-('Angel Economics'!$G$10*$G$8)</f>
        <v>-251.32637189964194</v>
      </c>
      <c r="H86" s="301">
        <f t="shared" si="4"/>
        <v>-5.7096452275105634</v>
      </c>
      <c r="I86" s="302" t="str">
        <f t="shared" si="5"/>
        <v>RED</v>
      </c>
    </row>
    <row r="87" spans="1:9">
      <c r="A87" s="299">
        <v>0.9</v>
      </c>
      <c r="B87" s="300">
        <f t="shared" si="0"/>
        <v>269.10000000000002</v>
      </c>
      <c r="C87" s="300">
        <f t="shared" si="1"/>
        <v>1076.5800000000002</v>
      </c>
      <c r="D87" s="300">
        <f t="shared" si="2"/>
        <v>1345.68</v>
      </c>
      <c r="E87" s="300">
        <f t="shared" si="3"/>
        <v>1614.7800000000002</v>
      </c>
      <c r="F87" s="300">
        <f>((D87/(1+$G$17))-(D87*'Global Inputs'!$B$8+'Global Inputs'!$B$9+SUM('Global Inputs'!$B$10:$B$14)+(D87/(1+$G$17))*$M$9+5*$G$8*INDEX('Service Economics'!$AI$5:$AI$34,MATCH($B$10,'Service Economics'!$A$5:$A$34,0))))/5</f>
        <v>-9.5798621120000007</v>
      </c>
      <c r="G87" s="300">
        <f>F87-('Angel Economics'!$G$10*$G$8)</f>
        <v>-251.23082146630861</v>
      </c>
      <c r="H87" s="301">
        <f t="shared" si="4"/>
        <v>-5.3392311574817199</v>
      </c>
      <c r="I87" s="302" t="str">
        <f t="shared" si="5"/>
        <v>RED</v>
      </c>
    </row>
    <row r="88" spans="1:9">
      <c r="A88" s="299">
        <v>1</v>
      </c>
      <c r="B88" s="300">
        <f t="shared" si="0"/>
        <v>299</v>
      </c>
      <c r="C88" s="300">
        <f t="shared" si="1"/>
        <v>1196.18</v>
      </c>
      <c r="D88" s="300">
        <f t="shared" si="2"/>
        <v>1495.18</v>
      </c>
      <c r="E88" s="300">
        <f t="shared" si="3"/>
        <v>1794.18</v>
      </c>
      <c r="F88" s="300">
        <f>((D88/(1+$G$17))-(D88*'Global Inputs'!$B$8+'Global Inputs'!$B$9+SUM('Global Inputs'!$B$10:$B$14)+(D88/(1+$G$17))*$M$9+5*$G$8*INDEX('Service Economics'!$AI$5:$AI$34,MATCH($B$10,'Service Economics'!$A$5:$A$34,0))))/5</f>
        <v>-9.3887612453333329</v>
      </c>
      <c r="G88" s="300">
        <f>F88-('Angel Economics'!$G$10*$G$8)</f>
        <v>-251.03972059964195</v>
      </c>
      <c r="H88" s="301">
        <f t="shared" si="4"/>
        <v>-4.7095138605385296</v>
      </c>
      <c r="I88" s="302" t="str">
        <f t="shared" si="5"/>
        <v>RED</v>
      </c>
    </row>
    <row r="89" spans="1:9">
      <c r="A89" s="299">
        <v>1.1000000000000001</v>
      </c>
      <c r="B89" s="300">
        <f t="shared" si="0"/>
        <v>328.90000000000003</v>
      </c>
      <c r="C89" s="300">
        <f t="shared" si="1"/>
        <v>1315.7800000000002</v>
      </c>
      <c r="D89" s="300">
        <f t="shared" si="2"/>
        <v>1644.6800000000003</v>
      </c>
      <c r="E89" s="300">
        <f t="shared" si="3"/>
        <v>1973.5800000000002</v>
      </c>
      <c r="F89" s="300">
        <f>((D89/(1+$G$17))-(D89*'Global Inputs'!$B$8+'Global Inputs'!$B$9+SUM('Global Inputs'!$B$10:$B$14)+(D89/(1+$G$17))*$M$9+5*$G$8*INDEX('Service Economics'!$AI$5:$AI$34,MATCH($B$10,'Service Economics'!$A$5:$A$34,0))))/5</f>
        <v>-9.1976603786666651</v>
      </c>
      <c r="G89" s="300">
        <f>F89-('Angel Economics'!$G$10*$G$8)</f>
        <v>-250.84861973297527</v>
      </c>
      <c r="H89" s="301">
        <f t="shared" si="4"/>
        <v>-4.194278086922683</v>
      </c>
      <c r="I89" s="302" t="str">
        <f t="shared" si="5"/>
        <v>RED</v>
      </c>
    </row>
    <row r="90" spans="1:9">
      <c r="A90" s="299">
        <v>1.2</v>
      </c>
      <c r="B90" s="300">
        <f t="shared" si="0"/>
        <v>358.8</v>
      </c>
      <c r="C90" s="300">
        <f t="shared" si="1"/>
        <v>1435.38</v>
      </c>
      <c r="D90" s="300">
        <f t="shared" si="2"/>
        <v>1794.18</v>
      </c>
      <c r="E90" s="300">
        <f t="shared" si="3"/>
        <v>2152.9799999999996</v>
      </c>
      <c r="F90" s="300">
        <f>((D90/(1+$G$17))-(D90*'Global Inputs'!$B$8+'Global Inputs'!$B$9+SUM('Global Inputs'!$B$10:$B$14)+(D90/(1+$G$17))*$M$9+5*$G$8*INDEX('Service Economics'!$AI$5:$AI$34,MATCH($B$10,'Service Economics'!$A$5:$A$34,0))))/5</f>
        <v>-9.006559511999999</v>
      </c>
      <c r="G90" s="300">
        <f>F90-('Angel Economics'!$G$10*$G$8)</f>
        <v>-250.65751886630861</v>
      </c>
      <c r="H90" s="301">
        <f t="shared" si="4"/>
        <v>-3.7649063271243683</v>
      </c>
      <c r="I90" s="302" t="str">
        <f t="shared" si="5"/>
        <v>RED</v>
      </c>
    </row>
    <row r="91" spans="1:9">
      <c r="A91" s="303">
        <v>1.3</v>
      </c>
      <c r="B91" s="304">
        <f t="shared" si="0"/>
        <v>388.7</v>
      </c>
      <c r="C91" s="304">
        <f t="shared" si="1"/>
        <v>1554.98</v>
      </c>
      <c r="D91" s="304">
        <f t="shared" si="2"/>
        <v>1943.68</v>
      </c>
      <c r="E91" s="304">
        <f t="shared" si="3"/>
        <v>2332.38</v>
      </c>
      <c r="F91" s="304">
        <f>((D91/(1+$G$17))-(D91*'Global Inputs'!$B$8+'Global Inputs'!$B$9+SUM('Global Inputs'!$B$10:$B$14)+(D91/(1+$G$17))*$M$9+5*$G$8*INDEX('Service Economics'!$AI$5:$AI$34,MATCH($B$10,'Service Economics'!$A$5:$A$34,0))))/5</f>
        <v>-8.815458645333333</v>
      </c>
      <c r="G91" s="304">
        <f>F91-('Angel Economics'!$G$10*$G$8)</f>
        <v>-250.46641799964195</v>
      </c>
      <c r="H91" s="305">
        <f t="shared" si="4"/>
        <v>-3.4015856437273624</v>
      </c>
      <c r="I91" s="306" t="str">
        <f t="shared" si="5"/>
        <v>RED</v>
      </c>
    </row>
  </sheetData>
  <mergeCells count="176">
    <mergeCell ref="A30:C30"/>
    <mergeCell ref="D30:H30"/>
    <mergeCell ref="A31:C31"/>
    <mergeCell ref="D31:H31"/>
    <mergeCell ref="J57:L57"/>
    <mergeCell ref="M57:N57"/>
    <mergeCell ref="J59:N61"/>
    <mergeCell ref="J52:N52"/>
    <mergeCell ref="A32:C32"/>
    <mergeCell ref="G43:H43"/>
    <mergeCell ref="J54:L54"/>
    <mergeCell ref="M54:N54"/>
    <mergeCell ref="J55:L55"/>
    <mergeCell ref="M55:N55"/>
    <mergeCell ref="J56:L56"/>
    <mergeCell ref="M56:N56"/>
    <mergeCell ref="J37:L37"/>
    <mergeCell ref="M37:N37"/>
    <mergeCell ref="J39:N42"/>
    <mergeCell ref="J53:L53"/>
    <mergeCell ref="M53:N53"/>
    <mergeCell ref="M34:N34"/>
    <mergeCell ref="J35:L35"/>
    <mergeCell ref="M35:N35"/>
    <mergeCell ref="J36:L36"/>
    <mergeCell ref="M36:N36"/>
    <mergeCell ref="J49:L49"/>
    <mergeCell ref="M49:N49"/>
    <mergeCell ref="J50:L50"/>
    <mergeCell ref="M50:N50"/>
    <mergeCell ref="J51:L51"/>
    <mergeCell ref="M51:N51"/>
    <mergeCell ref="J46:L46"/>
    <mergeCell ref="M46:N46"/>
    <mergeCell ref="J47:L47"/>
    <mergeCell ref="M47:N47"/>
    <mergeCell ref="J48:L48"/>
    <mergeCell ref="M48:N48"/>
    <mergeCell ref="A29:C29"/>
    <mergeCell ref="D29:H29"/>
    <mergeCell ref="J44:N44"/>
    <mergeCell ref="J45:L45"/>
    <mergeCell ref="M45:N45"/>
    <mergeCell ref="J29:N29"/>
    <mergeCell ref="J30:L30"/>
    <mergeCell ref="M30:N30"/>
    <mergeCell ref="J31:L31"/>
    <mergeCell ref="M31:N31"/>
    <mergeCell ref="J32:L32"/>
    <mergeCell ref="M32:N32"/>
    <mergeCell ref="J33:L33"/>
    <mergeCell ref="M33:N33"/>
    <mergeCell ref="J34:L34"/>
    <mergeCell ref="D26:H26"/>
    <mergeCell ref="A27:C27"/>
    <mergeCell ref="D27:H27"/>
    <mergeCell ref="A28:C28"/>
    <mergeCell ref="D28:H28"/>
    <mergeCell ref="A20:H20"/>
    <mergeCell ref="F37:H37"/>
    <mergeCell ref="A78:I78"/>
    <mergeCell ref="A79:I79"/>
    <mergeCell ref="C16:D16"/>
    <mergeCell ref="A21:C21"/>
    <mergeCell ref="D21:H21"/>
    <mergeCell ref="A22:C22"/>
    <mergeCell ref="D22:H22"/>
    <mergeCell ref="A23:C23"/>
    <mergeCell ref="D23:H23"/>
    <mergeCell ref="A24:C24"/>
    <mergeCell ref="D24:H24"/>
    <mergeCell ref="A25:C25"/>
    <mergeCell ref="D25:H25"/>
    <mergeCell ref="A26:C26"/>
    <mergeCell ref="J26:K26"/>
    <mergeCell ref="L26:N26"/>
    <mergeCell ref="J27:K27"/>
    <mergeCell ref="L27:N27"/>
    <mergeCell ref="J4:N4"/>
    <mergeCell ref="J5:L5"/>
    <mergeCell ref="M5:N5"/>
    <mergeCell ref="J6:L6"/>
    <mergeCell ref="M6:N6"/>
    <mergeCell ref="J7:L7"/>
    <mergeCell ref="M7:N7"/>
    <mergeCell ref="J8:L8"/>
    <mergeCell ref="M8:N8"/>
    <mergeCell ref="J9:L9"/>
    <mergeCell ref="M9:N9"/>
    <mergeCell ref="J23:K23"/>
    <mergeCell ref="L23:N23"/>
    <mergeCell ref="J24:K24"/>
    <mergeCell ref="L24:N24"/>
    <mergeCell ref="J25:K25"/>
    <mergeCell ref="L25:N25"/>
    <mergeCell ref="J20:N20"/>
    <mergeCell ref="J21:K21"/>
    <mergeCell ref="L21:N21"/>
    <mergeCell ref="J22:K22"/>
    <mergeCell ref="L22:N22"/>
    <mergeCell ref="E72:G72"/>
    <mergeCell ref="E73:G73"/>
    <mergeCell ref="E74:G74"/>
    <mergeCell ref="E75:G75"/>
    <mergeCell ref="H68:I68"/>
    <mergeCell ref="H69:I69"/>
    <mergeCell ref="H70:I70"/>
    <mergeCell ref="H71:I71"/>
    <mergeCell ref="H72:I72"/>
    <mergeCell ref="H73:I73"/>
    <mergeCell ref="H74:I74"/>
    <mergeCell ref="H75:I75"/>
    <mergeCell ref="E67:I67"/>
    <mergeCell ref="E68:G68"/>
    <mergeCell ref="E69:G69"/>
    <mergeCell ref="E70:G70"/>
    <mergeCell ref="E71:G71"/>
    <mergeCell ref="E63:G63"/>
    <mergeCell ref="E64:G64"/>
    <mergeCell ref="E65:G65"/>
    <mergeCell ref="H55:I55"/>
    <mergeCell ref="H56:I56"/>
    <mergeCell ref="H57:I57"/>
    <mergeCell ref="H58:I58"/>
    <mergeCell ref="H59:I59"/>
    <mergeCell ref="H60:I60"/>
    <mergeCell ref="H61:I61"/>
    <mergeCell ref="H62:I62"/>
    <mergeCell ref="H63:I63"/>
    <mergeCell ref="H64:I64"/>
    <mergeCell ref="H65:I65"/>
    <mergeCell ref="E58:G58"/>
    <mergeCell ref="E59:G59"/>
    <mergeCell ref="E60:G60"/>
    <mergeCell ref="E61:G61"/>
    <mergeCell ref="E62:G62"/>
    <mergeCell ref="A53:I53"/>
    <mergeCell ref="E54:I54"/>
    <mergeCell ref="E55:G55"/>
    <mergeCell ref="E56:G56"/>
    <mergeCell ref="E57:G57"/>
    <mergeCell ref="F32:H32"/>
    <mergeCell ref="F33:H36"/>
    <mergeCell ref="F38:H42"/>
    <mergeCell ref="F44:H48"/>
    <mergeCell ref="G16:I16"/>
    <mergeCell ref="G17:I17"/>
    <mergeCell ref="G18:I18"/>
    <mergeCell ref="G19:I19"/>
    <mergeCell ref="A17:D17"/>
    <mergeCell ref="C12:D12"/>
    <mergeCell ref="C13:D13"/>
    <mergeCell ref="C14:D14"/>
    <mergeCell ref="C15:D15"/>
    <mergeCell ref="F4:I4"/>
    <mergeCell ref="G5:I5"/>
    <mergeCell ref="G6:I6"/>
    <mergeCell ref="G7:I7"/>
    <mergeCell ref="G8:I8"/>
    <mergeCell ref="G9:I9"/>
    <mergeCell ref="G10:I10"/>
    <mergeCell ref="G11:I11"/>
    <mergeCell ref="G12:I12"/>
    <mergeCell ref="G13:I13"/>
    <mergeCell ref="G14:I14"/>
    <mergeCell ref="G15:I15"/>
    <mergeCell ref="C7:D7"/>
    <mergeCell ref="C8:D8"/>
    <mergeCell ref="C9:D9"/>
    <mergeCell ref="C10:D10"/>
    <mergeCell ref="C11:D11"/>
    <mergeCell ref="A1:N1"/>
    <mergeCell ref="A2:N2"/>
    <mergeCell ref="A4:D4"/>
    <mergeCell ref="C5:D5"/>
    <mergeCell ref="C6:D6"/>
  </mergeCells>
  <conditionalFormatting sqref="A17:D17">
    <cfRule type="expression" dxfId="25" priority="1">
      <formula>A17="MANUAL PRICING REQUIRED"</formula>
    </cfRule>
    <cfRule type="expression" dxfId="24" priority="2">
      <formula>A17="AUTO PRICING ACTIVE"</formula>
    </cfRule>
  </conditionalFormatting>
  <conditionalFormatting sqref="A81:I91">
    <cfRule type="expression" dxfId="23" priority="14">
      <formula>ABS($A81-$G$7)&lt;0.0001</formula>
    </cfRule>
  </conditionalFormatting>
  <conditionalFormatting sqref="H65:I65">
    <cfRule type="expression" dxfId="22" priority="3">
      <formula>H65="RED"</formula>
    </cfRule>
    <cfRule type="expression" dxfId="21" priority="4">
      <formula>H65="AMBER"</formula>
    </cfRule>
    <cfRule type="expression" dxfId="20" priority="5">
      <formula>H65="GREEN"</formula>
    </cfRule>
    <cfRule type="expression" dxfId="19" priority="6">
      <formula>OR(H65="STANDARD",H65="MANUAL")</formula>
    </cfRule>
  </conditionalFormatting>
  <conditionalFormatting sqref="H75:I75">
    <cfRule type="expression" dxfId="18" priority="7">
      <formula>H75="RED"</formula>
    </cfRule>
    <cfRule type="expression" dxfId="17" priority="8">
      <formula>H75="AMBER"</formula>
    </cfRule>
    <cfRule type="expression" dxfId="16" priority="9">
      <formula>H75="GREEN"</formula>
    </cfRule>
    <cfRule type="expression" dxfId="15" priority="10">
      <formula>H75="MANUAL"</formula>
    </cfRule>
  </conditionalFormatting>
  <conditionalFormatting sqref="I81:I91">
    <cfRule type="expression" dxfId="14" priority="11">
      <formula>I81="RED"</formula>
    </cfRule>
    <cfRule type="expression" dxfId="13" priority="12">
      <formula>I81="AMBER"</formula>
    </cfRule>
    <cfRule type="expression" dxfId="12" priority="13">
      <formula>I81="GREEN"</formula>
    </cfRule>
  </conditionalFormatting>
  <conditionalFormatting sqref="M50:N50">
    <cfRule type="expression" dxfId="11" priority="15">
      <formula>M50="CREDIT EARNING ACTIVE"</formula>
    </cfRule>
    <cfRule type="expression" dxfId="10" priority="16">
      <formula>OR(M50="PENDING FINAL PRICE",M50="NO ELIGIBLE SPEND",M50="CREDIT EARNING OFF")</formula>
    </cfRule>
  </conditionalFormatting>
  <conditionalFormatting sqref="M57:N57">
    <cfRule type="expression" dxfId="9" priority="17">
      <formula>M57="CREDIT DISCOUNT CAPPED"</formula>
    </cfRule>
    <cfRule type="expression" dxfId="8" priority="18">
      <formula>OR(M57="NO CREDIT REDEMPTION",M57="DISCOUNT APPLIED AS REQUESTED")</formula>
    </cfRule>
  </conditionalFormatting>
  <dataValidations count="3">
    <dataValidation type="list" sqref="B10" xr:uid="{00000000-0002-0000-1100-000000000000}">
      <formula1>$P$2:$P$31</formula1>
    </dataValidation>
    <dataValidation type="list" sqref="B11" xr:uid="{00000000-0002-0000-1100-000001000000}">
      <formula1>$Q$2:$Q$48</formula1>
    </dataValidation>
    <dataValidation type="list" sqref="B12" xr:uid="{00000000-0002-0000-1100-000002000000}">
      <formula1>"Patient Arranges Transport,NivrāaCare Arranges Transport"</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37"/>
  <sheetViews>
    <sheetView workbookViewId="0"/>
  </sheetViews>
  <sheetFormatPr baseColWidth="10" defaultColWidth="8.83203125" defaultRowHeight="14"/>
  <cols>
    <col min="1" max="1" width="34" customWidth="1"/>
    <col min="2" max="2" width="12" customWidth="1"/>
    <col min="3" max="18" width="14" customWidth="1"/>
    <col min="19" max="19" width="2" customWidth="1"/>
  </cols>
  <sheetData>
    <row r="1" spans="1:19" ht="40" customHeight="1">
      <c r="A1" s="620" t="s">
        <v>2006</v>
      </c>
      <c r="B1" s="620"/>
      <c r="C1" s="620"/>
      <c r="D1" s="620"/>
      <c r="E1" s="620"/>
      <c r="F1" s="620"/>
      <c r="G1" s="620"/>
      <c r="H1" s="620"/>
      <c r="I1" s="620"/>
      <c r="J1" s="620"/>
      <c r="K1" s="620"/>
      <c r="L1" s="620"/>
      <c r="M1" s="620"/>
      <c r="N1" s="620"/>
      <c r="O1" s="620"/>
      <c r="P1" s="620"/>
      <c r="Q1" s="620"/>
      <c r="R1" s="620"/>
      <c r="S1" s="322"/>
    </row>
    <row r="2" spans="1:19" ht="29.25" customHeight="1">
      <c r="A2" s="621" t="str">
        <f>"Dynamic founder/developer reference • Current Earn Rate = "&amp;TEXT('NC Credits'!$B$6,"0.0%")&amp;" • "&amp;ROUND('NC Credits'!$B$6*100/'NC Credits'!$B$7,2)&amp;" Credits per ₹100 eligible care-service spend • Transport excluded"</f>
        <v>Dynamic founder/developer reference • Current Earn Rate = 5.0% • 5 Credits per ₹100 eligible care-service spend • Transport excluded</v>
      </c>
      <c r="B2" s="621"/>
      <c r="C2" s="621"/>
      <c r="D2" s="621"/>
      <c r="E2" s="621"/>
      <c r="F2" s="621"/>
      <c r="G2" s="621"/>
      <c r="H2" s="621"/>
      <c r="I2" s="621"/>
      <c r="J2" s="621"/>
      <c r="K2" s="621"/>
      <c r="L2" s="621"/>
      <c r="M2" s="621"/>
      <c r="N2" s="621"/>
      <c r="O2" s="621"/>
      <c r="P2" s="621"/>
      <c r="Q2" s="621"/>
      <c r="R2" s="621"/>
    </row>
    <row r="3" spans="1:19">
      <c r="A3" s="1"/>
      <c r="B3" s="1"/>
      <c r="C3" s="1"/>
      <c r="D3" s="1"/>
      <c r="E3" s="1"/>
      <c r="F3" s="1"/>
      <c r="G3" s="1"/>
      <c r="H3" s="1"/>
      <c r="I3" s="1"/>
      <c r="J3" s="1"/>
      <c r="K3" s="1"/>
      <c r="L3" s="1"/>
      <c r="M3" s="1"/>
      <c r="N3" s="1"/>
      <c r="O3" s="1"/>
      <c r="P3" s="1"/>
      <c r="Q3" s="1"/>
      <c r="R3" s="1"/>
    </row>
    <row r="4" spans="1:19" ht="16">
      <c r="A4" s="319" t="s">
        <v>38</v>
      </c>
      <c r="B4" s="320" t="s">
        <v>1668</v>
      </c>
      <c r="C4" s="320" t="s">
        <v>2007</v>
      </c>
      <c r="D4" s="320" t="s">
        <v>2008</v>
      </c>
      <c r="E4" s="320" t="s">
        <v>2009</v>
      </c>
      <c r="F4" s="320" t="s">
        <v>2010</v>
      </c>
      <c r="G4" s="320" t="s">
        <v>2000</v>
      </c>
      <c r="H4" s="320" t="s">
        <v>2011</v>
      </c>
      <c r="I4" s="320" t="s">
        <v>2001</v>
      </c>
      <c r="J4" s="320" t="s">
        <v>2012</v>
      </c>
      <c r="K4" s="320" t="s">
        <v>2002</v>
      </c>
      <c r="L4" s="320" t="s">
        <v>2013</v>
      </c>
      <c r="M4" s="320" t="s">
        <v>2014</v>
      </c>
      <c r="N4" s="320" t="s">
        <v>2015</v>
      </c>
      <c r="O4" s="320" t="s">
        <v>2016</v>
      </c>
      <c r="P4" s="320" t="s">
        <v>2017</v>
      </c>
      <c r="Q4" s="320" t="s">
        <v>2018</v>
      </c>
      <c r="R4" s="321" t="s">
        <v>2019</v>
      </c>
    </row>
    <row r="5" spans="1:19" ht="15">
      <c r="A5" s="323" t="str">
        <f>'Service Economics'!A5</f>
        <v>Hospital Visit</v>
      </c>
      <c r="B5" s="324">
        <f>'Service Economics'!D5</f>
        <v>1</v>
      </c>
      <c r="C5" s="325">
        <f>IF(IFERROR(ISNUMBER(SEARCH("Manual",$S5)),FALSE),"",'MVP1 Pricing &amp; SKU'!$B$9+MAX(2,'MVP1 Pricing &amp; SKU'!$B$5)*'MVP1 Pricing &amp; SKU'!$B$7*$B5)</f>
        <v>797</v>
      </c>
      <c r="D5" s="326">
        <f>IF(C5="","MANUAL",FLOOR(C5*'NC Credits'!$B$6/'NC Credits'!$B$7,1))</f>
        <v>39</v>
      </c>
      <c r="E5" s="325">
        <f>IF(IFERROR(ISNUMBER(SEARCH("Manual",$S5)),FALSE),"",'MVP1 Pricing &amp; SKU'!$B$9+MAX(3,'MVP1 Pricing &amp; SKU'!$B$5)*'MVP1 Pricing &amp; SKU'!$B$7*$B5)</f>
        <v>1096</v>
      </c>
      <c r="F5" s="326">
        <f>IF(E5="","MANUAL",FLOOR(E5*'NC Credits'!$B$6/'NC Credits'!$B$7,1))</f>
        <v>54</v>
      </c>
      <c r="G5" s="325">
        <f>IF(IFERROR(ISNUMBER(SEARCH("Manual",$S5)),FALSE),"",'MVP1 Pricing &amp; SKU'!$B$9+MAX(4,'MVP1 Pricing &amp; SKU'!$B$5)*'MVP1 Pricing &amp; SKU'!$B$7*$B5)</f>
        <v>1395</v>
      </c>
      <c r="H5" s="326">
        <f>IF(G5="","MANUAL",FLOOR(G5*'NC Credits'!$B$6/'NC Credits'!$B$7,1))</f>
        <v>69</v>
      </c>
      <c r="I5" s="325">
        <f>IF(IFERROR(ISNUMBER(SEARCH("Manual",$S5)),FALSE),"",'MVP1 Pricing &amp; SKU'!$B$9+MAX(5,'MVP1 Pricing &amp; SKU'!$B$5)*'MVP1 Pricing &amp; SKU'!$B$7*$B5)</f>
        <v>1694</v>
      </c>
      <c r="J5" s="326">
        <f>IF(I5="","MANUAL",FLOOR(I5*'NC Credits'!$B$6/'NC Credits'!$B$7,1))</f>
        <v>84</v>
      </c>
      <c r="K5" s="325">
        <f>IF(IFERROR(ISNUMBER(SEARCH("Manual",$S5)),FALSE),"",'MVP1 Pricing &amp; SKU'!$B$9+MAX(6,'MVP1 Pricing &amp; SKU'!$B$5)*'MVP1 Pricing &amp; SKU'!$B$7*$B5)</f>
        <v>1993</v>
      </c>
      <c r="L5" s="326">
        <f>IF(K5="","MANUAL",FLOOR(K5*'NC Credits'!$B$6/'NC Credits'!$B$7,1))</f>
        <v>99</v>
      </c>
      <c r="M5" s="325">
        <f>IF(IFERROR(ISNUMBER(SEARCH("Manual",$S5)),FALSE),"",'MVP1 Pricing &amp; SKU'!$B$9+MAX(8,'MVP1 Pricing &amp; SKU'!$B$5)*'MVP1 Pricing &amp; SKU'!$B$7*$B5)</f>
        <v>2591</v>
      </c>
      <c r="N5" s="326">
        <f>IF(M5="","MANUAL",FLOOR(M5*'NC Credits'!$B$6/'NC Credits'!$B$7,1))</f>
        <v>129</v>
      </c>
      <c r="O5" s="325">
        <f>IF(IFERROR(ISNUMBER(SEARCH("Manual",$S5)),FALSE),"",'MVP1 Pricing &amp; SKU'!$B$9+MAX(10,'MVP1 Pricing &amp; SKU'!$B$5)*'MVP1 Pricing &amp; SKU'!$B$7*$B5)</f>
        <v>3189</v>
      </c>
      <c r="P5" s="326">
        <f>IF(O5="","MANUAL",FLOOR(O5*'NC Credits'!$B$6/'NC Credits'!$B$7,1))</f>
        <v>159</v>
      </c>
      <c r="Q5" s="325">
        <f>IF(IFERROR(ISNUMBER(SEARCH("Manual",$S5)),FALSE),"",'MVP1 Pricing &amp; SKU'!$B$9+MAX(12,'MVP1 Pricing &amp; SKU'!$B$5)*'MVP1 Pricing &amp; SKU'!$B$7*$B5)</f>
        <v>3787</v>
      </c>
      <c r="R5" s="327">
        <f>IF(Q5="","MANUAL",FLOOR(Q5*'NC Credits'!$B$6/'NC Credits'!$B$7,1))</f>
        <v>189</v>
      </c>
      <c r="S5" t="str">
        <f>'Service Economics'!AH5</f>
        <v>AUTO</v>
      </c>
    </row>
    <row r="6" spans="1:19" ht="15">
      <c r="A6" s="323" t="str">
        <f>'Service Economics'!A6</f>
        <v>Hospital Visit — Concierge at Hospital</v>
      </c>
      <c r="B6" s="324">
        <f>'Service Economics'!D6</f>
        <v>0.8</v>
      </c>
      <c r="C6" s="325">
        <f>IF(IFERROR(ISNUMBER(SEARCH("Manual",$S6)),FALSE),"",'MVP1 Pricing &amp; SKU'!$B$9+MAX(2,'MVP1 Pricing &amp; SKU'!$B$5)*'MVP1 Pricing &amp; SKU'!$B$7*$B6)</f>
        <v>677.40000000000009</v>
      </c>
      <c r="D6" s="326">
        <f>IF(C6="","MANUAL",FLOOR(C6*'NC Credits'!$B$6/'NC Credits'!$B$7,1))</f>
        <v>33</v>
      </c>
      <c r="E6" s="325">
        <f>IF(IFERROR(ISNUMBER(SEARCH("Manual",$S6)),FALSE),"",'MVP1 Pricing &amp; SKU'!$B$9+MAX(3,'MVP1 Pricing &amp; SKU'!$B$5)*'MVP1 Pricing &amp; SKU'!$B$7*$B6)</f>
        <v>916.6</v>
      </c>
      <c r="F6" s="326">
        <f>IF(E6="","MANUAL",FLOOR(E6*'NC Credits'!$B$6/'NC Credits'!$B$7,1))</f>
        <v>45</v>
      </c>
      <c r="G6" s="325">
        <f>IF(IFERROR(ISNUMBER(SEARCH("Manual",$S6)),FALSE),"",'MVP1 Pricing &amp; SKU'!$B$9+MAX(4,'MVP1 Pricing &amp; SKU'!$B$5)*'MVP1 Pricing &amp; SKU'!$B$7*$B6)</f>
        <v>1155.8000000000002</v>
      </c>
      <c r="H6" s="326">
        <f>IF(G6="","MANUAL",FLOOR(G6*'NC Credits'!$B$6/'NC Credits'!$B$7,1))</f>
        <v>57</v>
      </c>
      <c r="I6" s="325">
        <f>IF(IFERROR(ISNUMBER(SEARCH("Manual",$S6)),FALSE),"",'MVP1 Pricing &amp; SKU'!$B$9+MAX(5,'MVP1 Pricing &amp; SKU'!$B$5)*'MVP1 Pricing &amp; SKU'!$B$7*$B6)</f>
        <v>1395</v>
      </c>
      <c r="J6" s="326">
        <f>IF(I6="","MANUAL",FLOOR(I6*'NC Credits'!$B$6/'NC Credits'!$B$7,1))</f>
        <v>69</v>
      </c>
      <c r="K6" s="325">
        <f>IF(IFERROR(ISNUMBER(SEARCH("Manual",$S6)),FALSE),"",'MVP1 Pricing &amp; SKU'!$B$9+MAX(6,'MVP1 Pricing &amp; SKU'!$B$5)*'MVP1 Pricing &amp; SKU'!$B$7*$B6)</f>
        <v>1634.2</v>
      </c>
      <c r="L6" s="326">
        <f>IF(K6="","MANUAL",FLOOR(K6*'NC Credits'!$B$6/'NC Credits'!$B$7,1))</f>
        <v>81</v>
      </c>
      <c r="M6" s="325">
        <f>IF(IFERROR(ISNUMBER(SEARCH("Manual",$S6)),FALSE),"",'MVP1 Pricing &amp; SKU'!$B$9+MAX(8,'MVP1 Pricing &amp; SKU'!$B$5)*'MVP1 Pricing &amp; SKU'!$B$7*$B6)</f>
        <v>2112.6000000000004</v>
      </c>
      <c r="N6" s="326">
        <f>IF(M6="","MANUAL",FLOOR(M6*'NC Credits'!$B$6/'NC Credits'!$B$7,1))</f>
        <v>105</v>
      </c>
      <c r="O6" s="325">
        <f>IF(IFERROR(ISNUMBER(SEARCH("Manual",$S6)),FALSE),"",'MVP1 Pricing &amp; SKU'!$B$9+MAX(10,'MVP1 Pricing &amp; SKU'!$B$5)*'MVP1 Pricing &amp; SKU'!$B$7*$B6)</f>
        <v>2591</v>
      </c>
      <c r="P6" s="326">
        <f>IF(O6="","MANUAL",FLOOR(O6*'NC Credits'!$B$6/'NC Credits'!$B$7,1))</f>
        <v>129</v>
      </c>
      <c r="Q6" s="325">
        <f>IF(IFERROR(ISNUMBER(SEARCH("Manual",$S6)),FALSE),"",'MVP1 Pricing &amp; SKU'!$B$9+MAX(12,'MVP1 Pricing &amp; SKU'!$B$5)*'MVP1 Pricing &amp; SKU'!$B$7*$B6)</f>
        <v>3069.4</v>
      </c>
      <c r="R6" s="327">
        <f>IF(Q6="","MANUAL",FLOOR(Q6*'NC Credits'!$B$6/'NC Credits'!$B$7,1))</f>
        <v>153</v>
      </c>
      <c r="S6" t="str">
        <f>'Service Economics'!AH6</f>
        <v>AUTO</v>
      </c>
    </row>
    <row r="7" spans="1:19" ht="15">
      <c r="A7" s="323" t="str">
        <f>'Service Economics'!A7</f>
        <v>Clinic Visit</v>
      </c>
      <c r="B7" s="324">
        <f>'Service Economics'!D7</f>
        <v>0.9</v>
      </c>
      <c r="C7" s="325">
        <f>IF(IFERROR(ISNUMBER(SEARCH("Manual",$S7)),FALSE),"",'MVP1 Pricing &amp; SKU'!$B$9+MAX(2,'MVP1 Pricing &amp; SKU'!$B$5)*'MVP1 Pricing &amp; SKU'!$B$7*$B7)</f>
        <v>737.2</v>
      </c>
      <c r="D7" s="326">
        <f>IF(C7="","MANUAL",FLOOR(C7*'NC Credits'!$B$6/'NC Credits'!$B$7,1))</f>
        <v>36</v>
      </c>
      <c r="E7" s="325">
        <f>IF(IFERROR(ISNUMBER(SEARCH("Manual",$S7)),FALSE),"",'MVP1 Pricing &amp; SKU'!$B$9+MAX(3,'MVP1 Pricing &amp; SKU'!$B$5)*'MVP1 Pricing &amp; SKU'!$B$7*$B7)</f>
        <v>1006.3000000000001</v>
      </c>
      <c r="F7" s="326">
        <f>IF(E7="","MANUAL",FLOOR(E7*'NC Credits'!$B$6/'NC Credits'!$B$7,1))</f>
        <v>50</v>
      </c>
      <c r="G7" s="325">
        <f>IF(IFERROR(ISNUMBER(SEARCH("Manual",$S7)),FALSE),"",'MVP1 Pricing &amp; SKU'!$B$9+MAX(4,'MVP1 Pricing &amp; SKU'!$B$5)*'MVP1 Pricing &amp; SKU'!$B$7*$B7)</f>
        <v>1275.4000000000001</v>
      </c>
      <c r="H7" s="326">
        <f>IF(G7="","MANUAL",FLOOR(G7*'NC Credits'!$B$6/'NC Credits'!$B$7,1))</f>
        <v>63</v>
      </c>
      <c r="I7" s="325">
        <f>IF(IFERROR(ISNUMBER(SEARCH("Manual",$S7)),FALSE),"",'MVP1 Pricing &amp; SKU'!$B$9+MAX(5,'MVP1 Pricing &amp; SKU'!$B$5)*'MVP1 Pricing &amp; SKU'!$B$7*$B7)</f>
        <v>1544.5</v>
      </c>
      <c r="J7" s="326">
        <f>IF(I7="","MANUAL",FLOOR(I7*'NC Credits'!$B$6/'NC Credits'!$B$7,1))</f>
        <v>77</v>
      </c>
      <c r="K7" s="325">
        <f>IF(IFERROR(ISNUMBER(SEARCH("Manual",$S7)),FALSE),"",'MVP1 Pricing &amp; SKU'!$B$9+MAX(6,'MVP1 Pricing &amp; SKU'!$B$5)*'MVP1 Pricing &amp; SKU'!$B$7*$B7)</f>
        <v>1813.6000000000001</v>
      </c>
      <c r="L7" s="326">
        <f>IF(K7="","MANUAL",FLOOR(K7*'NC Credits'!$B$6/'NC Credits'!$B$7,1))</f>
        <v>90</v>
      </c>
      <c r="M7" s="325">
        <f>IF(IFERROR(ISNUMBER(SEARCH("Manual",$S7)),FALSE),"",'MVP1 Pricing &amp; SKU'!$B$9+MAX(8,'MVP1 Pricing &amp; SKU'!$B$5)*'MVP1 Pricing &amp; SKU'!$B$7*$B7)</f>
        <v>2351.8000000000002</v>
      </c>
      <c r="N7" s="326">
        <f>IF(M7="","MANUAL",FLOOR(M7*'NC Credits'!$B$6/'NC Credits'!$B$7,1))</f>
        <v>117</v>
      </c>
      <c r="O7" s="325">
        <f>IF(IFERROR(ISNUMBER(SEARCH("Manual",$S7)),FALSE),"",'MVP1 Pricing &amp; SKU'!$B$9+MAX(10,'MVP1 Pricing &amp; SKU'!$B$5)*'MVP1 Pricing &amp; SKU'!$B$7*$B7)</f>
        <v>2890</v>
      </c>
      <c r="P7" s="326">
        <f>IF(O7="","MANUAL",FLOOR(O7*'NC Credits'!$B$6/'NC Credits'!$B$7,1))</f>
        <v>144</v>
      </c>
      <c r="Q7" s="325">
        <f>IF(IFERROR(ISNUMBER(SEARCH("Manual",$S7)),FALSE),"",'MVP1 Pricing &amp; SKU'!$B$9+MAX(12,'MVP1 Pricing &amp; SKU'!$B$5)*'MVP1 Pricing &amp; SKU'!$B$7*$B7)</f>
        <v>3428.2000000000003</v>
      </c>
      <c r="R7" s="327">
        <f>IF(Q7="","MANUAL",FLOOR(Q7*'NC Credits'!$B$6/'NC Credits'!$B$7,1))</f>
        <v>171</v>
      </c>
      <c r="S7" t="str">
        <f>'Service Economics'!AH7</f>
        <v>AUTO</v>
      </c>
    </row>
    <row r="8" spans="1:19" ht="15">
      <c r="A8" s="323" t="str">
        <f>'Service Economics'!A8</f>
        <v>Diagnostic Center Visit</v>
      </c>
      <c r="B8" s="324">
        <f>'Service Economics'!D8</f>
        <v>0.85</v>
      </c>
      <c r="C8" s="325">
        <f>IF(IFERROR(ISNUMBER(SEARCH("Manual",$S8)),FALSE),"",'MVP1 Pricing &amp; SKU'!$B$9+MAX(2,'MVP1 Pricing &amp; SKU'!$B$5)*'MVP1 Pricing &amp; SKU'!$B$7*$B8)</f>
        <v>707.3</v>
      </c>
      <c r="D8" s="326">
        <f>IF(C8="","MANUAL",FLOOR(C8*'NC Credits'!$B$6/'NC Credits'!$B$7,1))</f>
        <v>35</v>
      </c>
      <c r="E8" s="325">
        <f>IF(IFERROR(ISNUMBER(SEARCH("Manual",$S8)),FALSE),"",'MVP1 Pricing &amp; SKU'!$B$9+MAX(3,'MVP1 Pricing &amp; SKU'!$B$5)*'MVP1 Pricing &amp; SKU'!$B$7*$B8)</f>
        <v>961.44999999999993</v>
      </c>
      <c r="F8" s="326">
        <f>IF(E8="","MANUAL",FLOOR(E8*'NC Credits'!$B$6/'NC Credits'!$B$7,1))</f>
        <v>48</v>
      </c>
      <c r="G8" s="325">
        <f>IF(IFERROR(ISNUMBER(SEARCH("Manual",$S8)),FALSE),"",'MVP1 Pricing &amp; SKU'!$B$9+MAX(4,'MVP1 Pricing &amp; SKU'!$B$5)*'MVP1 Pricing &amp; SKU'!$B$7*$B8)</f>
        <v>1215.5999999999999</v>
      </c>
      <c r="H8" s="326">
        <f>IF(G8="","MANUAL",FLOOR(G8*'NC Credits'!$B$6/'NC Credits'!$B$7,1))</f>
        <v>60</v>
      </c>
      <c r="I8" s="325">
        <f>IF(IFERROR(ISNUMBER(SEARCH("Manual",$S8)),FALSE),"",'MVP1 Pricing &amp; SKU'!$B$9+MAX(5,'MVP1 Pricing &amp; SKU'!$B$5)*'MVP1 Pricing &amp; SKU'!$B$7*$B8)</f>
        <v>1469.75</v>
      </c>
      <c r="J8" s="326">
        <f>IF(I8="","MANUAL",FLOOR(I8*'NC Credits'!$B$6/'NC Credits'!$B$7,1))</f>
        <v>73</v>
      </c>
      <c r="K8" s="325">
        <f>IF(IFERROR(ISNUMBER(SEARCH("Manual",$S8)),FALSE),"",'MVP1 Pricing &amp; SKU'!$B$9+MAX(6,'MVP1 Pricing &amp; SKU'!$B$5)*'MVP1 Pricing &amp; SKU'!$B$7*$B8)</f>
        <v>1723.8999999999999</v>
      </c>
      <c r="L8" s="326">
        <f>IF(K8="","MANUAL",FLOOR(K8*'NC Credits'!$B$6/'NC Credits'!$B$7,1))</f>
        <v>86</v>
      </c>
      <c r="M8" s="325">
        <f>IF(IFERROR(ISNUMBER(SEARCH("Manual",$S8)),FALSE),"",'MVP1 Pricing &amp; SKU'!$B$9+MAX(8,'MVP1 Pricing &amp; SKU'!$B$5)*'MVP1 Pricing &amp; SKU'!$B$7*$B8)</f>
        <v>2232.1999999999998</v>
      </c>
      <c r="N8" s="326">
        <f>IF(M8="","MANUAL",FLOOR(M8*'NC Credits'!$B$6/'NC Credits'!$B$7,1))</f>
        <v>111</v>
      </c>
      <c r="O8" s="325">
        <f>IF(IFERROR(ISNUMBER(SEARCH("Manual",$S8)),FALSE),"",'MVP1 Pricing &amp; SKU'!$B$9+MAX(10,'MVP1 Pricing &amp; SKU'!$B$5)*'MVP1 Pricing &amp; SKU'!$B$7*$B8)</f>
        <v>2740.5</v>
      </c>
      <c r="P8" s="326">
        <f>IF(O8="","MANUAL",FLOOR(O8*'NC Credits'!$B$6/'NC Credits'!$B$7,1))</f>
        <v>137</v>
      </c>
      <c r="Q8" s="325">
        <f>IF(IFERROR(ISNUMBER(SEARCH("Manual",$S8)),FALSE),"",'MVP1 Pricing &amp; SKU'!$B$9+MAX(12,'MVP1 Pricing &amp; SKU'!$B$5)*'MVP1 Pricing &amp; SKU'!$B$7*$B8)</f>
        <v>3248.7999999999997</v>
      </c>
      <c r="R8" s="327">
        <f>IF(Q8="","MANUAL",FLOOR(Q8*'NC Credits'!$B$6/'NC Credits'!$B$7,1))</f>
        <v>162</v>
      </c>
      <c r="S8" t="str">
        <f>'Service Economics'!AH8</f>
        <v>AUTO</v>
      </c>
    </row>
    <row r="9" spans="1:19" ht="15">
      <c r="A9" s="323" t="str">
        <f>'Service Economics'!A9</f>
        <v>Health Check-up Concierge</v>
      </c>
      <c r="B9" s="324">
        <f>'Service Economics'!D9</f>
        <v>0.9</v>
      </c>
      <c r="C9" s="325">
        <f>IF(IFERROR(ISNUMBER(SEARCH("Manual",$S9)),FALSE),"",'MVP1 Pricing &amp; SKU'!$B$9+MAX(2,'MVP1 Pricing &amp; SKU'!$B$5)*'MVP1 Pricing &amp; SKU'!$B$7*$B9)</f>
        <v>737.2</v>
      </c>
      <c r="D9" s="326">
        <f>IF(C9="","MANUAL",FLOOR(C9*'NC Credits'!$B$6/'NC Credits'!$B$7,1))</f>
        <v>36</v>
      </c>
      <c r="E9" s="325">
        <f>IF(IFERROR(ISNUMBER(SEARCH("Manual",$S9)),FALSE),"",'MVP1 Pricing &amp; SKU'!$B$9+MAX(3,'MVP1 Pricing &amp; SKU'!$B$5)*'MVP1 Pricing &amp; SKU'!$B$7*$B9)</f>
        <v>1006.3000000000001</v>
      </c>
      <c r="F9" s="326">
        <f>IF(E9="","MANUAL",FLOOR(E9*'NC Credits'!$B$6/'NC Credits'!$B$7,1))</f>
        <v>50</v>
      </c>
      <c r="G9" s="325">
        <f>IF(IFERROR(ISNUMBER(SEARCH("Manual",$S9)),FALSE),"",'MVP1 Pricing &amp; SKU'!$B$9+MAX(4,'MVP1 Pricing &amp; SKU'!$B$5)*'MVP1 Pricing &amp; SKU'!$B$7*$B9)</f>
        <v>1275.4000000000001</v>
      </c>
      <c r="H9" s="326">
        <f>IF(G9="","MANUAL",FLOOR(G9*'NC Credits'!$B$6/'NC Credits'!$B$7,1))</f>
        <v>63</v>
      </c>
      <c r="I9" s="325">
        <f>IF(IFERROR(ISNUMBER(SEARCH("Manual",$S9)),FALSE),"",'MVP1 Pricing &amp; SKU'!$B$9+MAX(5,'MVP1 Pricing &amp; SKU'!$B$5)*'MVP1 Pricing &amp; SKU'!$B$7*$B9)</f>
        <v>1544.5</v>
      </c>
      <c r="J9" s="326">
        <f>IF(I9="","MANUAL",FLOOR(I9*'NC Credits'!$B$6/'NC Credits'!$B$7,1))</f>
        <v>77</v>
      </c>
      <c r="K9" s="325">
        <f>IF(IFERROR(ISNUMBER(SEARCH("Manual",$S9)),FALSE),"",'MVP1 Pricing &amp; SKU'!$B$9+MAX(6,'MVP1 Pricing &amp; SKU'!$B$5)*'MVP1 Pricing &amp; SKU'!$B$7*$B9)</f>
        <v>1813.6000000000001</v>
      </c>
      <c r="L9" s="326">
        <f>IF(K9="","MANUAL",FLOOR(K9*'NC Credits'!$B$6/'NC Credits'!$B$7,1))</f>
        <v>90</v>
      </c>
      <c r="M9" s="325">
        <f>IF(IFERROR(ISNUMBER(SEARCH("Manual",$S9)),FALSE),"",'MVP1 Pricing &amp; SKU'!$B$9+MAX(8,'MVP1 Pricing &amp; SKU'!$B$5)*'MVP1 Pricing &amp; SKU'!$B$7*$B9)</f>
        <v>2351.8000000000002</v>
      </c>
      <c r="N9" s="326">
        <f>IF(M9="","MANUAL",FLOOR(M9*'NC Credits'!$B$6/'NC Credits'!$B$7,1))</f>
        <v>117</v>
      </c>
      <c r="O9" s="325">
        <f>IF(IFERROR(ISNUMBER(SEARCH("Manual",$S9)),FALSE),"",'MVP1 Pricing &amp; SKU'!$B$9+MAX(10,'MVP1 Pricing &amp; SKU'!$B$5)*'MVP1 Pricing &amp; SKU'!$B$7*$B9)</f>
        <v>2890</v>
      </c>
      <c r="P9" s="326">
        <f>IF(O9="","MANUAL",FLOOR(O9*'NC Credits'!$B$6/'NC Credits'!$B$7,1))</f>
        <v>144</v>
      </c>
      <c r="Q9" s="325">
        <f>IF(IFERROR(ISNUMBER(SEARCH("Manual",$S9)),FALSE),"",'MVP1 Pricing &amp; SKU'!$B$9+MAX(12,'MVP1 Pricing &amp; SKU'!$B$5)*'MVP1 Pricing &amp; SKU'!$B$7*$B9)</f>
        <v>3428.2000000000003</v>
      </c>
      <c r="R9" s="327">
        <f>IF(Q9="","MANUAL",FLOOR(Q9*'NC Credits'!$B$6/'NC Credits'!$B$7,1))</f>
        <v>171</v>
      </c>
      <c r="S9" t="str">
        <f>'Service Economics'!AH9</f>
        <v>AUTO</v>
      </c>
    </row>
    <row r="10" spans="1:19" ht="15">
      <c r="A10" s="323" t="str">
        <f>'Service Economics'!A10</f>
        <v>Hospital Admission Concierge</v>
      </c>
      <c r="B10" s="324">
        <f>'Service Economics'!D10</f>
        <v>1.1499999999999999</v>
      </c>
      <c r="C10" s="325">
        <f>IF(IFERROR(ISNUMBER(SEARCH("Manual",$S10)),FALSE),"",'MVP1 Pricing &amp; SKU'!$B$9+MAX(2,'MVP1 Pricing &amp; SKU'!$B$5)*'MVP1 Pricing &amp; SKU'!$B$7*$B10)</f>
        <v>886.69999999999993</v>
      </c>
      <c r="D10" s="326">
        <f>IF(C10="","MANUAL",FLOOR(C10*'NC Credits'!$B$6/'NC Credits'!$B$7,1))</f>
        <v>44</v>
      </c>
      <c r="E10" s="325">
        <f>IF(IFERROR(ISNUMBER(SEARCH("Manual",$S10)),FALSE),"",'MVP1 Pricing &amp; SKU'!$B$9+MAX(3,'MVP1 Pricing &amp; SKU'!$B$5)*'MVP1 Pricing &amp; SKU'!$B$7*$B10)</f>
        <v>1230.55</v>
      </c>
      <c r="F10" s="326">
        <f>IF(E10="","MANUAL",FLOOR(E10*'NC Credits'!$B$6/'NC Credits'!$B$7,1))</f>
        <v>61</v>
      </c>
      <c r="G10" s="325">
        <f>IF(IFERROR(ISNUMBER(SEARCH("Manual",$S10)),FALSE),"",'MVP1 Pricing &amp; SKU'!$B$9+MAX(4,'MVP1 Pricing &amp; SKU'!$B$5)*'MVP1 Pricing &amp; SKU'!$B$7*$B10)</f>
        <v>1574.3999999999999</v>
      </c>
      <c r="H10" s="326">
        <f>IF(G10="","MANUAL",FLOOR(G10*'NC Credits'!$B$6/'NC Credits'!$B$7,1))</f>
        <v>78</v>
      </c>
      <c r="I10" s="325">
        <f>IF(IFERROR(ISNUMBER(SEARCH("Manual",$S10)),FALSE),"",'MVP1 Pricing &amp; SKU'!$B$9+MAX(5,'MVP1 Pricing &amp; SKU'!$B$5)*'MVP1 Pricing &amp; SKU'!$B$7*$B10)</f>
        <v>1918.2499999999998</v>
      </c>
      <c r="J10" s="326">
        <f>IF(I10="","MANUAL",FLOOR(I10*'NC Credits'!$B$6/'NC Credits'!$B$7,1))</f>
        <v>95</v>
      </c>
      <c r="K10" s="325">
        <f>IF(IFERROR(ISNUMBER(SEARCH("Manual",$S10)),FALSE),"",'MVP1 Pricing &amp; SKU'!$B$9+MAX(6,'MVP1 Pricing &amp; SKU'!$B$5)*'MVP1 Pricing &amp; SKU'!$B$7*$B10)</f>
        <v>2262.1</v>
      </c>
      <c r="L10" s="326">
        <f>IF(K10="","MANUAL",FLOOR(K10*'NC Credits'!$B$6/'NC Credits'!$B$7,1))</f>
        <v>113</v>
      </c>
      <c r="M10" s="325">
        <f>IF(IFERROR(ISNUMBER(SEARCH("Manual",$S10)),FALSE),"",'MVP1 Pricing &amp; SKU'!$B$9+MAX(8,'MVP1 Pricing &amp; SKU'!$B$5)*'MVP1 Pricing &amp; SKU'!$B$7*$B10)</f>
        <v>2949.7999999999997</v>
      </c>
      <c r="N10" s="326">
        <f>IF(M10="","MANUAL",FLOOR(M10*'NC Credits'!$B$6/'NC Credits'!$B$7,1))</f>
        <v>147</v>
      </c>
      <c r="O10" s="325">
        <f>IF(IFERROR(ISNUMBER(SEARCH("Manual",$S10)),FALSE),"",'MVP1 Pricing &amp; SKU'!$B$9+MAX(10,'MVP1 Pricing &amp; SKU'!$B$5)*'MVP1 Pricing &amp; SKU'!$B$7*$B10)</f>
        <v>3637.4999999999995</v>
      </c>
      <c r="P10" s="326">
        <f>IF(O10="","MANUAL",FLOOR(O10*'NC Credits'!$B$6/'NC Credits'!$B$7,1))</f>
        <v>181</v>
      </c>
      <c r="Q10" s="325">
        <f>IF(IFERROR(ISNUMBER(SEARCH("Manual",$S10)),FALSE),"",'MVP1 Pricing &amp; SKU'!$B$9+MAX(12,'MVP1 Pricing &amp; SKU'!$B$5)*'MVP1 Pricing &amp; SKU'!$B$7*$B10)</f>
        <v>4325.2</v>
      </c>
      <c r="R10" s="327">
        <f>IF(Q10="","MANUAL",FLOOR(Q10*'NC Credits'!$B$6/'NC Credits'!$B$7,1))</f>
        <v>216</v>
      </c>
      <c r="S10" t="str">
        <f>'Service Economics'!AH10</f>
        <v>AUTO</v>
      </c>
    </row>
    <row r="11" spans="1:19" ht="15">
      <c r="A11" s="323" t="str">
        <f>'Service Economics'!A11</f>
        <v>Hospital Discharge Concierge</v>
      </c>
      <c r="B11" s="324">
        <f>'Service Economics'!D11</f>
        <v>1.1000000000000001</v>
      </c>
      <c r="C11" s="325">
        <f>IF(IFERROR(ISNUMBER(SEARCH("Manual",$S11)),FALSE),"",'MVP1 Pricing &amp; SKU'!$B$9+MAX(2,'MVP1 Pricing &amp; SKU'!$B$5)*'MVP1 Pricing &amp; SKU'!$B$7*$B11)</f>
        <v>856.80000000000007</v>
      </c>
      <c r="D11" s="326">
        <f>IF(C11="","MANUAL",FLOOR(C11*'NC Credits'!$B$6/'NC Credits'!$B$7,1))</f>
        <v>42</v>
      </c>
      <c r="E11" s="325">
        <f>IF(IFERROR(ISNUMBER(SEARCH("Manual",$S11)),FALSE),"",'MVP1 Pricing &amp; SKU'!$B$9+MAX(3,'MVP1 Pricing &amp; SKU'!$B$5)*'MVP1 Pricing &amp; SKU'!$B$7*$B11)</f>
        <v>1185.7</v>
      </c>
      <c r="F11" s="326">
        <f>IF(E11="","MANUAL",FLOOR(E11*'NC Credits'!$B$6/'NC Credits'!$B$7,1))</f>
        <v>59</v>
      </c>
      <c r="G11" s="325">
        <f>IF(IFERROR(ISNUMBER(SEARCH("Manual",$S11)),FALSE),"",'MVP1 Pricing &amp; SKU'!$B$9+MAX(4,'MVP1 Pricing &amp; SKU'!$B$5)*'MVP1 Pricing &amp; SKU'!$B$7*$B11)</f>
        <v>1514.6000000000001</v>
      </c>
      <c r="H11" s="326">
        <f>IF(G11="","MANUAL",FLOOR(G11*'NC Credits'!$B$6/'NC Credits'!$B$7,1))</f>
        <v>75</v>
      </c>
      <c r="I11" s="325">
        <f>IF(IFERROR(ISNUMBER(SEARCH("Manual",$S11)),FALSE),"",'MVP1 Pricing &amp; SKU'!$B$9+MAX(5,'MVP1 Pricing &amp; SKU'!$B$5)*'MVP1 Pricing &amp; SKU'!$B$7*$B11)</f>
        <v>1843.5000000000002</v>
      </c>
      <c r="J11" s="326">
        <f>IF(I11="","MANUAL",FLOOR(I11*'NC Credits'!$B$6/'NC Credits'!$B$7,1))</f>
        <v>92</v>
      </c>
      <c r="K11" s="325">
        <f>IF(IFERROR(ISNUMBER(SEARCH("Manual",$S11)),FALSE),"",'MVP1 Pricing &amp; SKU'!$B$9+MAX(6,'MVP1 Pricing &amp; SKU'!$B$5)*'MVP1 Pricing &amp; SKU'!$B$7*$B11)</f>
        <v>2172.4</v>
      </c>
      <c r="L11" s="326">
        <f>IF(K11="","MANUAL",FLOOR(K11*'NC Credits'!$B$6/'NC Credits'!$B$7,1))</f>
        <v>108</v>
      </c>
      <c r="M11" s="325">
        <f>IF(IFERROR(ISNUMBER(SEARCH("Manual",$S11)),FALSE),"",'MVP1 Pricing &amp; SKU'!$B$9+MAX(8,'MVP1 Pricing &amp; SKU'!$B$5)*'MVP1 Pricing &amp; SKU'!$B$7*$B11)</f>
        <v>2830.2000000000003</v>
      </c>
      <c r="N11" s="326">
        <f>IF(M11="","MANUAL",FLOOR(M11*'NC Credits'!$B$6/'NC Credits'!$B$7,1))</f>
        <v>141</v>
      </c>
      <c r="O11" s="325">
        <f>IF(IFERROR(ISNUMBER(SEARCH("Manual",$S11)),FALSE),"",'MVP1 Pricing &amp; SKU'!$B$9+MAX(10,'MVP1 Pricing &amp; SKU'!$B$5)*'MVP1 Pricing &amp; SKU'!$B$7*$B11)</f>
        <v>3488.0000000000005</v>
      </c>
      <c r="P11" s="326">
        <f>IF(O11="","MANUAL",FLOOR(O11*'NC Credits'!$B$6/'NC Credits'!$B$7,1))</f>
        <v>174</v>
      </c>
      <c r="Q11" s="325">
        <f>IF(IFERROR(ISNUMBER(SEARCH("Manual",$S11)),FALSE),"",'MVP1 Pricing &amp; SKU'!$B$9+MAX(12,'MVP1 Pricing &amp; SKU'!$B$5)*'MVP1 Pricing &amp; SKU'!$B$7*$B11)</f>
        <v>4145.8</v>
      </c>
      <c r="R11" s="327">
        <f>IF(Q11="","MANUAL",FLOOR(Q11*'NC Credits'!$B$6/'NC Credits'!$B$7,1))</f>
        <v>207</v>
      </c>
      <c r="S11" t="str">
        <f>'Service Economics'!AH11</f>
        <v>AUTO</v>
      </c>
    </row>
    <row r="12" spans="1:19" ht="15">
      <c r="A12" s="323" t="str">
        <f>'Service Economics'!A12</f>
        <v>Overnight Hospital Concierge</v>
      </c>
      <c r="B12" s="324">
        <f>'Service Economics'!D12</f>
        <v>0.85</v>
      </c>
      <c r="C12" s="325" t="str">
        <f>IF(IFERROR(ISNUMBER(SEARCH("Manual",$S12)),FALSE),"",'MVP1 Pricing &amp; SKU'!$B$9+MAX(2,'MVP1 Pricing &amp; SKU'!$B$5)*'MVP1 Pricing &amp; SKU'!$B$7*$B12)</f>
        <v/>
      </c>
      <c r="D12" s="326" t="str">
        <f>IF(C12="","MANUAL",FLOOR(C12*'NC Credits'!$B$6/'NC Credits'!$B$7,1))</f>
        <v>MANUAL</v>
      </c>
      <c r="E12" s="325" t="str">
        <f>IF(IFERROR(ISNUMBER(SEARCH("Manual",$S12)),FALSE),"",'MVP1 Pricing &amp; SKU'!$B$9+MAX(3,'MVP1 Pricing &amp; SKU'!$B$5)*'MVP1 Pricing &amp; SKU'!$B$7*$B12)</f>
        <v/>
      </c>
      <c r="F12" s="326" t="str">
        <f>IF(E12="","MANUAL",FLOOR(E12*'NC Credits'!$B$6/'NC Credits'!$B$7,1))</f>
        <v>MANUAL</v>
      </c>
      <c r="G12" s="325" t="str">
        <f>IF(IFERROR(ISNUMBER(SEARCH("Manual",$S12)),FALSE),"",'MVP1 Pricing &amp; SKU'!$B$9+MAX(4,'MVP1 Pricing &amp; SKU'!$B$5)*'MVP1 Pricing &amp; SKU'!$B$7*$B12)</f>
        <v/>
      </c>
      <c r="H12" s="326" t="str">
        <f>IF(G12="","MANUAL",FLOOR(G12*'NC Credits'!$B$6/'NC Credits'!$B$7,1))</f>
        <v>MANUAL</v>
      </c>
      <c r="I12" s="325" t="str">
        <f>IF(IFERROR(ISNUMBER(SEARCH("Manual",$S12)),FALSE),"",'MVP1 Pricing &amp; SKU'!$B$9+MAX(5,'MVP1 Pricing &amp; SKU'!$B$5)*'MVP1 Pricing &amp; SKU'!$B$7*$B12)</f>
        <v/>
      </c>
      <c r="J12" s="326" t="str">
        <f>IF(I12="","MANUAL",FLOOR(I12*'NC Credits'!$B$6/'NC Credits'!$B$7,1))</f>
        <v>MANUAL</v>
      </c>
      <c r="K12" s="325" t="str">
        <f>IF(IFERROR(ISNUMBER(SEARCH("Manual",$S12)),FALSE),"",'MVP1 Pricing &amp; SKU'!$B$9+MAX(6,'MVP1 Pricing &amp; SKU'!$B$5)*'MVP1 Pricing &amp; SKU'!$B$7*$B12)</f>
        <v/>
      </c>
      <c r="L12" s="326" t="str">
        <f>IF(K12="","MANUAL",FLOOR(K12*'NC Credits'!$B$6/'NC Credits'!$B$7,1))</f>
        <v>MANUAL</v>
      </c>
      <c r="M12" s="325" t="str">
        <f>IF(IFERROR(ISNUMBER(SEARCH("Manual",$S12)),FALSE),"",'MVP1 Pricing &amp; SKU'!$B$9+MAX(8,'MVP1 Pricing &amp; SKU'!$B$5)*'MVP1 Pricing &amp; SKU'!$B$7*$B12)</f>
        <v/>
      </c>
      <c r="N12" s="326" t="str">
        <f>IF(M12="","MANUAL",FLOOR(M12*'NC Credits'!$B$6/'NC Credits'!$B$7,1))</f>
        <v>MANUAL</v>
      </c>
      <c r="O12" s="325" t="str">
        <f>IF(IFERROR(ISNUMBER(SEARCH("Manual",$S12)),FALSE),"",'MVP1 Pricing &amp; SKU'!$B$9+MAX(10,'MVP1 Pricing &amp; SKU'!$B$5)*'MVP1 Pricing &amp; SKU'!$B$7*$B12)</f>
        <v/>
      </c>
      <c r="P12" s="326" t="str">
        <f>IF(O12="","MANUAL",FLOOR(O12*'NC Credits'!$B$6/'NC Credits'!$B$7,1))</f>
        <v>MANUAL</v>
      </c>
      <c r="Q12" s="325" t="str">
        <f>IF(IFERROR(ISNUMBER(SEARCH("Manual",$S12)),FALSE),"",'MVP1 Pricing &amp; SKU'!$B$9+MAX(12,'MVP1 Pricing &amp; SKU'!$B$5)*'MVP1 Pricing &amp; SKU'!$B$7*$B12)</f>
        <v/>
      </c>
      <c r="R12" s="327" t="str">
        <f>IF(Q12="","MANUAL",FLOOR(Q12*'NC Credits'!$B$6/'NC Credits'!$B$7,1))</f>
        <v>MANUAL</v>
      </c>
      <c r="S12" t="str">
        <f>'Service Economics'!AH12</f>
        <v>MANUAL</v>
      </c>
    </row>
    <row r="13" spans="1:19" ht="30">
      <c r="A13" s="323" t="str">
        <f>'Service Economics'!A13</f>
        <v>Multi-Day Hospital Concierge (per 12h shift)</v>
      </c>
      <c r="B13" s="324">
        <f>'Service Economics'!D13</f>
        <v>0.85</v>
      </c>
      <c r="C13" s="325" t="str">
        <f>IF(IFERROR(ISNUMBER(SEARCH("Manual",$S13)),FALSE),"",'MVP1 Pricing &amp; SKU'!$B$9+MAX(2,'MVP1 Pricing &amp; SKU'!$B$5)*'MVP1 Pricing &amp; SKU'!$B$7*$B13)</f>
        <v/>
      </c>
      <c r="D13" s="326" t="str">
        <f>IF(C13="","MANUAL",FLOOR(C13*'NC Credits'!$B$6/'NC Credits'!$B$7,1))</f>
        <v>MANUAL</v>
      </c>
      <c r="E13" s="325" t="str">
        <f>IF(IFERROR(ISNUMBER(SEARCH("Manual",$S13)),FALSE),"",'MVP1 Pricing &amp; SKU'!$B$9+MAX(3,'MVP1 Pricing &amp; SKU'!$B$5)*'MVP1 Pricing &amp; SKU'!$B$7*$B13)</f>
        <v/>
      </c>
      <c r="F13" s="326" t="str">
        <f>IF(E13="","MANUAL",FLOOR(E13*'NC Credits'!$B$6/'NC Credits'!$B$7,1))</f>
        <v>MANUAL</v>
      </c>
      <c r="G13" s="325" t="str">
        <f>IF(IFERROR(ISNUMBER(SEARCH("Manual",$S13)),FALSE),"",'MVP1 Pricing &amp; SKU'!$B$9+MAX(4,'MVP1 Pricing &amp; SKU'!$B$5)*'MVP1 Pricing &amp; SKU'!$B$7*$B13)</f>
        <v/>
      </c>
      <c r="H13" s="326" t="str">
        <f>IF(G13="","MANUAL",FLOOR(G13*'NC Credits'!$B$6/'NC Credits'!$B$7,1))</f>
        <v>MANUAL</v>
      </c>
      <c r="I13" s="325" t="str">
        <f>IF(IFERROR(ISNUMBER(SEARCH("Manual",$S13)),FALSE),"",'MVP1 Pricing &amp; SKU'!$B$9+MAX(5,'MVP1 Pricing &amp; SKU'!$B$5)*'MVP1 Pricing &amp; SKU'!$B$7*$B13)</f>
        <v/>
      </c>
      <c r="J13" s="326" t="str">
        <f>IF(I13="","MANUAL",FLOOR(I13*'NC Credits'!$B$6/'NC Credits'!$B$7,1))</f>
        <v>MANUAL</v>
      </c>
      <c r="K13" s="325" t="str">
        <f>IF(IFERROR(ISNUMBER(SEARCH("Manual",$S13)),FALSE),"",'MVP1 Pricing &amp; SKU'!$B$9+MAX(6,'MVP1 Pricing &amp; SKU'!$B$5)*'MVP1 Pricing &amp; SKU'!$B$7*$B13)</f>
        <v/>
      </c>
      <c r="L13" s="326" t="str">
        <f>IF(K13="","MANUAL",FLOOR(K13*'NC Credits'!$B$6/'NC Credits'!$B$7,1))</f>
        <v>MANUAL</v>
      </c>
      <c r="M13" s="325" t="str">
        <f>IF(IFERROR(ISNUMBER(SEARCH("Manual",$S13)),FALSE),"",'MVP1 Pricing &amp; SKU'!$B$9+MAX(8,'MVP1 Pricing &amp; SKU'!$B$5)*'MVP1 Pricing &amp; SKU'!$B$7*$B13)</f>
        <v/>
      </c>
      <c r="N13" s="326" t="str">
        <f>IF(M13="","MANUAL",FLOOR(M13*'NC Credits'!$B$6/'NC Credits'!$B$7,1))</f>
        <v>MANUAL</v>
      </c>
      <c r="O13" s="325" t="str">
        <f>IF(IFERROR(ISNUMBER(SEARCH("Manual",$S13)),FALSE),"",'MVP1 Pricing &amp; SKU'!$B$9+MAX(10,'MVP1 Pricing &amp; SKU'!$B$5)*'MVP1 Pricing &amp; SKU'!$B$7*$B13)</f>
        <v/>
      </c>
      <c r="P13" s="326" t="str">
        <f>IF(O13="","MANUAL",FLOOR(O13*'NC Credits'!$B$6/'NC Credits'!$B$7,1))</f>
        <v>MANUAL</v>
      </c>
      <c r="Q13" s="325" t="str">
        <f>IF(IFERROR(ISNUMBER(SEARCH("Manual",$S13)),FALSE),"",'MVP1 Pricing &amp; SKU'!$B$9+MAX(12,'MVP1 Pricing &amp; SKU'!$B$5)*'MVP1 Pricing &amp; SKU'!$B$7*$B13)</f>
        <v/>
      </c>
      <c r="R13" s="327" t="str">
        <f>IF(Q13="","MANUAL",FLOOR(Q13*'NC Credits'!$B$6/'NC Credits'!$B$7,1))</f>
        <v>MANUAL</v>
      </c>
      <c r="S13" t="str">
        <f>'Service Economics'!AH13</f>
        <v>MANUAL</v>
      </c>
    </row>
    <row r="14" spans="1:19" ht="15">
      <c r="A14" s="323" t="str">
        <f>'Service Economics'!A14</f>
        <v>Day Surgery / Procedure Concierge</v>
      </c>
      <c r="B14" s="324">
        <f>'Service Economics'!D14</f>
        <v>1.2</v>
      </c>
      <c r="C14" s="325">
        <f>IF(IFERROR(ISNUMBER(SEARCH("Manual",$S14)),FALSE),"",'MVP1 Pricing &amp; SKU'!$B$9+MAX(2,'MVP1 Pricing &amp; SKU'!$B$5)*'MVP1 Pricing &amp; SKU'!$B$7*$B14)</f>
        <v>916.6</v>
      </c>
      <c r="D14" s="326">
        <f>IF(C14="","MANUAL",FLOOR(C14*'NC Credits'!$B$6/'NC Credits'!$B$7,1))</f>
        <v>45</v>
      </c>
      <c r="E14" s="325">
        <f>IF(IFERROR(ISNUMBER(SEARCH("Manual",$S14)),FALSE),"",'MVP1 Pricing &amp; SKU'!$B$9+MAX(3,'MVP1 Pricing &amp; SKU'!$B$5)*'MVP1 Pricing &amp; SKU'!$B$7*$B14)</f>
        <v>1275.3999999999999</v>
      </c>
      <c r="F14" s="326">
        <f>IF(E14="","MANUAL",FLOOR(E14*'NC Credits'!$B$6/'NC Credits'!$B$7,1))</f>
        <v>63</v>
      </c>
      <c r="G14" s="325">
        <f>IF(IFERROR(ISNUMBER(SEARCH("Manual",$S14)),FALSE),"",'MVP1 Pricing &amp; SKU'!$B$9+MAX(4,'MVP1 Pricing &amp; SKU'!$B$5)*'MVP1 Pricing &amp; SKU'!$B$7*$B14)</f>
        <v>1634.2</v>
      </c>
      <c r="H14" s="326">
        <f>IF(G14="","MANUAL",FLOOR(G14*'NC Credits'!$B$6/'NC Credits'!$B$7,1))</f>
        <v>81</v>
      </c>
      <c r="I14" s="325">
        <f>IF(IFERROR(ISNUMBER(SEARCH("Manual",$S14)),FALSE),"",'MVP1 Pricing &amp; SKU'!$B$9+MAX(5,'MVP1 Pricing &amp; SKU'!$B$5)*'MVP1 Pricing &amp; SKU'!$B$7*$B14)</f>
        <v>1993</v>
      </c>
      <c r="J14" s="326">
        <f>IF(I14="","MANUAL",FLOOR(I14*'NC Credits'!$B$6/'NC Credits'!$B$7,1))</f>
        <v>99</v>
      </c>
      <c r="K14" s="325">
        <f>IF(IFERROR(ISNUMBER(SEARCH("Manual",$S14)),FALSE),"",'MVP1 Pricing &amp; SKU'!$B$9+MAX(6,'MVP1 Pricing &amp; SKU'!$B$5)*'MVP1 Pricing &amp; SKU'!$B$7*$B14)</f>
        <v>2351.7999999999997</v>
      </c>
      <c r="L14" s="326">
        <f>IF(K14="","MANUAL",FLOOR(K14*'NC Credits'!$B$6/'NC Credits'!$B$7,1))</f>
        <v>117</v>
      </c>
      <c r="M14" s="325">
        <f>IF(IFERROR(ISNUMBER(SEARCH("Manual",$S14)),FALSE),"",'MVP1 Pricing &amp; SKU'!$B$9+MAX(8,'MVP1 Pricing &amp; SKU'!$B$5)*'MVP1 Pricing &amp; SKU'!$B$7*$B14)</f>
        <v>3069.4</v>
      </c>
      <c r="N14" s="326">
        <f>IF(M14="","MANUAL",FLOOR(M14*'NC Credits'!$B$6/'NC Credits'!$B$7,1))</f>
        <v>153</v>
      </c>
      <c r="O14" s="325">
        <f>IF(IFERROR(ISNUMBER(SEARCH("Manual",$S14)),FALSE),"",'MVP1 Pricing &amp; SKU'!$B$9+MAX(10,'MVP1 Pricing &amp; SKU'!$B$5)*'MVP1 Pricing &amp; SKU'!$B$7*$B14)</f>
        <v>3787</v>
      </c>
      <c r="P14" s="326">
        <f>IF(O14="","MANUAL",FLOOR(O14*'NC Credits'!$B$6/'NC Credits'!$B$7,1))</f>
        <v>189</v>
      </c>
      <c r="Q14" s="325">
        <f>IF(IFERROR(ISNUMBER(SEARCH("Manual",$S14)),FALSE),"",'MVP1 Pricing &amp; SKU'!$B$9+MAX(12,'MVP1 Pricing &amp; SKU'!$B$5)*'MVP1 Pricing &amp; SKU'!$B$7*$B14)</f>
        <v>4504.5999999999995</v>
      </c>
      <c r="R14" s="327">
        <f>IF(Q14="","MANUAL",FLOOR(Q14*'NC Credits'!$B$6/'NC Credits'!$B$7,1))</f>
        <v>225</v>
      </c>
      <c r="S14" t="str">
        <f>'Service Economics'!AH14</f>
        <v>AUTO</v>
      </c>
    </row>
    <row r="15" spans="1:19" ht="15">
      <c r="A15" s="323" t="str">
        <f>'Service Economics'!A15</f>
        <v>Pre-Surgery Concierge</v>
      </c>
      <c r="B15" s="324">
        <f>'Service Economics'!D15</f>
        <v>1.1000000000000001</v>
      </c>
      <c r="C15" s="325">
        <f>IF(IFERROR(ISNUMBER(SEARCH("Manual",$S15)),FALSE),"",'MVP1 Pricing &amp; SKU'!$B$9+MAX(2,'MVP1 Pricing &amp; SKU'!$B$5)*'MVP1 Pricing &amp; SKU'!$B$7*$B15)</f>
        <v>856.80000000000007</v>
      </c>
      <c r="D15" s="326">
        <f>IF(C15="","MANUAL",FLOOR(C15*'NC Credits'!$B$6/'NC Credits'!$B$7,1))</f>
        <v>42</v>
      </c>
      <c r="E15" s="325">
        <f>IF(IFERROR(ISNUMBER(SEARCH("Manual",$S15)),FALSE),"",'MVP1 Pricing &amp; SKU'!$B$9+MAX(3,'MVP1 Pricing &amp; SKU'!$B$5)*'MVP1 Pricing &amp; SKU'!$B$7*$B15)</f>
        <v>1185.7</v>
      </c>
      <c r="F15" s="326">
        <f>IF(E15="","MANUAL",FLOOR(E15*'NC Credits'!$B$6/'NC Credits'!$B$7,1))</f>
        <v>59</v>
      </c>
      <c r="G15" s="325">
        <f>IF(IFERROR(ISNUMBER(SEARCH("Manual",$S15)),FALSE),"",'MVP1 Pricing &amp; SKU'!$B$9+MAX(4,'MVP1 Pricing &amp; SKU'!$B$5)*'MVP1 Pricing &amp; SKU'!$B$7*$B15)</f>
        <v>1514.6000000000001</v>
      </c>
      <c r="H15" s="326">
        <f>IF(G15="","MANUAL",FLOOR(G15*'NC Credits'!$B$6/'NC Credits'!$B$7,1))</f>
        <v>75</v>
      </c>
      <c r="I15" s="325">
        <f>IF(IFERROR(ISNUMBER(SEARCH("Manual",$S15)),FALSE),"",'MVP1 Pricing &amp; SKU'!$B$9+MAX(5,'MVP1 Pricing &amp; SKU'!$B$5)*'MVP1 Pricing &amp; SKU'!$B$7*$B15)</f>
        <v>1843.5000000000002</v>
      </c>
      <c r="J15" s="326">
        <f>IF(I15="","MANUAL",FLOOR(I15*'NC Credits'!$B$6/'NC Credits'!$B$7,1))</f>
        <v>92</v>
      </c>
      <c r="K15" s="325">
        <f>IF(IFERROR(ISNUMBER(SEARCH("Manual",$S15)),FALSE),"",'MVP1 Pricing &amp; SKU'!$B$9+MAX(6,'MVP1 Pricing &amp; SKU'!$B$5)*'MVP1 Pricing &amp; SKU'!$B$7*$B15)</f>
        <v>2172.4</v>
      </c>
      <c r="L15" s="326">
        <f>IF(K15="","MANUAL",FLOOR(K15*'NC Credits'!$B$6/'NC Credits'!$B$7,1))</f>
        <v>108</v>
      </c>
      <c r="M15" s="325">
        <f>IF(IFERROR(ISNUMBER(SEARCH("Manual",$S15)),FALSE),"",'MVP1 Pricing &amp; SKU'!$B$9+MAX(8,'MVP1 Pricing &amp; SKU'!$B$5)*'MVP1 Pricing &amp; SKU'!$B$7*$B15)</f>
        <v>2830.2000000000003</v>
      </c>
      <c r="N15" s="326">
        <f>IF(M15="","MANUAL",FLOOR(M15*'NC Credits'!$B$6/'NC Credits'!$B$7,1))</f>
        <v>141</v>
      </c>
      <c r="O15" s="325">
        <f>IF(IFERROR(ISNUMBER(SEARCH("Manual",$S15)),FALSE),"",'MVP1 Pricing &amp; SKU'!$B$9+MAX(10,'MVP1 Pricing &amp; SKU'!$B$5)*'MVP1 Pricing &amp; SKU'!$B$7*$B15)</f>
        <v>3488.0000000000005</v>
      </c>
      <c r="P15" s="326">
        <f>IF(O15="","MANUAL",FLOOR(O15*'NC Credits'!$B$6/'NC Credits'!$B$7,1))</f>
        <v>174</v>
      </c>
      <c r="Q15" s="325">
        <f>IF(IFERROR(ISNUMBER(SEARCH("Manual",$S15)),FALSE),"",'MVP1 Pricing &amp; SKU'!$B$9+MAX(12,'MVP1 Pricing &amp; SKU'!$B$5)*'MVP1 Pricing &amp; SKU'!$B$7*$B15)</f>
        <v>4145.8</v>
      </c>
      <c r="R15" s="327">
        <f>IF(Q15="","MANUAL",FLOOR(Q15*'NC Credits'!$B$6/'NC Credits'!$B$7,1))</f>
        <v>207</v>
      </c>
      <c r="S15" t="str">
        <f>'Service Economics'!AH15</f>
        <v>AUTO</v>
      </c>
    </row>
    <row r="16" spans="1:19" ht="15">
      <c r="A16" s="323" t="str">
        <f>'Service Economics'!A16</f>
        <v>Post-Surgery Follow-up</v>
      </c>
      <c r="B16" s="324">
        <f>'Service Economics'!D16</f>
        <v>1</v>
      </c>
      <c r="C16" s="325">
        <f>IF(IFERROR(ISNUMBER(SEARCH("Manual",$S16)),FALSE),"",'MVP1 Pricing &amp; SKU'!$B$9+MAX(2,'MVP1 Pricing &amp; SKU'!$B$5)*'MVP1 Pricing &amp; SKU'!$B$7*$B16)</f>
        <v>797</v>
      </c>
      <c r="D16" s="326">
        <f>IF(C16="","MANUAL",FLOOR(C16*'NC Credits'!$B$6/'NC Credits'!$B$7,1))</f>
        <v>39</v>
      </c>
      <c r="E16" s="325">
        <f>IF(IFERROR(ISNUMBER(SEARCH("Manual",$S16)),FALSE),"",'MVP1 Pricing &amp; SKU'!$B$9+MAX(3,'MVP1 Pricing &amp; SKU'!$B$5)*'MVP1 Pricing &amp; SKU'!$B$7*$B16)</f>
        <v>1096</v>
      </c>
      <c r="F16" s="326">
        <f>IF(E16="","MANUAL",FLOOR(E16*'NC Credits'!$B$6/'NC Credits'!$B$7,1))</f>
        <v>54</v>
      </c>
      <c r="G16" s="325">
        <f>IF(IFERROR(ISNUMBER(SEARCH("Manual",$S16)),FALSE),"",'MVP1 Pricing &amp; SKU'!$B$9+MAX(4,'MVP1 Pricing &amp; SKU'!$B$5)*'MVP1 Pricing &amp; SKU'!$B$7*$B16)</f>
        <v>1395</v>
      </c>
      <c r="H16" s="326">
        <f>IF(G16="","MANUAL",FLOOR(G16*'NC Credits'!$B$6/'NC Credits'!$B$7,1))</f>
        <v>69</v>
      </c>
      <c r="I16" s="325">
        <f>IF(IFERROR(ISNUMBER(SEARCH("Manual",$S16)),FALSE),"",'MVP1 Pricing &amp; SKU'!$B$9+MAX(5,'MVP1 Pricing &amp; SKU'!$B$5)*'MVP1 Pricing &amp; SKU'!$B$7*$B16)</f>
        <v>1694</v>
      </c>
      <c r="J16" s="326">
        <f>IF(I16="","MANUAL",FLOOR(I16*'NC Credits'!$B$6/'NC Credits'!$B$7,1))</f>
        <v>84</v>
      </c>
      <c r="K16" s="325">
        <f>IF(IFERROR(ISNUMBER(SEARCH("Manual",$S16)),FALSE),"",'MVP1 Pricing &amp; SKU'!$B$9+MAX(6,'MVP1 Pricing &amp; SKU'!$B$5)*'MVP1 Pricing &amp; SKU'!$B$7*$B16)</f>
        <v>1993</v>
      </c>
      <c r="L16" s="326">
        <f>IF(K16="","MANUAL",FLOOR(K16*'NC Credits'!$B$6/'NC Credits'!$B$7,1))</f>
        <v>99</v>
      </c>
      <c r="M16" s="325">
        <f>IF(IFERROR(ISNUMBER(SEARCH("Manual",$S16)),FALSE),"",'MVP1 Pricing &amp; SKU'!$B$9+MAX(8,'MVP1 Pricing &amp; SKU'!$B$5)*'MVP1 Pricing &amp; SKU'!$B$7*$B16)</f>
        <v>2591</v>
      </c>
      <c r="N16" s="326">
        <f>IF(M16="","MANUAL",FLOOR(M16*'NC Credits'!$B$6/'NC Credits'!$B$7,1))</f>
        <v>129</v>
      </c>
      <c r="O16" s="325">
        <f>IF(IFERROR(ISNUMBER(SEARCH("Manual",$S16)),FALSE),"",'MVP1 Pricing &amp; SKU'!$B$9+MAX(10,'MVP1 Pricing &amp; SKU'!$B$5)*'MVP1 Pricing &amp; SKU'!$B$7*$B16)</f>
        <v>3189</v>
      </c>
      <c r="P16" s="326">
        <f>IF(O16="","MANUAL",FLOOR(O16*'NC Credits'!$B$6/'NC Credits'!$B$7,1))</f>
        <v>159</v>
      </c>
      <c r="Q16" s="325">
        <f>IF(IFERROR(ISNUMBER(SEARCH("Manual",$S16)),FALSE),"",'MVP1 Pricing &amp; SKU'!$B$9+MAX(12,'MVP1 Pricing &amp; SKU'!$B$5)*'MVP1 Pricing &amp; SKU'!$B$7*$B16)</f>
        <v>3787</v>
      </c>
      <c r="R16" s="327">
        <f>IF(Q16="","MANUAL",FLOOR(Q16*'NC Credits'!$B$6/'NC Credits'!$B$7,1))</f>
        <v>189</v>
      </c>
      <c r="S16" t="str">
        <f>'Service Economics'!AH16</f>
        <v>AUTO</v>
      </c>
    </row>
    <row r="17" spans="1:19" ht="15">
      <c r="A17" s="323" t="str">
        <f>'Service Economics'!A17</f>
        <v>Dialysis Visit Concierge</v>
      </c>
      <c r="B17" s="324">
        <f>'Service Economics'!D17</f>
        <v>0.9</v>
      </c>
      <c r="C17" s="325">
        <f>IF(IFERROR(ISNUMBER(SEARCH("Manual",$S17)),FALSE),"",'MVP1 Pricing &amp; SKU'!$B$9+MAX(2,'MVP1 Pricing &amp; SKU'!$B$5)*'MVP1 Pricing &amp; SKU'!$B$7*$B17)</f>
        <v>737.2</v>
      </c>
      <c r="D17" s="326">
        <f>IF(C17="","MANUAL",FLOOR(C17*'NC Credits'!$B$6/'NC Credits'!$B$7,1))</f>
        <v>36</v>
      </c>
      <c r="E17" s="325">
        <f>IF(IFERROR(ISNUMBER(SEARCH("Manual",$S17)),FALSE),"",'MVP1 Pricing &amp; SKU'!$B$9+MAX(3,'MVP1 Pricing &amp; SKU'!$B$5)*'MVP1 Pricing &amp; SKU'!$B$7*$B17)</f>
        <v>1006.3000000000001</v>
      </c>
      <c r="F17" s="326">
        <f>IF(E17="","MANUAL",FLOOR(E17*'NC Credits'!$B$6/'NC Credits'!$B$7,1))</f>
        <v>50</v>
      </c>
      <c r="G17" s="325">
        <f>IF(IFERROR(ISNUMBER(SEARCH("Manual",$S17)),FALSE),"",'MVP1 Pricing &amp; SKU'!$B$9+MAX(4,'MVP1 Pricing &amp; SKU'!$B$5)*'MVP1 Pricing &amp; SKU'!$B$7*$B17)</f>
        <v>1275.4000000000001</v>
      </c>
      <c r="H17" s="326">
        <f>IF(G17="","MANUAL",FLOOR(G17*'NC Credits'!$B$6/'NC Credits'!$B$7,1))</f>
        <v>63</v>
      </c>
      <c r="I17" s="325">
        <f>IF(IFERROR(ISNUMBER(SEARCH("Manual",$S17)),FALSE),"",'MVP1 Pricing &amp; SKU'!$B$9+MAX(5,'MVP1 Pricing &amp; SKU'!$B$5)*'MVP1 Pricing &amp; SKU'!$B$7*$B17)</f>
        <v>1544.5</v>
      </c>
      <c r="J17" s="326">
        <f>IF(I17="","MANUAL",FLOOR(I17*'NC Credits'!$B$6/'NC Credits'!$B$7,1))</f>
        <v>77</v>
      </c>
      <c r="K17" s="325">
        <f>IF(IFERROR(ISNUMBER(SEARCH("Manual",$S17)),FALSE),"",'MVP1 Pricing &amp; SKU'!$B$9+MAX(6,'MVP1 Pricing &amp; SKU'!$B$5)*'MVP1 Pricing &amp; SKU'!$B$7*$B17)</f>
        <v>1813.6000000000001</v>
      </c>
      <c r="L17" s="326">
        <f>IF(K17="","MANUAL",FLOOR(K17*'NC Credits'!$B$6/'NC Credits'!$B$7,1))</f>
        <v>90</v>
      </c>
      <c r="M17" s="325">
        <f>IF(IFERROR(ISNUMBER(SEARCH("Manual",$S17)),FALSE),"",'MVP1 Pricing &amp; SKU'!$B$9+MAX(8,'MVP1 Pricing &amp; SKU'!$B$5)*'MVP1 Pricing &amp; SKU'!$B$7*$B17)</f>
        <v>2351.8000000000002</v>
      </c>
      <c r="N17" s="326">
        <f>IF(M17="","MANUAL",FLOOR(M17*'NC Credits'!$B$6/'NC Credits'!$B$7,1))</f>
        <v>117</v>
      </c>
      <c r="O17" s="325">
        <f>IF(IFERROR(ISNUMBER(SEARCH("Manual",$S17)),FALSE),"",'MVP1 Pricing &amp; SKU'!$B$9+MAX(10,'MVP1 Pricing &amp; SKU'!$B$5)*'MVP1 Pricing &amp; SKU'!$B$7*$B17)</f>
        <v>2890</v>
      </c>
      <c r="P17" s="326">
        <f>IF(O17="","MANUAL",FLOOR(O17*'NC Credits'!$B$6/'NC Credits'!$B$7,1))</f>
        <v>144</v>
      </c>
      <c r="Q17" s="325">
        <f>IF(IFERROR(ISNUMBER(SEARCH("Manual",$S17)),FALSE),"",'MVP1 Pricing &amp; SKU'!$B$9+MAX(12,'MVP1 Pricing &amp; SKU'!$B$5)*'MVP1 Pricing &amp; SKU'!$B$7*$B17)</f>
        <v>3428.2000000000003</v>
      </c>
      <c r="R17" s="327">
        <f>IF(Q17="","MANUAL",FLOOR(Q17*'NC Credits'!$B$6/'NC Credits'!$B$7,1))</f>
        <v>171</v>
      </c>
      <c r="S17" t="str">
        <f>'Service Economics'!AH17</f>
        <v>AUTO</v>
      </c>
    </row>
    <row r="18" spans="1:19" ht="15">
      <c r="A18" s="323" t="str">
        <f>'Service Economics'!A18</f>
        <v>Chemotherapy Visit Concierge</v>
      </c>
      <c r="B18" s="324">
        <f>'Service Economics'!D18</f>
        <v>1</v>
      </c>
      <c r="C18" s="325">
        <f>IF(IFERROR(ISNUMBER(SEARCH("Manual",$S18)),FALSE),"",'MVP1 Pricing &amp; SKU'!$B$9+MAX(2,'MVP1 Pricing &amp; SKU'!$B$5)*'MVP1 Pricing &amp; SKU'!$B$7*$B18)</f>
        <v>797</v>
      </c>
      <c r="D18" s="326">
        <f>IF(C18="","MANUAL",FLOOR(C18*'NC Credits'!$B$6/'NC Credits'!$B$7,1))</f>
        <v>39</v>
      </c>
      <c r="E18" s="325">
        <f>IF(IFERROR(ISNUMBER(SEARCH("Manual",$S18)),FALSE),"",'MVP1 Pricing &amp; SKU'!$B$9+MAX(3,'MVP1 Pricing &amp; SKU'!$B$5)*'MVP1 Pricing &amp; SKU'!$B$7*$B18)</f>
        <v>1096</v>
      </c>
      <c r="F18" s="326">
        <f>IF(E18="","MANUAL",FLOOR(E18*'NC Credits'!$B$6/'NC Credits'!$B$7,1))</f>
        <v>54</v>
      </c>
      <c r="G18" s="325">
        <f>IF(IFERROR(ISNUMBER(SEARCH("Manual",$S18)),FALSE),"",'MVP1 Pricing &amp; SKU'!$B$9+MAX(4,'MVP1 Pricing &amp; SKU'!$B$5)*'MVP1 Pricing &amp; SKU'!$B$7*$B18)</f>
        <v>1395</v>
      </c>
      <c r="H18" s="326">
        <f>IF(G18="","MANUAL",FLOOR(G18*'NC Credits'!$B$6/'NC Credits'!$B$7,1))</f>
        <v>69</v>
      </c>
      <c r="I18" s="325">
        <f>IF(IFERROR(ISNUMBER(SEARCH("Manual",$S18)),FALSE),"",'MVP1 Pricing &amp; SKU'!$B$9+MAX(5,'MVP1 Pricing &amp; SKU'!$B$5)*'MVP1 Pricing &amp; SKU'!$B$7*$B18)</f>
        <v>1694</v>
      </c>
      <c r="J18" s="326">
        <f>IF(I18="","MANUAL",FLOOR(I18*'NC Credits'!$B$6/'NC Credits'!$B$7,1))</f>
        <v>84</v>
      </c>
      <c r="K18" s="325">
        <f>IF(IFERROR(ISNUMBER(SEARCH("Manual",$S18)),FALSE),"",'MVP1 Pricing &amp; SKU'!$B$9+MAX(6,'MVP1 Pricing &amp; SKU'!$B$5)*'MVP1 Pricing &amp; SKU'!$B$7*$B18)</f>
        <v>1993</v>
      </c>
      <c r="L18" s="326">
        <f>IF(K18="","MANUAL",FLOOR(K18*'NC Credits'!$B$6/'NC Credits'!$B$7,1))</f>
        <v>99</v>
      </c>
      <c r="M18" s="325">
        <f>IF(IFERROR(ISNUMBER(SEARCH("Manual",$S18)),FALSE),"",'MVP1 Pricing &amp; SKU'!$B$9+MAX(8,'MVP1 Pricing &amp; SKU'!$B$5)*'MVP1 Pricing &amp; SKU'!$B$7*$B18)</f>
        <v>2591</v>
      </c>
      <c r="N18" s="326">
        <f>IF(M18="","MANUAL",FLOOR(M18*'NC Credits'!$B$6/'NC Credits'!$B$7,1))</f>
        <v>129</v>
      </c>
      <c r="O18" s="325">
        <f>IF(IFERROR(ISNUMBER(SEARCH("Manual",$S18)),FALSE),"",'MVP1 Pricing &amp; SKU'!$B$9+MAX(10,'MVP1 Pricing &amp; SKU'!$B$5)*'MVP1 Pricing &amp; SKU'!$B$7*$B18)</f>
        <v>3189</v>
      </c>
      <c r="P18" s="326">
        <f>IF(O18="","MANUAL",FLOOR(O18*'NC Credits'!$B$6/'NC Credits'!$B$7,1))</f>
        <v>159</v>
      </c>
      <c r="Q18" s="325">
        <f>IF(IFERROR(ISNUMBER(SEARCH("Manual",$S18)),FALSE),"",'MVP1 Pricing &amp; SKU'!$B$9+MAX(12,'MVP1 Pricing &amp; SKU'!$B$5)*'MVP1 Pricing &amp; SKU'!$B$7*$B18)</f>
        <v>3787</v>
      </c>
      <c r="R18" s="327">
        <f>IF(Q18="","MANUAL",FLOOR(Q18*'NC Credits'!$B$6/'NC Credits'!$B$7,1))</f>
        <v>189</v>
      </c>
      <c r="S18" t="str">
        <f>'Service Economics'!AH18</f>
        <v>AUTO</v>
      </c>
    </row>
    <row r="19" spans="1:19" ht="15">
      <c r="A19" s="323" t="str">
        <f>'Service Economics'!A19</f>
        <v>Radiation Therapy Concierge</v>
      </c>
      <c r="B19" s="324">
        <f>'Service Economics'!D19</f>
        <v>0.95</v>
      </c>
      <c r="C19" s="325">
        <f>IF(IFERROR(ISNUMBER(SEARCH("Manual",$S19)),FALSE),"",'MVP1 Pricing &amp; SKU'!$B$9+MAX(2,'MVP1 Pricing &amp; SKU'!$B$5)*'MVP1 Pricing &amp; SKU'!$B$7*$B19)</f>
        <v>767.1</v>
      </c>
      <c r="D19" s="326">
        <f>IF(C19="","MANUAL",FLOOR(C19*'NC Credits'!$B$6/'NC Credits'!$B$7,1))</f>
        <v>38</v>
      </c>
      <c r="E19" s="325">
        <f>IF(IFERROR(ISNUMBER(SEARCH("Manual",$S19)),FALSE),"",'MVP1 Pricing &amp; SKU'!$B$9+MAX(3,'MVP1 Pricing &amp; SKU'!$B$5)*'MVP1 Pricing &amp; SKU'!$B$7*$B19)</f>
        <v>1051.1500000000001</v>
      </c>
      <c r="F19" s="326">
        <f>IF(E19="","MANUAL",FLOOR(E19*'NC Credits'!$B$6/'NC Credits'!$B$7,1))</f>
        <v>52</v>
      </c>
      <c r="G19" s="325">
        <f>IF(IFERROR(ISNUMBER(SEARCH("Manual",$S19)),FALSE),"",'MVP1 Pricing &amp; SKU'!$B$9+MAX(4,'MVP1 Pricing &amp; SKU'!$B$5)*'MVP1 Pricing &amp; SKU'!$B$7*$B19)</f>
        <v>1335.2</v>
      </c>
      <c r="H19" s="326">
        <f>IF(G19="","MANUAL",FLOOR(G19*'NC Credits'!$B$6/'NC Credits'!$B$7,1))</f>
        <v>66</v>
      </c>
      <c r="I19" s="325">
        <f>IF(IFERROR(ISNUMBER(SEARCH("Manual",$S19)),FALSE),"",'MVP1 Pricing &amp; SKU'!$B$9+MAX(5,'MVP1 Pricing &amp; SKU'!$B$5)*'MVP1 Pricing &amp; SKU'!$B$7*$B19)</f>
        <v>1619.25</v>
      </c>
      <c r="J19" s="326">
        <f>IF(I19="","MANUAL",FLOOR(I19*'NC Credits'!$B$6/'NC Credits'!$B$7,1))</f>
        <v>80</v>
      </c>
      <c r="K19" s="325">
        <f>IF(IFERROR(ISNUMBER(SEARCH("Manual",$S19)),FALSE),"",'MVP1 Pricing &amp; SKU'!$B$9+MAX(6,'MVP1 Pricing &amp; SKU'!$B$5)*'MVP1 Pricing &amp; SKU'!$B$7*$B19)</f>
        <v>1903.3</v>
      </c>
      <c r="L19" s="326">
        <f>IF(K19="","MANUAL",FLOOR(K19*'NC Credits'!$B$6/'NC Credits'!$B$7,1))</f>
        <v>95</v>
      </c>
      <c r="M19" s="325">
        <f>IF(IFERROR(ISNUMBER(SEARCH("Manual",$S19)),FALSE),"",'MVP1 Pricing &amp; SKU'!$B$9+MAX(8,'MVP1 Pricing &amp; SKU'!$B$5)*'MVP1 Pricing &amp; SKU'!$B$7*$B19)</f>
        <v>2471.4</v>
      </c>
      <c r="N19" s="326">
        <f>IF(M19="","MANUAL",FLOOR(M19*'NC Credits'!$B$6/'NC Credits'!$B$7,1))</f>
        <v>123</v>
      </c>
      <c r="O19" s="325">
        <f>IF(IFERROR(ISNUMBER(SEARCH("Manual",$S19)),FALSE),"",'MVP1 Pricing &amp; SKU'!$B$9+MAX(10,'MVP1 Pricing &amp; SKU'!$B$5)*'MVP1 Pricing &amp; SKU'!$B$7*$B19)</f>
        <v>3039.5</v>
      </c>
      <c r="P19" s="326">
        <f>IF(O19="","MANUAL",FLOOR(O19*'NC Credits'!$B$6/'NC Credits'!$B$7,1))</f>
        <v>151</v>
      </c>
      <c r="Q19" s="325">
        <f>IF(IFERROR(ISNUMBER(SEARCH("Manual",$S19)),FALSE),"",'MVP1 Pricing &amp; SKU'!$B$9+MAX(12,'MVP1 Pricing &amp; SKU'!$B$5)*'MVP1 Pricing &amp; SKU'!$B$7*$B19)</f>
        <v>3607.6</v>
      </c>
      <c r="R19" s="327">
        <f>IF(Q19="","MANUAL",FLOOR(Q19*'NC Credits'!$B$6/'NC Credits'!$B$7,1))</f>
        <v>180</v>
      </c>
      <c r="S19" t="str">
        <f>'Service Economics'!AH19</f>
        <v>AUTO</v>
      </c>
    </row>
    <row r="20" spans="1:19" ht="15">
      <c r="A20" s="323" t="str">
        <f>'Service Economics'!A20</f>
        <v>Physiotherapy / Rehab Visit</v>
      </c>
      <c r="B20" s="324">
        <f>'Service Economics'!D20</f>
        <v>0.85</v>
      </c>
      <c r="C20" s="325">
        <f>IF(IFERROR(ISNUMBER(SEARCH("Manual",$S20)),FALSE),"",'MVP1 Pricing &amp; SKU'!$B$9+MAX(2,'MVP1 Pricing &amp; SKU'!$B$5)*'MVP1 Pricing &amp; SKU'!$B$7*$B20)</f>
        <v>707.3</v>
      </c>
      <c r="D20" s="326">
        <f>IF(C20="","MANUAL",FLOOR(C20*'NC Credits'!$B$6/'NC Credits'!$B$7,1))</f>
        <v>35</v>
      </c>
      <c r="E20" s="325">
        <f>IF(IFERROR(ISNUMBER(SEARCH("Manual",$S20)),FALSE),"",'MVP1 Pricing &amp; SKU'!$B$9+MAX(3,'MVP1 Pricing &amp; SKU'!$B$5)*'MVP1 Pricing &amp; SKU'!$B$7*$B20)</f>
        <v>961.44999999999993</v>
      </c>
      <c r="F20" s="326">
        <f>IF(E20="","MANUAL",FLOOR(E20*'NC Credits'!$B$6/'NC Credits'!$B$7,1))</f>
        <v>48</v>
      </c>
      <c r="G20" s="325">
        <f>IF(IFERROR(ISNUMBER(SEARCH("Manual",$S20)),FALSE),"",'MVP1 Pricing &amp; SKU'!$B$9+MAX(4,'MVP1 Pricing &amp; SKU'!$B$5)*'MVP1 Pricing &amp; SKU'!$B$7*$B20)</f>
        <v>1215.5999999999999</v>
      </c>
      <c r="H20" s="326">
        <f>IF(G20="","MANUAL",FLOOR(G20*'NC Credits'!$B$6/'NC Credits'!$B$7,1))</f>
        <v>60</v>
      </c>
      <c r="I20" s="325">
        <f>IF(IFERROR(ISNUMBER(SEARCH("Manual",$S20)),FALSE),"",'MVP1 Pricing &amp; SKU'!$B$9+MAX(5,'MVP1 Pricing &amp; SKU'!$B$5)*'MVP1 Pricing &amp; SKU'!$B$7*$B20)</f>
        <v>1469.75</v>
      </c>
      <c r="J20" s="326">
        <f>IF(I20="","MANUAL",FLOOR(I20*'NC Credits'!$B$6/'NC Credits'!$B$7,1))</f>
        <v>73</v>
      </c>
      <c r="K20" s="325">
        <f>IF(IFERROR(ISNUMBER(SEARCH("Manual",$S20)),FALSE),"",'MVP1 Pricing &amp; SKU'!$B$9+MAX(6,'MVP1 Pricing &amp; SKU'!$B$5)*'MVP1 Pricing &amp; SKU'!$B$7*$B20)</f>
        <v>1723.8999999999999</v>
      </c>
      <c r="L20" s="326">
        <f>IF(K20="","MANUAL",FLOOR(K20*'NC Credits'!$B$6/'NC Credits'!$B$7,1))</f>
        <v>86</v>
      </c>
      <c r="M20" s="325">
        <f>IF(IFERROR(ISNUMBER(SEARCH("Manual",$S20)),FALSE),"",'MVP1 Pricing &amp; SKU'!$B$9+MAX(8,'MVP1 Pricing &amp; SKU'!$B$5)*'MVP1 Pricing &amp; SKU'!$B$7*$B20)</f>
        <v>2232.1999999999998</v>
      </c>
      <c r="N20" s="326">
        <f>IF(M20="","MANUAL",FLOOR(M20*'NC Credits'!$B$6/'NC Credits'!$B$7,1))</f>
        <v>111</v>
      </c>
      <c r="O20" s="325">
        <f>IF(IFERROR(ISNUMBER(SEARCH("Manual",$S20)),FALSE),"",'MVP1 Pricing &amp; SKU'!$B$9+MAX(10,'MVP1 Pricing &amp; SKU'!$B$5)*'MVP1 Pricing &amp; SKU'!$B$7*$B20)</f>
        <v>2740.5</v>
      </c>
      <c r="P20" s="326">
        <f>IF(O20="","MANUAL",FLOOR(O20*'NC Credits'!$B$6/'NC Credits'!$B$7,1))</f>
        <v>137</v>
      </c>
      <c r="Q20" s="325">
        <f>IF(IFERROR(ISNUMBER(SEARCH("Manual",$S20)),FALSE),"",'MVP1 Pricing &amp; SKU'!$B$9+MAX(12,'MVP1 Pricing &amp; SKU'!$B$5)*'MVP1 Pricing &amp; SKU'!$B$7*$B20)</f>
        <v>3248.7999999999997</v>
      </c>
      <c r="R20" s="327">
        <f>IF(Q20="","MANUAL",FLOOR(Q20*'NC Credits'!$B$6/'NC Credits'!$B$7,1))</f>
        <v>162</v>
      </c>
      <c r="S20" t="str">
        <f>'Service Economics'!AH20</f>
        <v>AUTO</v>
      </c>
    </row>
    <row r="21" spans="1:19" ht="15">
      <c r="A21" s="323" t="str">
        <f>'Service Economics'!A21</f>
        <v>Chronic Care Follow-up</v>
      </c>
      <c r="B21" s="324">
        <f>'Service Economics'!D21</f>
        <v>0.9</v>
      </c>
      <c r="C21" s="325">
        <f>IF(IFERROR(ISNUMBER(SEARCH("Manual",$S21)),FALSE),"",'MVP1 Pricing &amp; SKU'!$B$9+MAX(2,'MVP1 Pricing &amp; SKU'!$B$5)*'MVP1 Pricing &amp; SKU'!$B$7*$B21)</f>
        <v>737.2</v>
      </c>
      <c r="D21" s="326">
        <f>IF(C21="","MANUAL",FLOOR(C21*'NC Credits'!$B$6/'NC Credits'!$B$7,1))</f>
        <v>36</v>
      </c>
      <c r="E21" s="325">
        <f>IF(IFERROR(ISNUMBER(SEARCH("Manual",$S21)),FALSE),"",'MVP1 Pricing &amp; SKU'!$B$9+MAX(3,'MVP1 Pricing &amp; SKU'!$B$5)*'MVP1 Pricing &amp; SKU'!$B$7*$B21)</f>
        <v>1006.3000000000001</v>
      </c>
      <c r="F21" s="326">
        <f>IF(E21="","MANUAL",FLOOR(E21*'NC Credits'!$B$6/'NC Credits'!$B$7,1))</f>
        <v>50</v>
      </c>
      <c r="G21" s="325">
        <f>IF(IFERROR(ISNUMBER(SEARCH("Manual",$S21)),FALSE),"",'MVP1 Pricing &amp; SKU'!$B$9+MAX(4,'MVP1 Pricing &amp; SKU'!$B$5)*'MVP1 Pricing &amp; SKU'!$B$7*$B21)</f>
        <v>1275.4000000000001</v>
      </c>
      <c r="H21" s="326">
        <f>IF(G21="","MANUAL",FLOOR(G21*'NC Credits'!$B$6/'NC Credits'!$B$7,1))</f>
        <v>63</v>
      </c>
      <c r="I21" s="325">
        <f>IF(IFERROR(ISNUMBER(SEARCH("Manual",$S21)),FALSE),"",'MVP1 Pricing &amp; SKU'!$B$9+MAX(5,'MVP1 Pricing &amp; SKU'!$B$5)*'MVP1 Pricing &amp; SKU'!$B$7*$B21)</f>
        <v>1544.5</v>
      </c>
      <c r="J21" s="326">
        <f>IF(I21="","MANUAL",FLOOR(I21*'NC Credits'!$B$6/'NC Credits'!$B$7,1))</f>
        <v>77</v>
      </c>
      <c r="K21" s="325">
        <f>IF(IFERROR(ISNUMBER(SEARCH("Manual",$S21)),FALSE),"",'MVP1 Pricing &amp; SKU'!$B$9+MAX(6,'MVP1 Pricing &amp; SKU'!$B$5)*'MVP1 Pricing &amp; SKU'!$B$7*$B21)</f>
        <v>1813.6000000000001</v>
      </c>
      <c r="L21" s="326">
        <f>IF(K21="","MANUAL",FLOOR(K21*'NC Credits'!$B$6/'NC Credits'!$B$7,1))</f>
        <v>90</v>
      </c>
      <c r="M21" s="325">
        <f>IF(IFERROR(ISNUMBER(SEARCH("Manual",$S21)),FALSE),"",'MVP1 Pricing &amp; SKU'!$B$9+MAX(8,'MVP1 Pricing &amp; SKU'!$B$5)*'MVP1 Pricing &amp; SKU'!$B$7*$B21)</f>
        <v>2351.8000000000002</v>
      </c>
      <c r="N21" s="326">
        <f>IF(M21="","MANUAL",FLOOR(M21*'NC Credits'!$B$6/'NC Credits'!$B$7,1))</f>
        <v>117</v>
      </c>
      <c r="O21" s="325">
        <f>IF(IFERROR(ISNUMBER(SEARCH("Manual",$S21)),FALSE),"",'MVP1 Pricing &amp; SKU'!$B$9+MAX(10,'MVP1 Pricing &amp; SKU'!$B$5)*'MVP1 Pricing &amp; SKU'!$B$7*$B21)</f>
        <v>2890</v>
      </c>
      <c r="P21" s="326">
        <f>IF(O21="","MANUAL",FLOOR(O21*'NC Credits'!$B$6/'NC Credits'!$B$7,1))</f>
        <v>144</v>
      </c>
      <c r="Q21" s="325">
        <f>IF(IFERROR(ISNUMBER(SEARCH("Manual",$S21)),FALSE),"",'MVP1 Pricing &amp; SKU'!$B$9+MAX(12,'MVP1 Pricing &amp; SKU'!$B$5)*'MVP1 Pricing &amp; SKU'!$B$7*$B21)</f>
        <v>3428.2000000000003</v>
      </c>
      <c r="R21" s="327">
        <f>IF(Q21="","MANUAL",FLOOR(Q21*'NC Credits'!$B$6/'NC Credits'!$B$7,1))</f>
        <v>171</v>
      </c>
      <c r="S21" t="str">
        <f>'Service Economics'!AH21</f>
        <v>AUTO</v>
      </c>
    </row>
    <row r="22" spans="1:19" ht="15">
      <c r="A22" s="323" t="str">
        <f>'Service Economics'!A22</f>
        <v>NRI Parent Medical Concierge</v>
      </c>
      <c r="B22" s="324">
        <f>'Service Economics'!D22</f>
        <v>1.2</v>
      </c>
      <c r="C22" s="325">
        <f>IF(IFERROR(ISNUMBER(SEARCH("Manual",$S22)),FALSE),"",'MVP1 Pricing &amp; SKU'!$B$9+MAX(2,'MVP1 Pricing &amp; SKU'!$B$5)*'MVP1 Pricing &amp; SKU'!$B$7*$B22)</f>
        <v>916.6</v>
      </c>
      <c r="D22" s="326">
        <f>IF(C22="","MANUAL",FLOOR(C22*'NC Credits'!$B$6/'NC Credits'!$B$7,1))</f>
        <v>45</v>
      </c>
      <c r="E22" s="325">
        <f>IF(IFERROR(ISNUMBER(SEARCH("Manual",$S22)),FALSE),"",'MVP1 Pricing &amp; SKU'!$B$9+MAX(3,'MVP1 Pricing &amp; SKU'!$B$5)*'MVP1 Pricing &amp; SKU'!$B$7*$B22)</f>
        <v>1275.3999999999999</v>
      </c>
      <c r="F22" s="326">
        <f>IF(E22="","MANUAL",FLOOR(E22*'NC Credits'!$B$6/'NC Credits'!$B$7,1))</f>
        <v>63</v>
      </c>
      <c r="G22" s="325">
        <f>IF(IFERROR(ISNUMBER(SEARCH("Manual",$S22)),FALSE),"",'MVP1 Pricing &amp; SKU'!$B$9+MAX(4,'MVP1 Pricing &amp; SKU'!$B$5)*'MVP1 Pricing &amp; SKU'!$B$7*$B22)</f>
        <v>1634.2</v>
      </c>
      <c r="H22" s="326">
        <f>IF(G22="","MANUAL",FLOOR(G22*'NC Credits'!$B$6/'NC Credits'!$B$7,1))</f>
        <v>81</v>
      </c>
      <c r="I22" s="325">
        <f>IF(IFERROR(ISNUMBER(SEARCH("Manual",$S22)),FALSE),"",'MVP1 Pricing &amp; SKU'!$B$9+MAX(5,'MVP1 Pricing &amp; SKU'!$B$5)*'MVP1 Pricing &amp; SKU'!$B$7*$B22)</f>
        <v>1993</v>
      </c>
      <c r="J22" s="326">
        <f>IF(I22="","MANUAL",FLOOR(I22*'NC Credits'!$B$6/'NC Credits'!$B$7,1))</f>
        <v>99</v>
      </c>
      <c r="K22" s="325">
        <f>IF(IFERROR(ISNUMBER(SEARCH("Manual",$S22)),FALSE),"",'MVP1 Pricing &amp; SKU'!$B$9+MAX(6,'MVP1 Pricing &amp; SKU'!$B$5)*'MVP1 Pricing &amp; SKU'!$B$7*$B22)</f>
        <v>2351.7999999999997</v>
      </c>
      <c r="L22" s="326">
        <f>IF(K22="","MANUAL",FLOOR(K22*'NC Credits'!$B$6/'NC Credits'!$B$7,1))</f>
        <v>117</v>
      </c>
      <c r="M22" s="325">
        <f>IF(IFERROR(ISNUMBER(SEARCH("Manual",$S22)),FALSE),"",'MVP1 Pricing &amp; SKU'!$B$9+MAX(8,'MVP1 Pricing &amp; SKU'!$B$5)*'MVP1 Pricing &amp; SKU'!$B$7*$B22)</f>
        <v>3069.4</v>
      </c>
      <c r="N22" s="326">
        <f>IF(M22="","MANUAL",FLOOR(M22*'NC Credits'!$B$6/'NC Credits'!$B$7,1))</f>
        <v>153</v>
      </c>
      <c r="O22" s="325">
        <f>IF(IFERROR(ISNUMBER(SEARCH("Manual",$S22)),FALSE),"",'MVP1 Pricing &amp; SKU'!$B$9+MAX(10,'MVP1 Pricing &amp; SKU'!$B$5)*'MVP1 Pricing &amp; SKU'!$B$7*$B22)</f>
        <v>3787</v>
      </c>
      <c r="P22" s="326">
        <f>IF(O22="","MANUAL",FLOOR(O22*'NC Credits'!$B$6/'NC Credits'!$B$7,1))</f>
        <v>189</v>
      </c>
      <c r="Q22" s="325">
        <f>IF(IFERROR(ISNUMBER(SEARCH("Manual",$S22)),FALSE),"",'MVP1 Pricing &amp; SKU'!$B$9+MAX(12,'MVP1 Pricing &amp; SKU'!$B$5)*'MVP1 Pricing &amp; SKU'!$B$7*$B22)</f>
        <v>4504.5999999999995</v>
      </c>
      <c r="R22" s="327">
        <f>IF(Q22="","MANUAL",FLOOR(Q22*'NC Credits'!$B$6/'NC Credits'!$B$7,1))</f>
        <v>225</v>
      </c>
      <c r="S22" t="str">
        <f>'Service Economics'!AH22</f>
        <v>AUTO</v>
      </c>
    </row>
    <row r="23" spans="1:19" ht="15">
      <c r="A23" s="323" t="str">
        <f>'Service Economics'!A23</f>
        <v>Second Opinion Concierge</v>
      </c>
      <c r="B23" s="324">
        <f>'Service Economics'!D23</f>
        <v>0.85</v>
      </c>
      <c r="C23" s="325">
        <f>IF(IFERROR(ISNUMBER(SEARCH("Manual",$S23)),FALSE),"",'MVP1 Pricing &amp; SKU'!$B$9+MAX(2,'MVP1 Pricing &amp; SKU'!$B$5)*'MVP1 Pricing &amp; SKU'!$B$7*$B23)</f>
        <v>707.3</v>
      </c>
      <c r="D23" s="326">
        <f>IF(C23="","MANUAL",FLOOR(C23*'NC Credits'!$B$6/'NC Credits'!$B$7,1))</f>
        <v>35</v>
      </c>
      <c r="E23" s="325">
        <f>IF(IFERROR(ISNUMBER(SEARCH("Manual",$S23)),FALSE),"",'MVP1 Pricing &amp; SKU'!$B$9+MAX(3,'MVP1 Pricing &amp; SKU'!$B$5)*'MVP1 Pricing &amp; SKU'!$B$7*$B23)</f>
        <v>961.44999999999993</v>
      </c>
      <c r="F23" s="326">
        <f>IF(E23="","MANUAL",FLOOR(E23*'NC Credits'!$B$6/'NC Credits'!$B$7,1))</f>
        <v>48</v>
      </c>
      <c r="G23" s="325">
        <f>IF(IFERROR(ISNUMBER(SEARCH("Manual",$S23)),FALSE),"",'MVP1 Pricing &amp; SKU'!$B$9+MAX(4,'MVP1 Pricing &amp; SKU'!$B$5)*'MVP1 Pricing &amp; SKU'!$B$7*$B23)</f>
        <v>1215.5999999999999</v>
      </c>
      <c r="H23" s="326">
        <f>IF(G23="","MANUAL",FLOOR(G23*'NC Credits'!$B$6/'NC Credits'!$B$7,1))</f>
        <v>60</v>
      </c>
      <c r="I23" s="325">
        <f>IF(IFERROR(ISNUMBER(SEARCH("Manual",$S23)),FALSE),"",'MVP1 Pricing &amp; SKU'!$B$9+MAX(5,'MVP1 Pricing &amp; SKU'!$B$5)*'MVP1 Pricing &amp; SKU'!$B$7*$B23)</f>
        <v>1469.75</v>
      </c>
      <c r="J23" s="326">
        <f>IF(I23="","MANUAL",FLOOR(I23*'NC Credits'!$B$6/'NC Credits'!$B$7,1))</f>
        <v>73</v>
      </c>
      <c r="K23" s="325">
        <f>IF(IFERROR(ISNUMBER(SEARCH("Manual",$S23)),FALSE),"",'MVP1 Pricing &amp; SKU'!$B$9+MAX(6,'MVP1 Pricing &amp; SKU'!$B$5)*'MVP1 Pricing &amp; SKU'!$B$7*$B23)</f>
        <v>1723.8999999999999</v>
      </c>
      <c r="L23" s="326">
        <f>IF(K23="","MANUAL",FLOOR(K23*'NC Credits'!$B$6/'NC Credits'!$B$7,1))</f>
        <v>86</v>
      </c>
      <c r="M23" s="325">
        <f>IF(IFERROR(ISNUMBER(SEARCH("Manual",$S23)),FALSE),"",'MVP1 Pricing &amp; SKU'!$B$9+MAX(8,'MVP1 Pricing &amp; SKU'!$B$5)*'MVP1 Pricing &amp; SKU'!$B$7*$B23)</f>
        <v>2232.1999999999998</v>
      </c>
      <c r="N23" s="326">
        <f>IF(M23="","MANUAL",FLOOR(M23*'NC Credits'!$B$6/'NC Credits'!$B$7,1))</f>
        <v>111</v>
      </c>
      <c r="O23" s="325">
        <f>IF(IFERROR(ISNUMBER(SEARCH("Manual",$S23)),FALSE),"",'MVP1 Pricing &amp; SKU'!$B$9+MAX(10,'MVP1 Pricing &amp; SKU'!$B$5)*'MVP1 Pricing &amp; SKU'!$B$7*$B23)</f>
        <v>2740.5</v>
      </c>
      <c r="P23" s="326">
        <f>IF(O23="","MANUAL",FLOOR(O23*'NC Credits'!$B$6/'NC Credits'!$B$7,1))</f>
        <v>137</v>
      </c>
      <c r="Q23" s="325">
        <f>IF(IFERROR(ISNUMBER(SEARCH("Manual",$S23)),FALSE),"",'MVP1 Pricing &amp; SKU'!$B$9+MAX(12,'MVP1 Pricing &amp; SKU'!$B$5)*'MVP1 Pricing &amp; SKU'!$B$7*$B23)</f>
        <v>3248.7999999999997</v>
      </c>
      <c r="R23" s="327">
        <f>IF(Q23="","MANUAL",FLOOR(Q23*'NC Credits'!$B$6/'NC Credits'!$B$7,1))</f>
        <v>162</v>
      </c>
      <c r="S23" t="str">
        <f>'Service Economics'!AH23</f>
        <v>AUTO</v>
      </c>
    </row>
    <row r="24" spans="1:19" ht="15">
      <c r="A24" s="323" t="str">
        <f>'Service Economics'!A24</f>
        <v>Teleconsultation Concierge</v>
      </c>
      <c r="B24" s="324">
        <f>'Service Economics'!D24</f>
        <v>0.65</v>
      </c>
      <c r="C24" s="325">
        <f>IF(IFERROR(ISNUMBER(SEARCH("Manual",$S24)),FALSE),"",'MVP1 Pricing &amp; SKU'!$B$9+MAX(2,'MVP1 Pricing &amp; SKU'!$B$5)*'MVP1 Pricing &amp; SKU'!$B$7*$B24)</f>
        <v>587.70000000000005</v>
      </c>
      <c r="D24" s="326">
        <f>IF(C24="","MANUAL",FLOOR(C24*'NC Credits'!$B$6/'NC Credits'!$B$7,1))</f>
        <v>29</v>
      </c>
      <c r="E24" s="325">
        <f>IF(IFERROR(ISNUMBER(SEARCH("Manual",$S24)),FALSE),"",'MVP1 Pricing &amp; SKU'!$B$9+MAX(3,'MVP1 Pricing &amp; SKU'!$B$5)*'MVP1 Pricing &amp; SKU'!$B$7*$B24)</f>
        <v>782.05000000000007</v>
      </c>
      <c r="F24" s="326">
        <f>IF(E24="","MANUAL",FLOOR(E24*'NC Credits'!$B$6/'NC Credits'!$B$7,1))</f>
        <v>39</v>
      </c>
      <c r="G24" s="325">
        <f>IF(IFERROR(ISNUMBER(SEARCH("Manual",$S24)),FALSE),"",'MVP1 Pricing &amp; SKU'!$B$9+MAX(4,'MVP1 Pricing &amp; SKU'!$B$5)*'MVP1 Pricing &amp; SKU'!$B$7*$B24)</f>
        <v>976.4</v>
      </c>
      <c r="H24" s="326">
        <f>IF(G24="","MANUAL",FLOOR(G24*'NC Credits'!$B$6/'NC Credits'!$B$7,1))</f>
        <v>48</v>
      </c>
      <c r="I24" s="325">
        <f>IF(IFERROR(ISNUMBER(SEARCH("Manual",$S24)),FALSE),"",'MVP1 Pricing &amp; SKU'!$B$9+MAX(5,'MVP1 Pricing &amp; SKU'!$B$5)*'MVP1 Pricing &amp; SKU'!$B$7*$B24)</f>
        <v>1170.75</v>
      </c>
      <c r="J24" s="326">
        <f>IF(I24="","MANUAL",FLOOR(I24*'NC Credits'!$B$6/'NC Credits'!$B$7,1))</f>
        <v>58</v>
      </c>
      <c r="K24" s="325">
        <f>IF(IFERROR(ISNUMBER(SEARCH("Manual",$S24)),FALSE),"",'MVP1 Pricing &amp; SKU'!$B$9+MAX(6,'MVP1 Pricing &amp; SKU'!$B$5)*'MVP1 Pricing &amp; SKU'!$B$7*$B24)</f>
        <v>1365.1000000000001</v>
      </c>
      <c r="L24" s="326">
        <f>IF(K24="","MANUAL",FLOOR(K24*'NC Credits'!$B$6/'NC Credits'!$B$7,1))</f>
        <v>68</v>
      </c>
      <c r="M24" s="325">
        <f>IF(IFERROR(ISNUMBER(SEARCH("Manual",$S24)),FALSE),"",'MVP1 Pricing &amp; SKU'!$B$9+MAX(8,'MVP1 Pricing &amp; SKU'!$B$5)*'MVP1 Pricing &amp; SKU'!$B$7*$B24)</f>
        <v>1753.8</v>
      </c>
      <c r="N24" s="326">
        <f>IF(M24="","MANUAL",FLOOR(M24*'NC Credits'!$B$6/'NC Credits'!$B$7,1))</f>
        <v>87</v>
      </c>
      <c r="O24" s="325">
        <f>IF(IFERROR(ISNUMBER(SEARCH("Manual",$S24)),FALSE),"",'MVP1 Pricing &amp; SKU'!$B$9+MAX(10,'MVP1 Pricing &amp; SKU'!$B$5)*'MVP1 Pricing &amp; SKU'!$B$7*$B24)</f>
        <v>2142.5</v>
      </c>
      <c r="P24" s="326">
        <f>IF(O24="","MANUAL",FLOOR(O24*'NC Credits'!$B$6/'NC Credits'!$B$7,1))</f>
        <v>107</v>
      </c>
      <c r="Q24" s="325">
        <f>IF(IFERROR(ISNUMBER(SEARCH("Manual",$S24)),FALSE),"",'MVP1 Pricing &amp; SKU'!$B$9+MAX(12,'MVP1 Pricing &amp; SKU'!$B$5)*'MVP1 Pricing &amp; SKU'!$B$7*$B24)</f>
        <v>2531.2000000000003</v>
      </c>
      <c r="R24" s="327">
        <f>IF(Q24="","MANUAL",FLOOR(Q24*'NC Credits'!$B$6/'NC Credits'!$B$7,1))</f>
        <v>126</v>
      </c>
      <c r="S24" t="str">
        <f>'Service Economics'!AH24</f>
        <v>AUTO</v>
      </c>
    </row>
    <row r="25" spans="1:19" ht="15">
      <c r="A25" s="323" t="str">
        <f>'Service Economics'!A25</f>
        <v>Medical Records Concierge</v>
      </c>
      <c r="B25" s="324">
        <f>'Service Economics'!D25</f>
        <v>0.6</v>
      </c>
      <c r="C25" s="325">
        <f>IF(IFERROR(ISNUMBER(SEARCH("Manual",$S25)),FALSE),"",'MVP1 Pricing &amp; SKU'!$B$9+MAX(2,'MVP1 Pricing &amp; SKU'!$B$5)*'MVP1 Pricing &amp; SKU'!$B$7*$B25)</f>
        <v>557.79999999999995</v>
      </c>
      <c r="D25" s="326">
        <f>IF(C25="","MANUAL",FLOOR(C25*'NC Credits'!$B$6/'NC Credits'!$B$7,1))</f>
        <v>27</v>
      </c>
      <c r="E25" s="325">
        <f>IF(IFERROR(ISNUMBER(SEARCH("Manual",$S25)),FALSE),"",'MVP1 Pricing &amp; SKU'!$B$9+MAX(3,'MVP1 Pricing &amp; SKU'!$B$5)*'MVP1 Pricing &amp; SKU'!$B$7*$B25)</f>
        <v>737.19999999999993</v>
      </c>
      <c r="F25" s="326">
        <f>IF(E25="","MANUAL",FLOOR(E25*'NC Credits'!$B$6/'NC Credits'!$B$7,1))</f>
        <v>36</v>
      </c>
      <c r="G25" s="325">
        <f>IF(IFERROR(ISNUMBER(SEARCH("Manual",$S25)),FALSE),"",'MVP1 Pricing &amp; SKU'!$B$9+MAX(4,'MVP1 Pricing &amp; SKU'!$B$5)*'MVP1 Pricing &amp; SKU'!$B$7*$B25)</f>
        <v>916.6</v>
      </c>
      <c r="H25" s="326">
        <f>IF(G25="","MANUAL",FLOOR(G25*'NC Credits'!$B$6/'NC Credits'!$B$7,1))</f>
        <v>45</v>
      </c>
      <c r="I25" s="325">
        <f>IF(IFERROR(ISNUMBER(SEARCH("Manual",$S25)),FALSE),"",'MVP1 Pricing &amp; SKU'!$B$9+MAX(5,'MVP1 Pricing &amp; SKU'!$B$5)*'MVP1 Pricing &amp; SKU'!$B$7*$B25)</f>
        <v>1096</v>
      </c>
      <c r="J25" s="326">
        <f>IF(I25="","MANUAL",FLOOR(I25*'NC Credits'!$B$6/'NC Credits'!$B$7,1))</f>
        <v>54</v>
      </c>
      <c r="K25" s="325">
        <f>IF(IFERROR(ISNUMBER(SEARCH("Manual",$S25)),FALSE),"",'MVP1 Pricing &amp; SKU'!$B$9+MAX(6,'MVP1 Pricing &amp; SKU'!$B$5)*'MVP1 Pricing &amp; SKU'!$B$7*$B25)</f>
        <v>1275.3999999999999</v>
      </c>
      <c r="L25" s="326">
        <f>IF(K25="","MANUAL",FLOOR(K25*'NC Credits'!$B$6/'NC Credits'!$B$7,1))</f>
        <v>63</v>
      </c>
      <c r="M25" s="325">
        <f>IF(IFERROR(ISNUMBER(SEARCH("Manual",$S25)),FALSE),"",'MVP1 Pricing &amp; SKU'!$B$9+MAX(8,'MVP1 Pricing &amp; SKU'!$B$5)*'MVP1 Pricing &amp; SKU'!$B$7*$B25)</f>
        <v>1634.2</v>
      </c>
      <c r="N25" s="326">
        <f>IF(M25="","MANUAL",FLOOR(M25*'NC Credits'!$B$6/'NC Credits'!$B$7,1))</f>
        <v>81</v>
      </c>
      <c r="O25" s="325">
        <f>IF(IFERROR(ISNUMBER(SEARCH("Manual",$S25)),FALSE),"",'MVP1 Pricing &amp; SKU'!$B$9+MAX(10,'MVP1 Pricing &amp; SKU'!$B$5)*'MVP1 Pricing &amp; SKU'!$B$7*$B25)</f>
        <v>1993</v>
      </c>
      <c r="P25" s="326">
        <f>IF(O25="","MANUAL",FLOOR(O25*'NC Credits'!$B$6/'NC Credits'!$B$7,1))</f>
        <v>99</v>
      </c>
      <c r="Q25" s="325">
        <f>IF(IFERROR(ISNUMBER(SEARCH("Manual",$S25)),FALSE),"",'MVP1 Pricing &amp; SKU'!$B$9+MAX(12,'MVP1 Pricing &amp; SKU'!$B$5)*'MVP1 Pricing &amp; SKU'!$B$7*$B25)</f>
        <v>2351.7999999999997</v>
      </c>
      <c r="R25" s="327">
        <f>IF(Q25="","MANUAL",FLOOR(Q25*'NC Credits'!$B$6/'NC Credits'!$B$7,1))</f>
        <v>117</v>
      </c>
      <c r="S25" t="str">
        <f>'Service Economics'!AH25</f>
        <v>AUTO</v>
      </c>
    </row>
    <row r="26" spans="1:19" ht="15">
      <c r="A26" s="323" t="str">
        <f>'Service Economics'!A26</f>
        <v>Insurance / TPA Desk Concierge</v>
      </c>
      <c r="B26" s="324">
        <f>'Service Economics'!D26</f>
        <v>0.75</v>
      </c>
      <c r="C26" s="325">
        <f>IF(IFERROR(ISNUMBER(SEARCH("Manual",$S26)),FALSE),"",'MVP1 Pricing &amp; SKU'!$B$9+MAX(2,'MVP1 Pricing &amp; SKU'!$B$5)*'MVP1 Pricing &amp; SKU'!$B$7*$B26)</f>
        <v>647.5</v>
      </c>
      <c r="D26" s="326">
        <f>IF(C26="","MANUAL",FLOOR(C26*'NC Credits'!$B$6/'NC Credits'!$B$7,1))</f>
        <v>32</v>
      </c>
      <c r="E26" s="325">
        <f>IF(IFERROR(ISNUMBER(SEARCH("Manual",$S26)),FALSE),"",'MVP1 Pricing &amp; SKU'!$B$9+MAX(3,'MVP1 Pricing &amp; SKU'!$B$5)*'MVP1 Pricing &amp; SKU'!$B$7*$B26)</f>
        <v>871.75</v>
      </c>
      <c r="F26" s="326">
        <f>IF(E26="","MANUAL",FLOOR(E26*'NC Credits'!$B$6/'NC Credits'!$B$7,1))</f>
        <v>43</v>
      </c>
      <c r="G26" s="325">
        <f>IF(IFERROR(ISNUMBER(SEARCH("Manual",$S26)),FALSE),"",'MVP1 Pricing &amp; SKU'!$B$9+MAX(4,'MVP1 Pricing &amp; SKU'!$B$5)*'MVP1 Pricing &amp; SKU'!$B$7*$B26)</f>
        <v>1096</v>
      </c>
      <c r="H26" s="326">
        <f>IF(G26="","MANUAL",FLOOR(G26*'NC Credits'!$B$6/'NC Credits'!$B$7,1))</f>
        <v>54</v>
      </c>
      <c r="I26" s="325">
        <f>IF(IFERROR(ISNUMBER(SEARCH("Manual",$S26)),FALSE),"",'MVP1 Pricing &amp; SKU'!$B$9+MAX(5,'MVP1 Pricing &amp; SKU'!$B$5)*'MVP1 Pricing &amp; SKU'!$B$7*$B26)</f>
        <v>1320.25</v>
      </c>
      <c r="J26" s="326">
        <f>IF(I26="","MANUAL",FLOOR(I26*'NC Credits'!$B$6/'NC Credits'!$B$7,1))</f>
        <v>66</v>
      </c>
      <c r="K26" s="325">
        <f>IF(IFERROR(ISNUMBER(SEARCH("Manual",$S26)),FALSE),"",'MVP1 Pricing &amp; SKU'!$B$9+MAX(6,'MVP1 Pricing &amp; SKU'!$B$5)*'MVP1 Pricing &amp; SKU'!$B$7*$B26)</f>
        <v>1544.5</v>
      </c>
      <c r="L26" s="326">
        <f>IF(K26="","MANUAL",FLOOR(K26*'NC Credits'!$B$6/'NC Credits'!$B$7,1))</f>
        <v>77</v>
      </c>
      <c r="M26" s="325">
        <f>IF(IFERROR(ISNUMBER(SEARCH("Manual",$S26)),FALSE),"",'MVP1 Pricing &amp; SKU'!$B$9+MAX(8,'MVP1 Pricing &amp; SKU'!$B$5)*'MVP1 Pricing &amp; SKU'!$B$7*$B26)</f>
        <v>1993</v>
      </c>
      <c r="N26" s="326">
        <f>IF(M26="","MANUAL",FLOOR(M26*'NC Credits'!$B$6/'NC Credits'!$B$7,1))</f>
        <v>99</v>
      </c>
      <c r="O26" s="325">
        <f>IF(IFERROR(ISNUMBER(SEARCH("Manual",$S26)),FALSE),"",'MVP1 Pricing &amp; SKU'!$B$9+MAX(10,'MVP1 Pricing &amp; SKU'!$B$5)*'MVP1 Pricing &amp; SKU'!$B$7*$B26)</f>
        <v>2441.5</v>
      </c>
      <c r="P26" s="326">
        <f>IF(O26="","MANUAL",FLOOR(O26*'NC Credits'!$B$6/'NC Credits'!$B$7,1))</f>
        <v>122</v>
      </c>
      <c r="Q26" s="325">
        <f>IF(IFERROR(ISNUMBER(SEARCH("Manual",$S26)),FALSE),"",'MVP1 Pricing &amp; SKU'!$B$9+MAX(12,'MVP1 Pricing &amp; SKU'!$B$5)*'MVP1 Pricing &amp; SKU'!$B$7*$B26)</f>
        <v>2890</v>
      </c>
      <c r="R26" s="327">
        <f>IF(Q26="","MANUAL",FLOOR(Q26*'NC Credits'!$B$6/'NC Credits'!$B$7,1))</f>
        <v>144</v>
      </c>
      <c r="S26" t="str">
        <f>'Service Economics'!AH26</f>
        <v>AUTO</v>
      </c>
    </row>
    <row r="27" spans="1:19" ht="15">
      <c r="A27" s="323" t="str">
        <f>'Service Economics'!A27</f>
        <v>Hospital Transfer Concierge</v>
      </c>
      <c r="B27" s="324">
        <f>'Service Economics'!D27</f>
        <v>1.1000000000000001</v>
      </c>
      <c r="C27" s="325">
        <f>IF(IFERROR(ISNUMBER(SEARCH("Manual",$S27)),FALSE),"",'MVP1 Pricing &amp; SKU'!$B$9+MAX(2,'MVP1 Pricing &amp; SKU'!$B$5)*'MVP1 Pricing &amp; SKU'!$B$7*$B27)</f>
        <v>856.80000000000007</v>
      </c>
      <c r="D27" s="326">
        <f>IF(C27="","MANUAL",FLOOR(C27*'NC Credits'!$B$6/'NC Credits'!$B$7,1))</f>
        <v>42</v>
      </c>
      <c r="E27" s="325">
        <f>IF(IFERROR(ISNUMBER(SEARCH("Manual",$S27)),FALSE),"",'MVP1 Pricing &amp; SKU'!$B$9+MAX(3,'MVP1 Pricing &amp; SKU'!$B$5)*'MVP1 Pricing &amp; SKU'!$B$7*$B27)</f>
        <v>1185.7</v>
      </c>
      <c r="F27" s="326">
        <f>IF(E27="","MANUAL",FLOOR(E27*'NC Credits'!$B$6/'NC Credits'!$B$7,1))</f>
        <v>59</v>
      </c>
      <c r="G27" s="325">
        <f>IF(IFERROR(ISNUMBER(SEARCH("Manual",$S27)),FALSE),"",'MVP1 Pricing &amp; SKU'!$B$9+MAX(4,'MVP1 Pricing &amp; SKU'!$B$5)*'MVP1 Pricing &amp; SKU'!$B$7*$B27)</f>
        <v>1514.6000000000001</v>
      </c>
      <c r="H27" s="326">
        <f>IF(G27="","MANUAL",FLOOR(G27*'NC Credits'!$B$6/'NC Credits'!$B$7,1))</f>
        <v>75</v>
      </c>
      <c r="I27" s="325">
        <f>IF(IFERROR(ISNUMBER(SEARCH("Manual",$S27)),FALSE),"",'MVP1 Pricing &amp; SKU'!$B$9+MAX(5,'MVP1 Pricing &amp; SKU'!$B$5)*'MVP1 Pricing &amp; SKU'!$B$7*$B27)</f>
        <v>1843.5000000000002</v>
      </c>
      <c r="J27" s="326">
        <f>IF(I27="","MANUAL",FLOOR(I27*'NC Credits'!$B$6/'NC Credits'!$B$7,1))</f>
        <v>92</v>
      </c>
      <c r="K27" s="325">
        <f>IF(IFERROR(ISNUMBER(SEARCH("Manual",$S27)),FALSE),"",'MVP1 Pricing &amp; SKU'!$B$9+MAX(6,'MVP1 Pricing &amp; SKU'!$B$5)*'MVP1 Pricing &amp; SKU'!$B$7*$B27)</f>
        <v>2172.4</v>
      </c>
      <c r="L27" s="326">
        <f>IF(K27="","MANUAL",FLOOR(K27*'NC Credits'!$B$6/'NC Credits'!$B$7,1))</f>
        <v>108</v>
      </c>
      <c r="M27" s="325">
        <f>IF(IFERROR(ISNUMBER(SEARCH("Manual",$S27)),FALSE),"",'MVP1 Pricing &amp; SKU'!$B$9+MAX(8,'MVP1 Pricing &amp; SKU'!$B$5)*'MVP1 Pricing &amp; SKU'!$B$7*$B27)</f>
        <v>2830.2000000000003</v>
      </c>
      <c r="N27" s="326">
        <f>IF(M27="","MANUAL",FLOOR(M27*'NC Credits'!$B$6/'NC Credits'!$B$7,1))</f>
        <v>141</v>
      </c>
      <c r="O27" s="325">
        <f>IF(IFERROR(ISNUMBER(SEARCH("Manual",$S27)),FALSE),"",'MVP1 Pricing &amp; SKU'!$B$9+MAX(10,'MVP1 Pricing &amp; SKU'!$B$5)*'MVP1 Pricing &amp; SKU'!$B$7*$B27)</f>
        <v>3488.0000000000005</v>
      </c>
      <c r="P27" s="326">
        <f>IF(O27="","MANUAL",FLOOR(O27*'NC Credits'!$B$6/'NC Credits'!$B$7,1))</f>
        <v>174</v>
      </c>
      <c r="Q27" s="325">
        <f>IF(IFERROR(ISNUMBER(SEARCH("Manual",$S27)),FALSE),"",'MVP1 Pricing &amp; SKU'!$B$9+MAX(12,'MVP1 Pricing &amp; SKU'!$B$5)*'MVP1 Pricing &amp; SKU'!$B$7*$B27)</f>
        <v>4145.8</v>
      </c>
      <c r="R27" s="327">
        <f>IF(Q27="","MANUAL",FLOOR(Q27*'NC Credits'!$B$6/'NC Credits'!$B$7,1))</f>
        <v>207</v>
      </c>
      <c r="S27" t="str">
        <f>'Service Economics'!AH27</f>
        <v>AUTO</v>
      </c>
    </row>
    <row r="28" spans="1:19" ht="15">
      <c r="A28" s="323" t="str">
        <f>'Service Economics'!A28</f>
        <v>Rehab / Nursing Facility Transfer</v>
      </c>
      <c r="B28" s="324">
        <f>'Service Economics'!D28</f>
        <v>1.05</v>
      </c>
      <c r="C28" s="325">
        <f>IF(IFERROR(ISNUMBER(SEARCH("Manual",$S28)),FALSE),"",'MVP1 Pricing &amp; SKU'!$B$9+MAX(2,'MVP1 Pricing &amp; SKU'!$B$5)*'MVP1 Pricing &amp; SKU'!$B$7*$B28)</f>
        <v>826.9</v>
      </c>
      <c r="D28" s="326">
        <f>IF(C28="","MANUAL",FLOOR(C28*'NC Credits'!$B$6/'NC Credits'!$B$7,1))</f>
        <v>41</v>
      </c>
      <c r="E28" s="325">
        <f>IF(IFERROR(ISNUMBER(SEARCH("Manual",$S28)),FALSE),"",'MVP1 Pricing &amp; SKU'!$B$9+MAX(3,'MVP1 Pricing &amp; SKU'!$B$5)*'MVP1 Pricing &amp; SKU'!$B$7*$B28)</f>
        <v>1140.8499999999999</v>
      </c>
      <c r="F28" s="326">
        <f>IF(E28="","MANUAL",FLOOR(E28*'NC Credits'!$B$6/'NC Credits'!$B$7,1))</f>
        <v>57</v>
      </c>
      <c r="G28" s="325">
        <f>IF(IFERROR(ISNUMBER(SEARCH("Manual",$S28)),FALSE),"",'MVP1 Pricing &amp; SKU'!$B$9+MAX(4,'MVP1 Pricing &amp; SKU'!$B$5)*'MVP1 Pricing &amp; SKU'!$B$7*$B28)</f>
        <v>1454.8</v>
      </c>
      <c r="H28" s="326">
        <f>IF(G28="","MANUAL",FLOOR(G28*'NC Credits'!$B$6/'NC Credits'!$B$7,1))</f>
        <v>72</v>
      </c>
      <c r="I28" s="325">
        <f>IF(IFERROR(ISNUMBER(SEARCH("Manual",$S28)),FALSE),"",'MVP1 Pricing &amp; SKU'!$B$9+MAX(5,'MVP1 Pricing &amp; SKU'!$B$5)*'MVP1 Pricing &amp; SKU'!$B$7*$B28)</f>
        <v>1768.75</v>
      </c>
      <c r="J28" s="326">
        <f>IF(I28="","MANUAL",FLOOR(I28*'NC Credits'!$B$6/'NC Credits'!$B$7,1))</f>
        <v>88</v>
      </c>
      <c r="K28" s="325">
        <f>IF(IFERROR(ISNUMBER(SEARCH("Manual",$S28)),FALSE),"",'MVP1 Pricing &amp; SKU'!$B$9+MAX(6,'MVP1 Pricing &amp; SKU'!$B$5)*'MVP1 Pricing &amp; SKU'!$B$7*$B28)</f>
        <v>2082.6999999999998</v>
      </c>
      <c r="L28" s="326">
        <f>IF(K28="","MANUAL",FLOOR(K28*'NC Credits'!$B$6/'NC Credits'!$B$7,1))</f>
        <v>104</v>
      </c>
      <c r="M28" s="325">
        <f>IF(IFERROR(ISNUMBER(SEARCH("Manual",$S28)),FALSE),"",'MVP1 Pricing &amp; SKU'!$B$9+MAX(8,'MVP1 Pricing &amp; SKU'!$B$5)*'MVP1 Pricing &amp; SKU'!$B$7*$B28)</f>
        <v>2710.6</v>
      </c>
      <c r="N28" s="326">
        <f>IF(M28="","MANUAL",FLOOR(M28*'NC Credits'!$B$6/'NC Credits'!$B$7,1))</f>
        <v>135</v>
      </c>
      <c r="O28" s="325">
        <f>IF(IFERROR(ISNUMBER(SEARCH("Manual",$S28)),FALSE),"",'MVP1 Pricing &amp; SKU'!$B$9+MAX(10,'MVP1 Pricing &amp; SKU'!$B$5)*'MVP1 Pricing &amp; SKU'!$B$7*$B28)</f>
        <v>3338.5</v>
      </c>
      <c r="P28" s="326">
        <f>IF(O28="","MANUAL",FLOOR(O28*'NC Credits'!$B$6/'NC Credits'!$B$7,1))</f>
        <v>166</v>
      </c>
      <c r="Q28" s="325">
        <f>IF(IFERROR(ISNUMBER(SEARCH("Manual",$S28)),FALSE),"",'MVP1 Pricing &amp; SKU'!$B$9+MAX(12,'MVP1 Pricing &amp; SKU'!$B$5)*'MVP1 Pricing &amp; SKU'!$B$7*$B28)</f>
        <v>3966.4</v>
      </c>
      <c r="R28" s="327">
        <f>IF(Q28="","MANUAL",FLOOR(Q28*'NC Credits'!$B$6/'NC Credits'!$B$7,1))</f>
        <v>198</v>
      </c>
      <c r="S28" t="str">
        <f>'Service Economics'!AH28</f>
        <v>AUTO</v>
      </c>
    </row>
    <row r="29" spans="1:19" ht="15">
      <c r="A29" s="323" t="str">
        <f>'Service Economics'!A29</f>
        <v>24×7 Urgent Care Coordination</v>
      </c>
      <c r="B29" s="324">
        <f>'Service Economics'!D29</f>
        <v>1.3</v>
      </c>
      <c r="C29" s="325">
        <f>IF(IFERROR(ISNUMBER(SEARCH("Manual",$S29)),FALSE),"",'MVP1 Pricing &amp; SKU'!$B$9+MAX(2,'MVP1 Pricing &amp; SKU'!$B$5)*'MVP1 Pricing &amp; SKU'!$B$7*$B29)</f>
        <v>976.4</v>
      </c>
      <c r="D29" s="326">
        <f>IF(C29="","MANUAL",FLOOR(C29*'NC Credits'!$B$6/'NC Credits'!$B$7,1))</f>
        <v>48</v>
      </c>
      <c r="E29" s="325">
        <f>IF(IFERROR(ISNUMBER(SEARCH("Manual",$S29)),FALSE),"",'MVP1 Pricing &amp; SKU'!$B$9+MAX(3,'MVP1 Pricing &amp; SKU'!$B$5)*'MVP1 Pricing &amp; SKU'!$B$7*$B29)</f>
        <v>1365.1000000000001</v>
      </c>
      <c r="F29" s="326">
        <f>IF(E29="","MANUAL",FLOOR(E29*'NC Credits'!$B$6/'NC Credits'!$B$7,1))</f>
        <v>68</v>
      </c>
      <c r="G29" s="325">
        <f>IF(IFERROR(ISNUMBER(SEARCH("Manual",$S29)),FALSE),"",'MVP1 Pricing &amp; SKU'!$B$9+MAX(4,'MVP1 Pricing &amp; SKU'!$B$5)*'MVP1 Pricing &amp; SKU'!$B$7*$B29)</f>
        <v>1753.8</v>
      </c>
      <c r="H29" s="326">
        <f>IF(G29="","MANUAL",FLOOR(G29*'NC Credits'!$B$6/'NC Credits'!$B$7,1))</f>
        <v>87</v>
      </c>
      <c r="I29" s="325">
        <f>IF(IFERROR(ISNUMBER(SEARCH("Manual",$S29)),FALSE),"",'MVP1 Pricing &amp; SKU'!$B$9+MAX(5,'MVP1 Pricing &amp; SKU'!$B$5)*'MVP1 Pricing &amp; SKU'!$B$7*$B29)</f>
        <v>2142.5</v>
      </c>
      <c r="J29" s="326">
        <f>IF(I29="","MANUAL",FLOOR(I29*'NC Credits'!$B$6/'NC Credits'!$B$7,1))</f>
        <v>107</v>
      </c>
      <c r="K29" s="325">
        <f>IF(IFERROR(ISNUMBER(SEARCH("Manual",$S29)),FALSE),"",'MVP1 Pricing &amp; SKU'!$B$9+MAX(6,'MVP1 Pricing &amp; SKU'!$B$5)*'MVP1 Pricing &amp; SKU'!$B$7*$B29)</f>
        <v>2531.2000000000003</v>
      </c>
      <c r="L29" s="326">
        <f>IF(K29="","MANUAL",FLOOR(K29*'NC Credits'!$B$6/'NC Credits'!$B$7,1))</f>
        <v>126</v>
      </c>
      <c r="M29" s="325">
        <f>IF(IFERROR(ISNUMBER(SEARCH("Manual",$S29)),FALSE),"",'MVP1 Pricing &amp; SKU'!$B$9+MAX(8,'MVP1 Pricing &amp; SKU'!$B$5)*'MVP1 Pricing &amp; SKU'!$B$7*$B29)</f>
        <v>3308.6</v>
      </c>
      <c r="N29" s="326">
        <f>IF(M29="","MANUAL",FLOOR(M29*'NC Credits'!$B$6/'NC Credits'!$B$7,1))</f>
        <v>165</v>
      </c>
      <c r="O29" s="325">
        <f>IF(IFERROR(ISNUMBER(SEARCH("Manual",$S29)),FALSE),"",'MVP1 Pricing &amp; SKU'!$B$9+MAX(10,'MVP1 Pricing &amp; SKU'!$B$5)*'MVP1 Pricing &amp; SKU'!$B$7*$B29)</f>
        <v>4086</v>
      </c>
      <c r="P29" s="326">
        <f>IF(O29="","MANUAL",FLOOR(O29*'NC Credits'!$B$6/'NC Credits'!$B$7,1))</f>
        <v>204</v>
      </c>
      <c r="Q29" s="325">
        <f>IF(IFERROR(ISNUMBER(SEARCH("Manual",$S29)),FALSE),"",'MVP1 Pricing &amp; SKU'!$B$9+MAX(12,'MVP1 Pricing &amp; SKU'!$B$5)*'MVP1 Pricing &amp; SKU'!$B$7*$B29)</f>
        <v>4863.4000000000005</v>
      </c>
      <c r="R29" s="327">
        <f>IF(Q29="","MANUAL",FLOOR(Q29*'NC Credits'!$B$6/'NC Credits'!$B$7,1))</f>
        <v>243</v>
      </c>
      <c r="S29" t="str">
        <f>'Service Economics'!AH29</f>
        <v>AUTO</v>
      </c>
    </row>
    <row r="30" spans="1:19" ht="15">
      <c r="A30" s="323" t="str">
        <f>'Service Economics'!A30</f>
        <v>Doctor-at-Home Coordination</v>
      </c>
      <c r="B30" s="324">
        <f>'Service Economics'!D30</f>
        <v>0.85</v>
      </c>
      <c r="C30" s="325">
        <f>IF(IFERROR(ISNUMBER(SEARCH("Manual",$S30)),FALSE),"",'MVP1 Pricing &amp; SKU'!$B$9+MAX(2,'MVP1 Pricing &amp; SKU'!$B$5)*'MVP1 Pricing &amp; SKU'!$B$7*$B30)</f>
        <v>707.3</v>
      </c>
      <c r="D30" s="326">
        <f>IF(C30="","MANUAL",FLOOR(C30*'NC Credits'!$B$6/'NC Credits'!$B$7,1))</f>
        <v>35</v>
      </c>
      <c r="E30" s="325">
        <f>IF(IFERROR(ISNUMBER(SEARCH("Manual",$S30)),FALSE),"",'MVP1 Pricing &amp; SKU'!$B$9+MAX(3,'MVP1 Pricing &amp; SKU'!$B$5)*'MVP1 Pricing &amp; SKU'!$B$7*$B30)</f>
        <v>961.44999999999993</v>
      </c>
      <c r="F30" s="326">
        <f>IF(E30="","MANUAL",FLOOR(E30*'NC Credits'!$B$6/'NC Credits'!$B$7,1))</f>
        <v>48</v>
      </c>
      <c r="G30" s="325">
        <f>IF(IFERROR(ISNUMBER(SEARCH("Manual",$S30)),FALSE),"",'MVP1 Pricing &amp; SKU'!$B$9+MAX(4,'MVP1 Pricing &amp; SKU'!$B$5)*'MVP1 Pricing &amp; SKU'!$B$7*$B30)</f>
        <v>1215.5999999999999</v>
      </c>
      <c r="H30" s="326">
        <f>IF(G30="","MANUAL",FLOOR(G30*'NC Credits'!$B$6/'NC Credits'!$B$7,1))</f>
        <v>60</v>
      </c>
      <c r="I30" s="325">
        <f>IF(IFERROR(ISNUMBER(SEARCH("Manual",$S30)),FALSE),"",'MVP1 Pricing &amp; SKU'!$B$9+MAX(5,'MVP1 Pricing &amp; SKU'!$B$5)*'MVP1 Pricing &amp; SKU'!$B$7*$B30)</f>
        <v>1469.75</v>
      </c>
      <c r="J30" s="326">
        <f>IF(I30="","MANUAL",FLOOR(I30*'NC Credits'!$B$6/'NC Credits'!$B$7,1))</f>
        <v>73</v>
      </c>
      <c r="K30" s="325">
        <f>IF(IFERROR(ISNUMBER(SEARCH("Manual",$S30)),FALSE),"",'MVP1 Pricing &amp; SKU'!$B$9+MAX(6,'MVP1 Pricing &amp; SKU'!$B$5)*'MVP1 Pricing &amp; SKU'!$B$7*$B30)</f>
        <v>1723.8999999999999</v>
      </c>
      <c r="L30" s="326">
        <f>IF(K30="","MANUAL",FLOOR(K30*'NC Credits'!$B$6/'NC Credits'!$B$7,1))</f>
        <v>86</v>
      </c>
      <c r="M30" s="325">
        <f>IF(IFERROR(ISNUMBER(SEARCH("Manual",$S30)),FALSE),"",'MVP1 Pricing &amp; SKU'!$B$9+MAX(8,'MVP1 Pricing &amp; SKU'!$B$5)*'MVP1 Pricing &amp; SKU'!$B$7*$B30)</f>
        <v>2232.1999999999998</v>
      </c>
      <c r="N30" s="326">
        <f>IF(M30="","MANUAL",FLOOR(M30*'NC Credits'!$B$6/'NC Credits'!$B$7,1))</f>
        <v>111</v>
      </c>
      <c r="O30" s="325">
        <f>IF(IFERROR(ISNUMBER(SEARCH("Manual",$S30)),FALSE),"",'MVP1 Pricing &amp; SKU'!$B$9+MAX(10,'MVP1 Pricing &amp; SKU'!$B$5)*'MVP1 Pricing &amp; SKU'!$B$7*$B30)</f>
        <v>2740.5</v>
      </c>
      <c r="P30" s="326">
        <f>IF(O30="","MANUAL",FLOOR(O30*'NC Credits'!$B$6/'NC Credits'!$B$7,1))</f>
        <v>137</v>
      </c>
      <c r="Q30" s="325">
        <f>IF(IFERROR(ISNUMBER(SEARCH("Manual",$S30)),FALSE),"",'MVP1 Pricing &amp; SKU'!$B$9+MAX(12,'MVP1 Pricing &amp; SKU'!$B$5)*'MVP1 Pricing &amp; SKU'!$B$7*$B30)</f>
        <v>3248.7999999999997</v>
      </c>
      <c r="R30" s="327">
        <f>IF(Q30="","MANUAL",FLOOR(Q30*'NC Credits'!$B$6/'NC Credits'!$B$7,1))</f>
        <v>162</v>
      </c>
      <c r="S30" t="str">
        <f>'Service Economics'!AH30</f>
        <v>AUTO</v>
      </c>
    </row>
    <row r="31" spans="1:19" ht="15">
      <c r="A31" s="323" t="str">
        <f>'Service Economics'!A31</f>
        <v>Nurse-at-Home Coordination</v>
      </c>
      <c r="B31" s="324">
        <f>'Service Economics'!D31</f>
        <v>0.85</v>
      </c>
      <c r="C31" s="325">
        <f>IF(IFERROR(ISNUMBER(SEARCH("Manual",$S31)),FALSE),"",'MVP1 Pricing &amp; SKU'!$B$9+MAX(2,'MVP1 Pricing &amp; SKU'!$B$5)*'MVP1 Pricing &amp; SKU'!$B$7*$B31)</f>
        <v>707.3</v>
      </c>
      <c r="D31" s="326">
        <f>IF(C31="","MANUAL",FLOOR(C31*'NC Credits'!$B$6/'NC Credits'!$B$7,1))</f>
        <v>35</v>
      </c>
      <c r="E31" s="325">
        <f>IF(IFERROR(ISNUMBER(SEARCH("Manual",$S31)),FALSE),"",'MVP1 Pricing &amp; SKU'!$B$9+MAX(3,'MVP1 Pricing &amp; SKU'!$B$5)*'MVP1 Pricing &amp; SKU'!$B$7*$B31)</f>
        <v>961.44999999999993</v>
      </c>
      <c r="F31" s="326">
        <f>IF(E31="","MANUAL",FLOOR(E31*'NC Credits'!$B$6/'NC Credits'!$B$7,1))</f>
        <v>48</v>
      </c>
      <c r="G31" s="325">
        <f>IF(IFERROR(ISNUMBER(SEARCH("Manual",$S31)),FALSE),"",'MVP1 Pricing &amp; SKU'!$B$9+MAX(4,'MVP1 Pricing &amp; SKU'!$B$5)*'MVP1 Pricing &amp; SKU'!$B$7*$B31)</f>
        <v>1215.5999999999999</v>
      </c>
      <c r="H31" s="326">
        <f>IF(G31="","MANUAL",FLOOR(G31*'NC Credits'!$B$6/'NC Credits'!$B$7,1))</f>
        <v>60</v>
      </c>
      <c r="I31" s="325">
        <f>IF(IFERROR(ISNUMBER(SEARCH("Manual",$S31)),FALSE),"",'MVP1 Pricing &amp; SKU'!$B$9+MAX(5,'MVP1 Pricing &amp; SKU'!$B$5)*'MVP1 Pricing &amp; SKU'!$B$7*$B31)</f>
        <v>1469.75</v>
      </c>
      <c r="J31" s="326">
        <f>IF(I31="","MANUAL",FLOOR(I31*'NC Credits'!$B$6/'NC Credits'!$B$7,1))</f>
        <v>73</v>
      </c>
      <c r="K31" s="325">
        <f>IF(IFERROR(ISNUMBER(SEARCH("Manual",$S31)),FALSE),"",'MVP1 Pricing &amp; SKU'!$B$9+MAX(6,'MVP1 Pricing &amp; SKU'!$B$5)*'MVP1 Pricing &amp; SKU'!$B$7*$B31)</f>
        <v>1723.8999999999999</v>
      </c>
      <c r="L31" s="326">
        <f>IF(K31="","MANUAL",FLOOR(K31*'NC Credits'!$B$6/'NC Credits'!$B$7,1))</f>
        <v>86</v>
      </c>
      <c r="M31" s="325">
        <f>IF(IFERROR(ISNUMBER(SEARCH("Manual",$S31)),FALSE),"",'MVP1 Pricing &amp; SKU'!$B$9+MAX(8,'MVP1 Pricing &amp; SKU'!$B$5)*'MVP1 Pricing &amp; SKU'!$B$7*$B31)</f>
        <v>2232.1999999999998</v>
      </c>
      <c r="N31" s="326">
        <f>IF(M31="","MANUAL",FLOOR(M31*'NC Credits'!$B$6/'NC Credits'!$B$7,1))</f>
        <v>111</v>
      </c>
      <c r="O31" s="325">
        <f>IF(IFERROR(ISNUMBER(SEARCH("Manual",$S31)),FALSE),"",'MVP1 Pricing &amp; SKU'!$B$9+MAX(10,'MVP1 Pricing &amp; SKU'!$B$5)*'MVP1 Pricing &amp; SKU'!$B$7*$B31)</f>
        <v>2740.5</v>
      </c>
      <c r="P31" s="326">
        <f>IF(O31="","MANUAL",FLOOR(O31*'NC Credits'!$B$6/'NC Credits'!$B$7,1))</f>
        <v>137</v>
      </c>
      <c r="Q31" s="325">
        <f>IF(IFERROR(ISNUMBER(SEARCH("Manual",$S31)),FALSE),"",'MVP1 Pricing &amp; SKU'!$B$9+MAX(12,'MVP1 Pricing &amp; SKU'!$B$5)*'MVP1 Pricing &amp; SKU'!$B$7*$B31)</f>
        <v>3248.7999999999997</v>
      </c>
      <c r="R31" s="327">
        <f>IF(Q31="","MANUAL",FLOOR(Q31*'NC Credits'!$B$6/'NC Credits'!$B$7,1))</f>
        <v>162</v>
      </c>
      <c r="S31" t="str">
        <f>'Service Economics'!AH31</f>
        <v>AUTO</v>
      </c>
    </row>
    <row r="32" spans="1:19" ht="30">
      <c r="A32" s="323" t="str">
        <f>'Service Economics'!A32</f>
        <v>Medical Tourism — Concierge Package (24 HR Basis)</v>
      </c>
      <c r="B32" s="324">
        <f>'Service Economics'!D32</f>
        <v>2</v>
      </c>
      <c r="C32" s="325" t="str">
        <f>IF(IFERROR(ISNUMBER(SEARCH("Manual",$S32)),FALSE),"",'MVP1 Pricing &amp; SKU'!$B$9+MAX(2,'MVP1 Pricing &amp; SKU'!$B$5)*'MVP1 Pricing &amp; SKU'!$B$7*$B32)</f>
        <v/>
      </c>
      <c r="D32" s="326" t="str">
        <f>IF(C32="","MANUAL",FLOOR(C32*'NC Credits'!$B$6/'NC Credits'!$B$7,1))</f>
        <v>MANUAL</v>
      </c>
      <c r="E32" s="325" t="str">
        <f>IF(IFERROR(ISNUMBER(SEARCH("Manual",$S32)),FALSE),"",'MVP1 Pricing &amp; SKU'!$B$9+MAX(3,'MVP1 Pricing &amp; SKU'!$B$5)*'MVP1 Pricing &amp; SKU'!$B$7*$B32)</f>
        <v/>
      </c>
      <c r="F32" s="326" t="str">
        <f>IF(E32="","MANUAL",FLOOR(E32*'NC Credits'!$B$6/'NC Credits'!$B$7,1))</f>
        <v>MANUAL</v>
      </c>
      <c r="G32" s="325" t="str">
        <f>IF(IFERROR(ISNUMBER(SEARCH("Manual",$S32)),FALSE),"",'MVP1 Pricing &amp; SKU'!$B$9+MAX(4,'MVP1 Pricing &amp; SKU'!$B$5)*'MVP1 Pricing &amp; SKU'!$B$7*$B32)</f>
        <v/>
      </c>
      <c r="H32" s="326" t="str">
        <f>IF(G32="","MANUAL",FLOOR(G32*'NC Credits'!$B$6/'NC Credits'!$B$7,1))</f>
        <v>MANUAL</v>
      </c>
      <c r="I32" s="325" t="str">
        <f>IF(IFERROR(ISNUMBER(SEARCH("Manual",$S32)),FALSE),"",'MVP1 Pricing &amp; SKU'!$B$9+MAX(5,'MVP1 Pricing &amp; SKU'!$B$5)*'MVP1 Pricing &amp; SKU'!$B$7*$B32)</f>
        <v/>
      </c>
      <c r="J32" s="326" t="str">
        <f>IF(I32="","MANUAL",FLOOR(I32*'NC Credits'!$B$6/'NC Credits'!$B$7,1))</f>
        <v>MANUAL</v>
      </c>
      <c r="K32" s="325" t="str">
        <f>IF(IFERROR(ISNUMBER(SEARCH("Manual",$S32)),FALSE),"",'MVP1 Pricing &amp; SKU'!$B$9+MAX(6,'MVP1 Pricing &amp; SKU'!$B$5)*'MVP1 Pricing &amp; SKU'!$B$7*$B32)</f>
        <v/>
      </c>
      <c r="L32" s="326" t="str">
        <f>IF(K32="","MANUAL",FLOOR(K32*'NC Credits'!$B$6/'NC Credits'!$B$7,1))</f>
        <v>MANUAL</v>
      </c>
      <c r="M32" s="325" t="str">
        <f>IF(IFERROR(ISNUMBER(SEARCH("Manual",$S32)),FALSE),"",'MVP1 Pricing &amp; SKU'!$B$9+MAX(8,'MVP1 Pricing &amp; SKU'!$B$5)*'MVP1 Pricing &amp; SKU'!$B$7*$B32)</f>
        <v/>
      </c>
      <c r="N32" s="326" t="str">
        <f>IF(M32="","MANUAL",FLOOR(M32*'NC Credits'!$B$6/'NC Credits'!$B$7,1))</f>
        <v>MANUAL</v>
      </c>
      <c r="O32" s="325" t="str">
        <f>IF(IFERROR(ISNUMBER(SEARCH("Manual",$S32)),FALSE),"",'MVP1 Pricing &amp; SKU'!$B$9+MAX(10,'MVP1 Pricing &amp; SKU'!$B$5)*'MVP1 Pricing &amp; SKU'!$B$7*$B32)</f>
        <v/>
      </c>
      <c r="P32" s="326" t="str">
        <f>IF(O32="","MANUAL",FLOOR(O32*'NC Credits'!$B$6/'NC Credits'!$B$7,1))</f>
        <v>MANUAL</v>
      </c>
      <c r="Q32" s="325" t="str">
        <f>IF(IFERROR(ISNUMBER(SEARCH("Manual",$S32)),FALSE),"",'MVP1 Pricing &amp; SKU'!$B$9+MAX(12,'MVP1 Pricing &amp; SKU'!$B$5)*'MVP1 Pricing &amp; SKU'!$B$7*$B32)</f>
        <v/>
      </c>
      <c r="R32" s="327" t="str">
        <f>IF(Q32="","MANUAL",FLOOR(Q32*'NC Credits'!$B$6/'NC Credits'!$B$7,1))</f>
        <v>MANUAL</v>
      </c>
      <c r="S32" t="str">
        <f>'Service Economics'!AH32</f>
        <v>MANUAL</v>
      </c>
    </row>
    <row r="33" spans="1:19" ht="15">
      <c r="A33" s="323" t="str">
        <f>'Service Economics'!A33</f>
        <v>Pharmacy / Prescription Coordination</v>
      </c>
      <c r="B33" s="324">
        <f>'Service Economics'!D33</f>
        <v>0.65</v>
      </c>
      <c r="C33" s="325">
        <f>IF(IFERROR(ISNUMBER(SEARCH("Manual",$S33)),FALSE),"",'MVP1 Pricing &amp; SKU'!$B$9+MAX(2,'MVP1 Pricing &amp; SKU'!$B$5)*'MVP1 Pricing &amp; SKU'!$B$7*$B33)</f>
        <v>587.70000000000005</v>
      </c>
      <c r="D33" s="326">
        <f>IF(C33="","MANUAL",FLOOR(C33*'NC Credits'!$B$6/'NC Credits'!$B$7,1))</f>
        <v>29</v>
      </c>
      <c r="E33" s="325">
        <f>IF(IFERROR(ISNUMBER(SEARCH("Manual",$S33)),FALSE),"",'MVP1 Pricing &amp; SKU'!$B$9+MAX(3,'MVP1 Pricing &amp; SKU'!$B$5)*'MVP1 Pricing &amp; SKU'!$B$7*$B33)</f>
        <v>782.05000000000007</v>
      </c>
      <c r="F33" s="326">
        <f>IF(E33="","MANUAL",FLOOR(E33*'NC Credits'!$B$6/'NC Credits'!$B$7,1))</f>
        <v>39</v>
      </c>
      <c r="G33" s="325">
        <f>IF(IFERROR(ISNUMBER(SEARCH("Manual",$S33)),FALSE),"",'MVP1 Pricing &amp; SKU'!$B$9+MAX(4,'MVP1 Pricing &amp; SKU'!$B$5)*'MVP1 Pricing &amp; SKU'!$B$7*$B33)</f>
        <v>976.4</v>
      </c>
      <c r="H33" s="326">
        <f>IF(G33="","MANUAL",FLOOR(G33*'NC Credits'!$B$6/'NC Credits'!$B$7,1))</f>
        <v>48</v>
      </c>
      <c r="I33" s="325">
        <f>IF(IFERROR(ISNUMBER(SEARCH("Manual",$S33)),FALSE),"",'MVP1 Pricing &amp; SKU'!$B$9+MAX(5,'MVP1 Pricing &amp; SKU'!$B$5)*'MVP1 Pricing &amp; SKU'!$B$7*$B33)</f>
        <v>1170.75</v>
      </c>
      <c r="J33" s="326">
        <f>IF(I33="","MANUAL",FLOOR(I33*'NC Credits'!$B$6/'NC Credits'!$B$7,1))</f>
        <v>58</v>
      </c>
      <c r="K33" s="325">
        <f>IF(IFERROR(ISNUMBER(SEARCH("Manual",$S33)),FALSE),"",'MVP1 Pricing &amp; SKU'!$B$9+MAX(6,'MVP1 Pricing &amp; SKU'!$B$5)*'MVP1 Pricing &amp; SKU'!$B$7*$B33)</f>
        <v>1365.1000000000001</v>
      </c>
      <c r="L33" s="326">
        <f>IF(K33="","MANUAL",FLOOR(K33*'NC Credits'!$B$6/'NC Credits'!$B$7,1))</f>
        <v>68</v>
      </c>
      <c r="M33" s="325">
        <f>IF(IFERROR(ISNUMBER(SEARCH("Manual",$S33)),FALSE),"",'MVP1 Pricing &amp; SKU'!$B$9+MAX(8,'MVP1 Pricing &amp; SKU'!$B$5)*'MVP1 Pricing &amp; SKU'!$B$7*$B33)</f>
        <v>1753.8</v>
      </c>
      <c r="N33" s="326">
        <f>IF(M33="","MANUAL",FLOOR(M33*'NC Credits'!$B$6/'NC Credits'!$B$7,1))</f>
        <v>87</v>
      </c>
      <c r="O33" s="325">
        <f>IF(IFERROR(ISNUMBER(SEARCH("Manual",$S33)),FALSE),"",'MVP1 Pricing &amp; SKU'!$B$9+MAX(10,'MVP1 Pricing &amp; SKU'!$B$5)*'MVP1 Pricing &amp; SKU'!$B$7*$B33)</f>
        <v>2142.5</v>
      </c>
      <c r="P33" s="326">
        <f>IF(O33="","MANUAL",FLOOR(O33*'NC Credits'!$B$6/'NC Credits'!$B$7,1))</f>
        <v>107</v>
      </c>
      <c r="Q33" s="325">
        <f>IF(IFERROR(ISNUMBER(SEARCH("Manual",$S33)),FALSE),"",'MVP1 Pricing &amp; SKU'!$B$9+MAX(12,'MVP1 Pricing &amp; SKU'!$B$5)*'MVP1 Pricing &amp; SKU'!$B$7*$B33)</f>
        <v>2531.2000000000003</v>
      </c>
      <c r="R33" s="327">
        <f>IF(Q33="","MANUAL",FLOOR(Q33*'NC Credits'!$B$6/'NC Credits'!$B$7,1))</f>
        <v>126</v>
      </c>
      <c r="S33" t="str">
        <f>'Service Economics'!AH33</f>
        <v>AUTO</v>
      </c>
    </row>
    <row r="34" spans="1:19" ht="15">
      <c r="A34" s="328" t="str">
        <f>'Service Economics'!A34</f>
        <v>Family Medical Update Concierge</v>
      </c>
      <c r="B34" s="329">
        <f>'Service Economics'!D34</f>
        <v>0.65</v>
      </c>
      <c r="C34" s="330">
        <f>IF(IFERROR(ISNUMBER(SEARCH("Manual",$S34)),FALSE),"",'MVP1 Pricing &amp; SKU'!$B$9+MAX(2,'MVP1 Pricing &amp; SKU'!$B$5)*'MVP1 Pricing &amp; SKU'!$B$7*$B34)</f>
        <v>587.70000000000005</v>
      </c>
      <c r="D34" s="331">
        <f>IF(C34="","MANUAL",FLOOR(C34*'NC Credits'!$B$6/'NC Credits'!$B$7,1))</f>
        <v>29</v>
      </c>
      <c r="E34" s="330">
        <f>IF(IFERROR(ISNUMBER(SEARCH("Manual",$S34)),FALSE),"",'MVP1 Pricing &amp; SKU'!$B$9+MAX(3,'MVP1 Pricing &amp; SKU'!$B$5)*'MVP1 Pricing &amp; SKU'!$B$7*$B34)</f>
        <v>782.05000000000007</v>
      </c>
      <c r="F34" s="331">
        <f>IF(E34="","MANUAL",FLOOR(E34*'NC Credits'!$B$6/'NC Credits'!$B$7,1))</f>
        <v>39</v>
      </c>
      <c r="G34" s="330">
        <f>IF(IFERROR(ISNUMBER(SEARCH("Manual",$S34)),FALSE),"",'MVP1 Pricing &amp; SKU'!$B$9+MAX(4,'MVP1 Pricing &amp; SKU'!$B$5)*'MVP1 Pricing &amp; SKU'!$B$7*$B34)</f>
        <v>976.4</v>
      </c>
      <c r="H34" s="331">
        <f>IF(G34="","MANUAL",FLOOR(G34*'NC Credits'!$B$6/'NC Credits'!$B$7,1))</f>
        <v>48</v>
      </c>
      <c r="I34" s="330">
        <f>IF(IFERROR(ISNUMBER(SEARCH("Manual",$S34)),FALSE),"",'MVP1 Pricing &amp; SKU'!$B$9+MAX(5,'MVP1 Pricing &amp; SKU'!$B$5)*'MVP1 Pricing &amp; SKU'!$B$7*$B34)</f>
        <v>1170.75</v>
      </c>
      <c r="J34" s="331">
        <f>IF(I34="","MANUAL",FLOOR(I34*'NC Credits'!$B$6/'NC Credits'!$B$7,1))</f>
        <v>58</v>
      </c>
      <c r="K34" s="330">
        <f>IF(IFERROR(ISNUMBER(SEARCH("Manual",$S34)),FALSE),"",'MVP1 Pricing &amp; SKU'!$B$9+MAX(6,'MVP1 Pricing &amp; SKU'!$B$5)*'MVP1 Pricing &amp; SKU'!$B$7*$B34)</f>
        <v>1365.1000000000001</v>
      </c>
      <c r="L34" s="331">
        <f>IF(K34="","MANUAL",FLOOR(K34*'NC Credits'!$B$6/'NC Credits'!$B$7,1))</f>
        <v>68</v>
      </c>
      <c r="M34" s="330">
        <f>IF(IFERROR(ISNUMBER(SEARCH("Manual",$S34)),FALSE),"",'MVP1 Pricing &amp; SKU'!$B$9+MAX(8,'MVP1 Pricing &amp; SKU'!$B$5)*'MVP1 Pricing &amp; SKU'!$B$7*$B34)</f>
        <v>1753.8</v>
      </c>
      <c r="N34" s="331">
        <f>IF(M34="","MANUAL",FLOOR(M34*'NC Credits'!$B$6/'NC Credits'!$B$7,1))</f>
        <v>87</v>
      </c>
      <c r="O34" s="330">
        <f>IF(IFERROR(ISNUMBER(SEARCH("Manual",$S34)),FALSE),"",'MVP1 Pricing &amp; SKU'!$B$9+MAX(10,'MVP1 Pricing &amp; SKU'!$B$5)*'MVP1 Pricing &amp; SKU'!$B$7*$B34)</f>
        <v>2142.5</v>
      </c>
      <c r="P34" s="331">
        <f>IF(O34="","MANUAL",FLOOR(O34*'NC Credits'!$B$6/'NC Credits'!$B$7,1))</f>
        <v>107</v>
      </c>
      <c r="Q34" s="330">
        <f>IF(IFERROR(ISNUMBER(SEARCH("Manual",$S34)),FALSE),"",'MVP1 Pricing &amp; SKU'!$B$9+MAX(12,'MVP1 Pricing &amp; SKU'!$B$5)*'MVP1 Pricing &amp; SKU'!$B$7*$B34)</f>
        <v>2531.2000000000003</v>
      </c>
      <c r="R34" s="332">
        <f>IF(Q34="","MANUAL",FLOOR(Q34*'NC Credits'!$B$6/'NC Credits'!$B$7,1))</f>
        <v>126</v>
      </c>
      <c r="S34" t="str">
        <f>'Service Economics'!AH34</f>
        <v>AUTO</v>
      </c>
    </row>
    <row r="36" spans="1:19">
      <c r="A36" s="622" t="s">
        <v>2020</v>
      </c>
      <c r="B36" s="622"/>
      <c r="C36" s="622"/>
      <c r="D36" s="622"/>
      <c r="E36" s="622"/>
      <c r="F36" s="622"/>
      <c r="G36" s="622"/>
      <c r="H36" s="622"/>
      <c r="I36" s="622"/>
      <c r="J36" s="622"/>
      <c r="K36" s="622"/>
      <c r="L36" s="622"/>
      <c r="M36" s="622"/>
      <c r="N36" s="622"/>
      <c r="O36" s="622"/>
      <c r="P36" s="622"/>
      <c r="Q36" s="622"/>
      <c r="R36" s="622"/>
    </row>
    <row r="37" spans="1:19">
      <c r="A37" s="622"/>
      <c r="B37" s="622"/>
      <c r="C37" s="622"/>
      <c r="D37" s="622"/>
      <c r="E37" s="622"/>
      <c r="F37" s="622"/>
      <c r="G37" s="622"/>
      <c r="H37" s="622"/>
      <c r="I37" s="622"/>
      <c r="J37" s="622"/>
      <c r="K37" s="622"/>
      <c r="L37" s="622"/>
      <c r="M37" s="622"/>
      <c r="N37" s="622"/>
      <c r="O37" s="622"/>
      <c r="P37" s="622"/>
      <c r="Q37" s="622"/>
      <c r="R37" s="622"/>
    </row>
  </sheetData>
  <mergeCells count="3">
    <mergeCell ref="A1:R1"/>
    <mergeCell ref="A2:R2"/>
    <mergeCell ref="A36:R3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0"/>
  <sheetViews>
    <sheetView workbookViewId="0"/>
  </sheetViews>
  <sheetFormatPr baseColWidth="10" defaultColWidth="8.83203125" defaultRowHeight="14"/>
  <cols>
    <col min="1" max="1" width="36" customWidth="1"/>
    <col min="2" max="2" width="16" customWidth="1"/>
    <col min="3" max="4" width="22" customWidth="1"/>
    <col min="5" max="5" width="42" customWidth="1"/>
    <col min="6" max="6" width="20" customWidth="1"/>
  </cols>
  <sheetData>
    <row r="1" spans="1:6" ht="40" customHeight="1">
      <c r="A1" s="623" t="s">
        <v>2021</v>
      </c>
      <c r="B1" s="623"/>
      <c r="C1" s="623"/>
      <c r="D1" s="623"/>
      <c r="E1" s="623"/>
      <c r="F1" s="623"/>
    </row>
    <row r="2" spans="1:6">
      <c r="A2" s="624" t="s">
        <v>2022</v>
      </c>
      <c r="B2" s="624"/>
      <c r="C2" s="624"/>
      <c r="D2" s="624"/>
      <c r="E2" s="624"/>
      <c r="F2" s="624"/>
    </row>
    <row r="3" spans="1:6">
      <c r="A3" s="1"/>
      <c r="B3" s="1"/>
      <c r="C3" s="1"/>
      <c r="D3" s="1"/>
      <c r="E3" s="1"/>
      <c r="F3" s="1"/>
    </row>
    <row r="4" spans="1:6" ht="16">
      <c r="A4" s="370" t="s">
        <v>2023</v>
      </c>
      <c r="B4" s="371" t="s">
        <v>2</v>
      </c>
      <c r="C4" s="371" t="s">
        <v>3</v>
      </c>
      <c r="D4" s="371" t="s">
        <v>2024</v>
      </c>
      <c r="E4" s="371" t="s">
        <v>2025</v>
      </c>
      <c r="F4" s="372" t="s">
        <v>1213</v>
      </c>
    </row>
    <row r="5" spans="1:6" ht="15">
      <c r="A5" s="373" t="s">
        <v>2026</v>
      </c>
      <c r="B5" s="374">
        <v>299</v>
      </c>
      <c r="C5" s="375" t="s">
        <v>5</v>
      </c>
      <c r="D5" s="375" t="s">
        <v>2027</v>
      </c>
      <c r="E5" s="375" t="s">
        <v>2028</v>
      </c>
      <c r="F5" s="376" t="s">
        <v>2029</v>
      </c>
    </row>
    <row r="6" spans="1:6" ht="15">
      <c r="A6" s="373" t="s">
        <v>2030</v>
      </c>
      <c r="B6" s="377">
        <v>2</v>
      </c>
      <c r="C6" s="375" t="s">
        <v>36</v>
      </c>
      <c r="D6" s="375" t="s">
        <v>2027</v>
      </c>
      <c r="E6" s="375" t="s">
        <v>2031</v>
      </c>
      <c r="F6" s="376" t="s">
        <v>2029</v>
      </c>
    </row>
    <row r="7" spans="1:6" ht="15">
      <c r="A7" s="373" t="s">
        <v>2032</v>
      </c>
      <c r="B7" s="374">
        <v>199</v>
      </c>
      <c r="C7" s="375" t="s">
        <v>20</v>
      </c>
      <c r="D7" s="375" t="s">
        <v>2033</v>
      </c>
      <c r="E7" s="375" t="s">
        <v>2034</v>
      </c>
      <c r="F7" s="376" t="s">
        <v>2029</v>
      </c>
    </row>
    <row r="8" spans="1:6" ht="15">
      <c r="A8" s="373" t="s">
        <v>2035</v>
      </c>
      <c r="B8" s="378">
        <v>0.18</v>
      </c>
      <c r="C8" s="375" t="s">
        <v>11</v>
      </c>
      <c r="D8" s="375" t="s">
        <v>2027</v>
      </c>
      <c r="E8" s="375" t="s">
        <v>2036</v>
      </c>
      <c r="F8" s="376" t="s">
        <v>2037</v>
      </c>
    </row>
    <row r="9" spans="1:6" ht="15">
      <c r="A9" s="373" t="s">
        <v>2038</v>
      </c>
      <c r="B9" s="374">
        <v>149</v>
      </c>
      <c r="C9" s="375" t="s">
        <v>20</v>
      </c>
      <c r="D9" s="375" t="s">
        <v>2033</v>
      </c>
      <c r="E9" s="375" t="s">
        <v>2039</v>
      </c>
      <c r="F9" s="376" t="s">
        <v>2029</v>
      </c>
    </row>
    <row r="10" spans="1:6" ht="15">
      <c r="A10" s="373" t="s">
        <v>2040</v>
      </c>
      <c r="B10" s="374">
        <v>500</v>
      </c>
      <c r="C10" s="375" t="s">
        <v>20</v>
      </c>
      <c r="D10" s="375" t="s">
        <v>2041</v>
      </c>
      <c r="E10" s="375" t="s">
        <v>2042</v>
      </c>
      <c r="F10" s="376" t="s">
        <v>2029</v>
      </c>
    </row>
    <row r="11" spans="1:6" ht="15">
      <c r="A11" s="373" t="s">
        <v>2043</v>
      </c>
      <c r="B11" s="379">
        <v>1</v>
      </c>
      <c r="C11" s="375" t="s">
        <v>2044</v>
      </c>
      <c r="D11" s="375" t="s">
        <v>2027</v>
      </c>
      <c r="E11" s="375" t="s">
        <v>2045</v>
      </c>
      <c r="F11" s="376" t="s">
        <v>2029</v>
      </c>
    </row>
    <row r="12" spans="1:6" ht="15">
      <c r="A12" s="373" t="s">
        <v>2046</v>
      </c>
      <c r="B12" s="378">
        <v>0.05</v>
      </c>
      <c r="C12" s="375" t="s">
        <v>1433</v>
      </c>
      <c r="D12" s="375" t="s">
        <v>2047</v>
      </c>
      <c r="E12" s="375" t="s">
        <v>2048</v>
      </c>
      <c r="F12" s="376" t="s">
        <v>2029</v>
      </c>
    </row>
    <row r="13" spans="1:6" ht="15">
      <c r="A13" s="373" t="s">
        <v>2049</v>
      </c>
      <c r="B13" s="380">
        <v>1</v>
      </c>
      <c r="C13" s="375" t="s">
        <v>2050</v>
      </c>
      <c r="D13" s="375" t="s">
        <v>2047</v>
      </c>
      <c r="E13" s="375" t="s">
        <v>2051</v>
      </c>
      <c r="F13" s="376" t="s">
        <v>2029</v>
      </c>
    </row>
    <row r="14" spans="1:6" ht="15">
      <c r="A14" s="373" t="s">
        <v>2052</v>
      </c>
      <c r="B14" s="378">
        <v>0.2</v>
      </c>
      <c r="C14" s="375" t="s">
        <v>2053</v>
      </c>
      <c r="D14" s="375" t="s">
        <v>2047</v>
      </c>
      <c r="E14" s="375" t="s">
        <v>2054</v>
      </c>
      <c r="F14" s="376" t="s">
        <v>2029</v>
      </c>
    </row>
    <row r="15" spans="1:6" ht="15">
      <c r="A15" s="373" t="s">
        <v>2055</v>
      </c>
      <c r="B15" s="379">
        <v>180</v>
      </c>
      <c r="C15" s="375" t="s">
        <v>1230</v>
      </c>
      <c r="D15" s="375" t="s">
        <v>2047</v>
      </c>
      <c r="E15" s="375" t="s">
        <v>2056</v>
      </c>
      <c r="F15" s="376" t="s">
        <v>2057</v>
      </c>
    </row>
    <row r="16" spans="1:6" ht="15">
      <c r="A16" s="381" t="s">
        <v>2058</v>
      </c>
      <c r="B16" s="382">
        <v>0.7</v>
      </c>
      <c r="C16" s="383" t="s">
        <v>1438</v>
      </c>
      <c r="D16" s="383" t="s">
        <v>2059</v>
      </c>
      <c r="E16" s="383" t="s">
        <v>2060</v>
      </c>
      <c r="F16" s="384" t="s">
        <v>2061</v>
      </c>
    </row>
    <row r="17" spans="1:6">
      <c r="A17" s="1"/>
      <c r="B17" s="1"/>
      <c r="C17" s="1"/>
      <c r="D17" s="1"/>
      <c r="E17" s="1"/>
      <c r="F17" s="1"/>
    </row>
    <row r="18" spans="1:6">
      <c r="A18" s="1"/>
      <c r="B18" s="1"/>
      <c r="C18" s="1"/>
      <c r="D18" s="1"/>
      <c r="E18" s="1"/>
      <c r="F18" s="1"/>
    </row>
    <row r="19" spans="1:6">
      <c r="A19" s="1"/>
      <c r="B19" s="1"/>
      <c r="C19" s="1"/>
      <c r="D19" s="1"/>
      <c r="E19" s="1"/>
      <c r="F19" s="1"/>
    </row>
    <row r="20" spans="1:6">
      <c r="A20" s="1"/>
      <c r="B20" s="1"/>
      <c r="C20" s="1"/>
      <c r="D20" s="1"/>
      <c r="E20" s="1"/>
      <c r="F20" s="1"/>
    </row>
  </sheetData>
  <mergeCells count="2">
    <mergeCell ref="A1:F1"/>
    <mergeCell ref="A2:F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36"/>
  <sheetViews>
    <sheetView workbookViewId="0"/>
  </sheetViews>
  <sheetFormatPr baseColWidth="10" defaultColWidth="8.83203125" defaultRowHeight="14"/>
  <cols>
    <col min="1" max="1" width="24" customWidth="1"/>
    <col min="2" max="2" width="38" customWidth="1"/>
    <col min="3" max="3" width="22" customWidth="1"/>
    <col min="4" max="7" width="16" customWidth="1"/>
    <col min="8" max="8" width="46" customWidth="1"/>
  </cols>
  <sheetData>
    <row r="1" spans="1:8" ht="40" customHeight="1">
      <c r="A1" s="625" t="s">
        <v>2062</v>
      </c>
      <c r="B1" s="625"/>
      <c r="C1" s="625"/>
      <c r="D1" s="625"/>
      <c r="E1" s="625"/>
      <c r="F1" s="625"/>
      <c r="G1" s="625"/>
      <c r="H1" s="625"/>
    </row>
    <row r="2" spans="1:8">
      <c r="A2" s="624" t="s">
        <v>2063</v>
      </c>
      <c r="B2" s="624"/>
      <c r="C2" s="624"/>
      <c r="D2" s="624"/>
      <c r="E2" s="624"/>
      <c r="F2" s="624"/>
      <c r="G2" s="624"/>
      <c r="H2" s="624"/>
    </row>
    <row r="3" spans="1:8">
      <c r="A3" s="1"/>
      <c r="B3" s="1"/>
      <c r="C3" s="1"/>
      <c r="D3" s="1"/>
      <c r="E3" s="1"/>
      <c r="F3" s="1"/>
      <c r="G3" s="1"/>
      <c r="H3" s="1"/>
    </row>
    <row r="4" spans="1:8" ht="32">
      <c r="A4" s="370" t="s">
        <v>2064</v>
      </c>
      <c r="B4" s="371" t="s">
        <v>2065</v>
      </c>
      <c r="C4" s="371" t="s">
        <v>2066</v>
      </c>
      <c r="D4" s="371" t="s">
        <v>2067</v>
      </c>
      <c r="E4" s="371" t="s">
        <v>2068</v>
      </c>
      <c r="F4" s="371" t="s">
        <v>2069</v>
      </c>
      <c r="G4" s="371" t="s">
        <v>2070</v>
      </c>
      <c r="H4" s="372" t="s">
        <v>2071</v>
      </c>
    </row>
    <row r="5" spans="1:8" ht="15">
      <c r="A5" s="385" t="s">
        <v>2072</v>
      </c>
      <c r="B5" s="386" t="str">
        <f>'Service Economics'!A5</f>
        <v>Hospital Visit</v>
      </c>
      <c r="C5" s="386" t="str">
        <f>'Service Economics'!B5</f>
        <v>Medical Visit</v>
      </c>
      <c r="D5" s="387">
        <f>'Service Economics'!D5</f>
        <v>1</v>
      </c>
      <c r="E5" s="386" t="str">
        <f>'Service Economics'!AH5</f>
        <v>AUTO</v>
      </c>
      <c r="F5" s="388">
        <f>'Service Economics'!F5</f>
        <v>1</v>
      </c>
      <c r="G5" s="389" t="b">
        <v>1</v>
      </c>
      <c r="H5" s="390" t="str">
        <f>'Service Economics'!AR5</f>
        <v>Full journey: home → facility → return / safe handover</v>
      </c>
    </row>
    <row r="6" spans="1:8" ht="30">
      <c r="A6" s="385" t="s">
        <v>2073</v>
      </c>
      <c r="B6" s="386" t="str">
        <f>'Service Economics'!A6</f>
        <v>Hospital Visit — Concierge at Hospital</v>
      </c>
      <c r="C6" s="386" t="str">
        <f>'Service Economics'!B6</f>
        <v>Medical Visit</v>
      </c>
      <c r="D6" s="387">
        <f>'Service Economics'!D6</f>
        <v>0.8</v>
      </c>
      <c r="E6" s="386" t="str">
        <f>'Service Economics'!AH6</f>
        <v>AUTO</v>
      </c>
      <c r="F6" s="388">
        <f>'Service Economics'!F6</f>
        <v>1</v>
      </c>
      <c r="G6" s="389" t="b">
        <v>1</v>
      </c>
      <c r="H6" s="390" t="str">
        <f>'Service Economics'!AR6</f>
        <v>Hospital-only support; reduced travel and handover responsibility</v>
      </c>
    </row>
    <row r="7" spans="1:8" ht="15">
      <c r="A7" s="385" t="s">
        <v>2074</v>
      </c>
      <c r="B7" s="386" t="str">
        <f>'Service Economics'!A7</f>
        <v>Clinic Visit</v>
      </c>
      <c r="C7" s="386" t="str">
        <f>'Service Economics'!B7</f>
        <v>Medical Visit</v>
      </c>
      <c r="D7" s="387">
        <f>'Service Economics'!D7</f>
        <v>0.9</v>
      </c>
      <c r="E7" s="386" t="str">
        <f>'Service Economics'!AH7</f>
        <v>AUTO</v>
      </c>
      <c r="F7" s="388">
        <f>'Service Economics'!F7</f>
        <v>1</v>
      </c>
      <c r="G7" s="389" t="b">
        <v>1</v>
      </c>
      <c r="H7" s="390" t="str">
        <f>'Service Economics'!AR7</f>
        <v>Shorter, lower-complexity outpatient journey</v>
      </c>
    </row>
    <row r="8" spans="1:8" ht="15">
      <c r="A8" s="385" t="s">
        <v>2075</v>
      </c>
      <c r="B8" s="386" t="str">
        <f>'Service Economics'!A8</f>
        <v>Diagnostic Center Visit</v>
      </c>
      <c r="C8" s="386" t="str">
        <f>'Service Economics'!B8</f>
        <v>Medical Visit</v>
      </c>
      <c r="D8" s="387">
        <f>'Service Economics'!D8</f>
        <v>0.85</v>
      </c>
      <c r="E8" s="386" t="str">
        <f>'Service Economics'!AH8</f>
        <v>AUTO</v>
      </c>
      <c r="F8" s="388">
        <f>'Service Economics'!F8</f>
        <v>1</v>
      </c>
      <c r="G8" s="389" t="b">
        <v>1</v>
      </c>
      <c r="H8" s="390" t="str">
        <f>'Service Economics'!AR8</f>
        <v>Generally simpler navigation / diagnostic-only workflow</v>
      </c>
    </row>
    <row r="9" spans="1:8" ht="30">
      <c r="A9" s="385" t="s">
        <v>2076</v>
      </c>
      <c r="B9" s="386" t="str">
        <f>'Service Economics'!A9</f>
        <v>Health Check-up Concierge</v>
      </c>
      <c r="C9" s="386" t="str">
        <f>'Service Economics'!B9</f>
        <v>Medical Visit</v>
      </c>
      <c r="D9" s="387">
        <f>'Service Economics'!D9</f>
        <v>0.9</v>
      </c>
      <c r="E9" s="386" t="str">
        <f>'Service Economics'!AH9</f>
        <v>AUTO</v>
      </c>
      <c r="F9" s="388">
        <f>'Service Economics'!F9</f>
        <v>1</v>
      </c>
      <c r="G9" s="389" t="b">
        <v>1</v>
      </c>
      <c r="H9" s="390" t="str">
        <f>'Service Economics'!AR9</f>
        <v>Structured preventive-care journey; moderate coordination</v>
      </c>
    </row>
    <row r="10" spans="1:8" ht="30">
      <c r="A10" s="385" t="s">
        <v>2077</v>
      </c>
      <c r="B10" s="386" t="str">
        <f>'Service Economics'!A10</f>
        <v>Hospital Admission Concierge</v>
      </c>
      <c r="C10" s="386" t="str">
        <f>'Service Economics'!B10</f>
        <v>Hospital Support</v>
      </c>
      <c r="D10" s="387">
        <f>'Service Economics'!D10</f>
        <v>1.1499999999999999</v>
      </c>
      <c r="E10" s="386" t="str">
        <f>'Service Economics'!AH10</f>
        <v>AUTO</v>
      </c>
      <c r="F10" s="388">
        <f>'Service Economics'!F10</f>
        <v>1</v>
      </c>
      <c r="G10" s="389" t="b">
        <v>1</v>
      </c>
      <c r="H10" s="390" t="str">
        <f>'Service Economics'!AR10</f>
        <v>Higher coordination, documentation and handoff complexity</v>
      </c>
    </row>
    <row r="11" spans="1:8" ht="30">
      <c r="A11" s="385" t="s">
        <v>2078</v>
      </c>
      <c r="B11" s="386" t="str">
        <f>'Service Economics'!A11</f>
        <v>Hospital Discharge Concierge</v>
      </c>
      <c r="C11" s="386" t="str">
        <f>'Service Economics'!B11</f>
        <v>Hospital Support</v>
      </c>
      <c r="D11" s="387">
        <f>'Service Economics'!D11</f>
        <v>1.1000000000000001</v>
      </c>
      <c r="E11" s="386" t="str">
        <f>'Service Economics'!AH11</f>
        <v>AUTO</v>
      </c>
      <c r="F11" s="388">
        <f>'Service Economics'!F11</f>
        <v>1</v>
      </c>
      <c r="G11" s="389" t="b">
        <v>1</v>
      </c>
      <c r="H11" s="390" t="str">
        <f>'Service Economics'!AR11</f>
        <v>Higher coordination and post-discharge handover responsibility</v>
      </c>
    </row>
    <row r="12" spans="1:8" ht="30">
      <c r="A12" s="385" t="s">
        <v>2079</v>
      </c>
      <c r="B12" s="386" t="str">
        <f>'Service Economics'!A12</f>
        <v>Overnight Hospital Concierge</v>
      </c>
      <c r="C12" s="386" t="str">
        <f>'Service Economics'!B12</f>
        <v>Hospital Support</v>
      </c>
      <c r="D12" s="387">
        <f>'Service Economics'!D12</f>
        <v>0.85</v>
      </c>
      <c r="E12" s="386" t="str">
        <f>'Service Economics'!AH12</f>
        <v>MANUAL</v>
      </c>
      <c r="F12" s="388">
        <f>'Service Economics'!F12</f>
        <v>1</v>
      </c>
      <c r="G12" s="389" t="b">
        <v>1</v>
      </c>
      <c r="H12" s="390" t="str">
        <f>'Service Economics'!AR12</f>
        <v>Long-duration service; manual pricing should supersede multiplier</v>
      </c>
    </row>
    <row r="13" spans="1:8" ht="15">
      <c r="A13" s="385" t="s">
        <v>2080</v>
      </c>
      <c r="B13" s="386" t="str">
        <f>'Service Economics'!A13</f>
        <v>Multi-Day Hospital Concierge (per 12h shift)</v>
      </c>
      <c r="C13" s="386" t="str">
        <f>'Service Economics'!B13</f>
        <v>Hospital Support</v>
      </c>
      <c r="D13" s="387">
        <f>'Service Economics'!D13</f>
        <v>0.85</v>
      </c>
      <c r="E13" s="386" t="str">
        <f>'Service Economics'!AH13</f>
        <v>MANUAL</v>
      </c>
      <c r="F13" s="388">
        <f>'Service Economics'!F13</f>
        <v>1</v>
      </c>
      <c r="G13" s="389" t="b">
        <v>1</v>
      </c>
      <c r="H13" s="390" t="str">
        <f>'Service Economics'!AR13</f>
        <v>Long-duration service; manual shift pricing</v>
      </c>
    </row>
    <row r="14" spans="1:8" ht="15">
      <c r="A14" s="385" t="s">
        <v>2081</v>
      </c>
      <c r="B14" s="386" t="str">
        <f>'Service Economics'!A14</f>
        <v>Day Surgery / Procedure Concierge</v>
      </c>
      <c r="C14" s="386" t="str">
        <f>'Service Economics'!B14</f>
        <v>Procedure &amp; Treatment</v>
      </c>
      <c r="D14" s="387">
        <f>'Service Economics'!D14</f>
        <v>1.2</v>
      </c>
      <c r="E14" s="386" t="str">
        <f>'Service Economics'!AH14</f>
        <v>AUTO</v>
      </c>
      <c r="F14" s="388">
        <f>'Service Economics'!F14</f>
        <v>1</v>
      </c>
      <c r="G14" s="389" t="b">
        <v>1</v>
      </c>
      <c r="H14" s="390" t="str">
        <f>'Service Economics'!AR14</f>
        <v>Procedure-day complexity and extended coordination</v>
      </c>
    </row>
    <row r="15" spans="1:8" ht="15">
      <c r="A15" s="385" t="s">
        <v>2082</v>
      </c>
      <c r="B15" s="386" t="str">
        <f>'Service Economics'!A15</f>
        <v>Pre-Surgery Concierge</v>
      </c>
      <c r="C15" s="386" t="str">
        <f>'Service Economics'!B15</f>
        <v>Procedure &amp; Treatment</v>
      </c>
      <c r="D15" s="387">
        <f>'Service Economics'!D15</f>
        <v>1.1000000000000001</v>
      </c>
      <c r="E15" s="386" t="str">
        <f>'Service Economics'!AH15</f>
        <v>AUTO</v>
      </c>
      <c r="F15" s="388">
        <f>'Service Economics'!F15</f>
        <v>1</v>
      </c>
      <c r="G15" s="389" t="b">
        <v>1</v>
      </c>
      <c r="H15" s="390" t="str">
        <f>'Service Economics'!AR15</f>
        <v>Preparation, records and multi-party coordination</v>
      </c>
    </row>
    <row r="16" spans="1:8" ht="15">
      <c r="A16" s="385" t="s">
        <v>2083</v>
      </c>
      <c r="B16" s="386" t="str">
        <f>'Service Economics'!A16</f>
        <v>Post-Surgery Follow-up</v>
      </c>
      <c r="C16" s="386" t="str">
        <f>'Service Economics'!B16</f>
        <v>Procedure &amp; Treatment</v>
      </c>
      <c r="D16" s="387">
        <f>'Service Economics'!D16</f>
        <v>1</v>
      </c>
      <c r="E16" s="386" t="str">
        <f>'Service Economics'!AH16</f>
        <v>AUTO</v>
      </c>
      <c r="F16" s="388">
        <f>'Service Economics'!F16</f>
        <v>1</v>
      </c>
      <c r="G16" s="389" t="b">
        <v>1</v>
      </c>
      <c r="H16" s="390" t="str">
        <f>'Service Economics'!AR16</f>
        <v>Standard follow-up journey with moderate coordination</v>
      </c>
    </row>
    <row r="17" spans="1:8" ht="15">
      <c r="A17" s="385" t="s">
        <v>2084</v>
      </c>
      <c r="B17" s="386" t="str">
        <f>'Service Economics'!A17</f>
        <v>Dialysis Visit Concierge</v>
      </c>
      <c r="C17" s="386" t="str">
        <f>'Service Economics'!B17</f>
        <v>Recurring Treatment</v>
      </c>
      <c r="D17" s="387">
        <f>'Service Economics'!D17</f>
        <v>0.9</v>
      </c>
      <c r="E17" s="386" t="str">
        <f>'Service Economics'!AH17</f>
        <v>AUTO</v>
      </c>
      <c r="F17" s="388">
        <f>'Service Economics'!F17</f>
        <v>1</v>
      </c>
      <c r="G17" s="389" t="b">
        <v>1</v>
      </c>
      <c r="H17" s="390" t="str">
        <f>'Service Economics'!AR17</f>
        <v>Recurring-service pricing; predictable workflow</v>
      </c>
    </row>
    <row r="18" spans="1:8" ht="15">
      <c r="A18" s="385" t="s">
        <v>2085</v>
      </c>
      <c r="B18" s="386" t="str">
        <f>'Service Economics'!A18</f>
        <v>Chemotherapy Visit Concierge</v>
      </c>
      <c r="C18" s="386" t="str">
        <f>'Service Economics'!B18</f>
        <v>Recurring Treatment</v>
      </c>
      <c r="D18" s="387">
        <f>'Service Economics'!D18</f>
        <v>1</v>
      </c>
      <c r="E18" s="386" t="str">
        <f>'Service Economics'!AH18</f>
        <v>AUTO</v>
      </c>
      <c r="F18" s="388">
        <f>'Service Economics'!F18</f>
        <v>1</v>
      </c>
      <c r="G18" s="389" t="b">
        <v>1</v>
      </c>
      <c r="H18" s="390" t="str">
        <f>'Service Economics'!AR18</f>
        <v>Recurring but higher emotional / coordination intensity</v>
      </c>
    </row>
    <row r="19" spans="1:8" ht="30">
      <c r="A19" s="385" t="s">
        <v>2086</v>
      </c>
      <c r="B19" s="386" t="str">
        <f>'Service Economics'!A19</f>
        <v>Radiation Therapy Concierge</v>
      </c>
      <c r="C19" s="386" t="str">
        <f>'Service Economics'!B19</f>
        <v>Recurring Treatment</v>
      </c>
      <c r="D19" s="387">
        <f>'Service Economics'!D19</f>
        <v>0.95</v>
      </c>
      <c r="E19" s="386" t="str">
        <f>'Service Economics'!AH19</f>
        <v>AUTO</v>
      </c>
      <c r="F19" s="388">
        <f>'Service Economics'!F19</f>
        <v>1</v>
      </c>
      <c r="G19" s="389" t="b">
        <v>1</v>
      </c>
      <c r="H19" s="390" t="str">
        <f>'Service Economics'!AR19</f>
        <v>Recurring treatment with relatively standardized workflow</v>
      </c>
    </row>
    <row r="20" spans="1:8" ht="15">
      <c r="A20" s="385" t="s">
        <v>2087</v>
      </c>
      <c r="B20" s="386" t="str">
        <f>'Service Economics'!A20</f>
        <v>Physiotherapy / Rehab Visit</v>
      </c>
      <c r="C20" s="386" t="str">
        <f>'Service Economics'!B20</f>
        <v>Recurring Treatment</v>
      </c>
      <c r="D20" s="387">
        <f>'Service Economics'!D20</f>
        <v>0.85</v>
      </c>
      <c r="E20" s="386" t="str">
        <f>'Service Economics'!AH20</f>
        <v>AUTO</v>
      </c>
      <c r="F20" s="388">
        <f>'Service Economics'!F20</f>
        <v>1</v>
      </c>
      <c r="G20" s="389" t="b">
        <v>1</v>
      </c>
      <c r="H20" s="390" t="str">
        <f>'Service Economics'!AR20</f>
        <v>Recurring, lower-complexity visit</v>
      </c>
    </row>
    <row r="21" spans="1:8" ht="15">
      <c r="A21" s="385" t="s">
        <v>2088</v>
      </c>
      <c r="B21" s="386" t="str">
        <f>'Service Economics'!A21</f>
        <v>Chronic Care Follow-up</v>
      </c>
      <c r="C21" s="386" t="str">
        <f>'Service Economics'!B21</f>
        <v>Continuing Care</v>
      </c>
      <c r="D21" s="387">
        <f>'Service Economics'!D21</f>
        <v>0.9</v>
      </c>
      <c r="E21" s="386" t="str">
        <f>'Service Economics'!AH21</f>
        <v>AUTO</v>
      </c>
      <c r="F21" s="388">
        <f>'Service Economics'!F21</f>
        <v>1</v>
      </c>
      <c r="G21" s="389" t="b">
        <v>1</v>
      </c>
      <c r="H21" s="390" t="str">
        <f>'Service Economics'!AR21</f>
        <v>Recurring care; predictable repeat workflow</v>
      </c>
    </row>
    <row r="22" spans="1:8" ht="15">
      <c r="A22" s="385" t="s">
        <v>2089</v>
      </c>
      <c r="B22" s="386" t="str">
        <f>'Service Economics'!A22</f>
        <v>NRI Parent Medical Concierge</v>
      </c>
      <c r="C22" s="386" t="str">
        <f>'Service Economics'!B22</f>
        <v>Continuing Care</v>
      </c>
      <c r="D22" s="387">
        <f>'Service Economics'!D22</f>
        <v>1.2</v>
      </c>
      <c r="E22" s="386" t="str">
        <f>'Service Economics'!AH22</f>
        <v>AUTO</v>
      </c>
      <c r="F22" s="388">
        <f>'Service Economics'!F22</f>
        <v>1</v>
      </c>
      <c r="G22" s="389" t="b">
        <v>1</v>
      </c>
      <c r="H22" s="390" t="str">
        <f>'Service Economics'!AR22</f>
        <v>Premium family coordination, updates and trust layer</v>
      </c>
    </row>
    <row r="23" spans="1:8" ht="30">
      <c r="A23" s="385" t="s">
        <v>2090</v>
      </c>
      <c r="B23" s="386" t="str">
        <f>'Service Economics'!A23</f>
        <v>Second Opinion Concierge</v>
      </c>
      <c r="C23" s="386" t="str">
        <f>'Service Economics'!B23</f>
        <v>Medical Coordination</v>
      </c>
      <c r="D23" s="387">
        <f>'Service Economics'!D23</f>
        <v>0.85</v>
      </c>
      <c r="E23" s="386" t="str">
        <f>'Service Economics'!AH23</f>
        <v>AUTO</v>
      </c>
      <c r="F23" s="388">
        <f>'Service Economics'!F23</f>
        <v>1</v>
      </c>
      <c r="G23" s="389" t="b">
        <v>1</v>
      </c>
      <c r="H23" s="390" t="str">
        <f>'Service Economics'!AR23</f>
        <v>Coordination-heavy but limited physical journey complexity</v>
      </c>
    </row>
    <row r="24" spans="1:8" ht="15">
      <c r="A24" s="385" t="s">
        <v>2091</v>
      </c>
      <c r="B24" s="386" t="str">
        <f>'Service Economics'!A24</f>
        <v>Teleconsultation Concierge</v>
      </c>
      <c r="C24" s="386" t="str">
        <f>'Service Economics'!B24</f>
        <v>Medical Coordination</v>
      </c>
      <c r="D24" s="387">
        <f>'Service Economics'!D24</f>
        <v>0.65</v>
      </c>
      <c r="E24" s="386" t="str">
        <f>'Service Economics'!AH24</f>
        <v>AUTO</v>
      </c>
      <c r="F24" s="388">
        <f>'Service Economics'!F24</f>
        <v>1</v>
      </c>
      <c r="G24" s="389" t="b">
        <v>1</v>
      </c>
      <c r="H24" s="390" t="str">
        <f>'Service Economics'!AR24</f>
        <v>Remote / low travel intensity</v>
      </c>
    </row>
    <row r="25" spans="1:8" ht="30">
      <c r="A25" s="385" t="s">
        <v>2092</v>
      </c>
      <c r="B25" s="386" t="str">
        <f>'Service Economics'!A25</f>
        <v>Medical Records Concierge</v>
      </c>
      <c r="C25" s="386" t="str">
        <f>'Service Economics'!B25</f>
        <v>Medical Coordination</v>
      </c>
      <c r="D25" s="387">
        <f>'Service Economics'!D25</f>
        <v>0.6</v>
      </c>
      <c r="E25" s="386" t="str">
        <f>'Service Economics'!AH25</f>
        <v>AUTO</v>
      </c>
      <c r="F25" s="388">
        <f>'Service Economics'!F25</f>
        <v>1</v>
      </c>
      <c r="G25" s="389" t="b">
        <v>1</v>
      </c>
      <c r="H25" s="390" t="str">
        <f>'Service Economics'!AR25</f>
        <v>Administrative coordination; limited physical accompaniment</v>
      </c>
    </row>
    <row r="26" spans="1:8" ht="15">
      <c r="A26" s="385" t="s">
        <v>2093</v>
      </c>
      <c r="B26" s="386" t="str">
        <f>'Service Economics'!A26</f>
        <v>Insurance / TPA Desk Concierge</v>
      </c>
      <c r="C26" s="386" t="str">
        <f>'Service Economics'!B26</f>
        <v>Medical Coordination</v>
      </c>
      <c r="D26" s="387">
        <f>'Service Economics'!D26</f>
        <v>0.75</v>
      </c>
      <c r="E26" s="386" t="str">
        <f>'Service Economics'!AH26</f>
        <v>AUTO</v>
      </c>
      <c r="F26" s="388">
        <f>'Service Economics'!F26</f>
        <v>1</v>
      </c>
      <c r="G26" s="389" t="b">
        <v>1</v>
      </c>
      <c r="H26" s="390" t="str">
        <f>'Service Economics'!AR26</f>
        <v>Administrative coordination with moderate complexity</v>
      </c>
    </row>
    <row r="27" spans="1:8" ht="15">
      <c r="A27" s="385" t="s">
        <v>2094</v>
      </c>
      <c r="B27" s="386" t="str">
        <f>'Service Economics'!A27</f>
        <v>Hospital Transfer Concierge</v>
      </c>
      <c r="C27" s="386" t="str">
        <f>'Service Economics'!B27</f>
        <v>Medical Coordination</v>
      </c>
      <c r="D27" s="387">
        <f>'Service Economics'!D27</f>
        <v>1.1000000000000001</v>
      </c>
      <c r="E27" s="386" t="str">
        <f>'Service Economics'!AH27</f>
        <v>AUTO</v>
      </c>
      <c r="F27" s="388">
        <f>'Service Economics'!F27</f>
        <v>1</v>
      </c>
      <c r="G27" s="389" t="b">
        <v>1</v>
      </c>
      <c r="H27" s="390" t="str">
        <f>'Service Economics'!AR27</f>
        <v>Higher coordination and transfer responsibility</v>
      </c>
    </row>
    <row r="28" spans="1:8" ht="15">
      <c r="A28" s="385" t="s">
        <v>2095</v>
      </c>
      <c r="B28" s="386" t="str">
        <f>'Service Economics'!A28</f>
        <v>Rehab / Nursing Facility Transfer</v>
      </c>
      <c r="C28" s="386" t="str">
        <f>'Service Economics'!B28</f>
        <v>Medical Coordination</v>
      </c>
      <c r="D28" s="387">
        <f>'Service Economics'!D28</f>
        <v>1.05</v>
      </c>
      <c r="E28" s="386" t="str">
        <f>'Service Economics'!AH28</f>
        <v>AUTO</v>
      </c>
      <c r="F28" s="388">
        <f>'Service Economics'!F28</f>
        <v>1</v>
      </c>
      <c r="G28" s="389" t="b">
        <v>1</v>
      </c>
      <c r="H28" s="390" t="str">
        <f>'Service Economics'!AR28</f>
        <v>Transfer coordination with moderate risk and handover</v>
      </c>
    </row>
    <row r="29" spans="1:8" ht="30">
      <c r="A29" s="385" t="s">
        <v>2096</v>
      </c>
      <c r="B29" s="386" t="str">
        <f>'Service Economics'!A29</f>
        <v>24×7 Urgent Care Coordination</v>
      </c>
      <c r="C29" s="386" t="str">
        <f>'Service Economics'!B29</f>
        <v>Urgent Coordination</v>
      </c>
      <c r="D29" s="387">
        <f>'Service Economics'!D29</f>
        <v>1.3</v>
      </c>
      <c r="E29" s="386" t="str">
        <f>'Service Economics'!AH29</f>
        <v>AUTO</v>
      </c>
      <c r="F29" s="388">
        <f>'Service Economics'!F29</f>
        <v>1</v>
      </c>
      <c r="G29" s="389" t="b">
        <v>1</v>
      </c>
      <c r="H29" s="390" t="str">
        <f>'Service Economics'!AR29</f>
        <v>Urgent coordination premium; higher operational readiness</v>
      </c>
    </row>
    <row r="30" spans="1:8" ht="15">
      <c r="A30" s="385" t="s">
        <v>2097</v>
      </c>
      <c r="B30" s="386" t="str">
        <f>'Service Economics'!A30</f>
        <v>Doctor-at-Home Coordination</v>
      </c>
      <c r="C30" s="386" t="str">
        <f>'Service Economics'!B30</f>
        <v>Medical Coordination</v>
      </c>
      <c r="D30" s="387">
        <f>'Service Economics'!D30</f>
        <v>0.85</v>
      </c>
      <c r="E30" s="386" t="str">
        <f>'Service Economics'!AH30</f>
        <v>AUTO</v>
      </c>
      <c r="F30" s="388">
        <f>'Service Economics'!F30</f>
        <v>1</v>
      </c>
      <c r="G30" s="389" t="b">
        <v>1</v>
      </c>
      <c r="H30" s="390" t="str">
        <f>'Service Economics'!AR30</f>
        <v>Coordination service; limited accompaniment</v>
      </c>
    </row>
    <row r="31" spans="1:8" ht="15">
      <c r="A31" s="385" t="s">
        <v>2098</v>
      </c>
      <c r="B31" s="386" t="str">
        <f>'Service Economics'!A31</f>
        <v>Nurse-at-Home Coordination</v>
      </c>
      <c r="C31" s="386" t="str">
        <f>'Service Economics'!B31</f>
        <v>Medical Coordination</v>
      </c>
      <c r="D31" s="387">
        <f>'Service Economics'!D31</f>
        <v>0.85</v>
      </c>
      <c r="E31" s="386" t="str">
        <f>'Service Economics'!AH31</f>
        <v>AUTO</v>
      </c>
      <c r="F31" s="388">
        <f>'Service Economics'!F31</f>
        <v>1</v>
      </c>
      <c r="G31" s="389" t="b">
        <v>1</v>
      </c>
      <c r="H31" s="390" t="str">
        <f>'Service Economics'!AR31</f>
        <v>Coordination service; limited accompaniment</v>
      </c>
    </row>
    <row r="32" spans="1:8" ht="30">
      <c r="A32" s="385" t="s">
        <v>2099</v>
      </c>
      <c r="B32" s="386" t="str">
        <f>'Service Economics'!A32</f>
        <v>Medical Tourism — Concierge Package (24 HR Basis)</v>
      </c>
      <c r="C32" s="386" t="str">
        <f>'Service Economics'!B32</f>
        <v>Medical Coordination</v>
      </c>
      <c r="D32" s="387">
        <f>'Service Economics'!D32</f>
        <v>2</v>
      </c>
      <c r="E32" s="386" t="str">
        <f>'Service Economics'!AH32</f>
        <v>MANUAL</v>
      </c>
      <c r="F32" s="388">
        <f>'Service Economics'!F32</f>
        <v>1</v>
      </c>
      <c r="G32" s="389" t="b">
        <v>1</v>
      </c>
      <c r="H32" s="390" t="str">
        <f>'Service Economics'!AR32</f>
        <v>Future / manual packaged pricing; not standard MVP hourly logic</v>
      </c>
    </row>
    <row r="33" spans="1:8" ht="15">
      <c r="A33" s="385" t="s">
        <v>2100</v>
      </c>
      <c r="B33" s="386" t="str">
        <f>'Service Economics'!A33</f>
        <v>Pharmacy / Prescription Coordination</v>
      </c>
      <c r="C33" s="386" t="str">
        <f>'Service Economics'!B33</f>
        <v>Medical Coordination</v>
      </c>
      <c r="D33" s="387">
        <f>'Service Economics'!D33</f>
        <v>0.65</v>
      </c>
      <c r="E33" s="386" t="str">
        <f>'Service Economics'!AH33</f>
        <v>AUTO</v>
      </c>
      <c r="F33" s="388">
        <f>'Service Economics'!F33</f>
        <v>1</v>
      </c>
      <c r="G33" s="389" t="b">
        <v>1</v>
      </c>
      <c r="H33" s="390" t="str">
        <f>'Service Economics'!AR33</f>
        <v>Low-complexity administrative / fulfilment coordination</v>
      </c>
    </row>
    <row r="34" spans="1:8" ht="30">
      <c r="A34" s="391" t="s">
        <v>2101</v>
      </c>
      <c r="B34" s="392" t="str">
        <f>'Service Economics'!A34</f>
        <v>Family Medical Update Concierge</v>
      </c>
      <c r="C34" s="392" t="str">
        <f>'Service Economics'!B34</f>
        <v>Continuing Care</v>
      </c>
      <c r="D34" s="393">
        <f>'Service Economics'!D34</f>
        <v>0.65</v>
      </c>
      <c r="E34" s="392" t="str">
        <f>'Service Economics'!AH34</f>
        <v>AUTO</v>
      </c>
      <c r="F34" s="394">
        <f>'Service Economics'!F34</f>
        <v>1</v>
      </c>
      <c r="G34" s="395" t="b">
        <v>1</v>
      </c>
      <c r="H34" s="396" t="str">
        <f>'Service Economics'!AR34</f>
        <v>Communication-focused support; no full physical journey</v>
      </c>
    </row>
    <row r="35" spans="1:8">
      <c r="A35" s="1"/>
      <c r="B35" s="1"/>
      <c r="C35" s="1"/>
      <c r="D35" s="1"/>
      <c r="E35" s="1"/>
      <c r="F35" s="1"/>
      <c r="G35" s="1"/>
      <c r="H35" s="1"/>
    </row>
    <row r="36" spans="1:8">
      <c r="A36" s="1"/>
      <c r="B36" s="1"/>
      <c r="C36" s="1"/>
      <c r="D36" s="1"/>
      <c r="E36" s="1"/>
      <c r="F36" s="1"/>
      <c r="G36" s="1"/>
      <c r="H36" s="1"/>
    </row>
  </sheetData>
  <mergeCells count="2">
    <mergeCell ref="A1:H1"/>
    <mergeCell ref="A2:H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3"/>
  <sheetViews>
    <sheetView workbookViewId="0"/>
  </sheetViews>
  <sheetFormatPr baseColWidth="10" defaultColWidth="8.83203125" defaultRowHeight="14"/>
  <cols>
    <col min="1" max="1" width="34" customWidth="1"/>
    <col min="2" max="2" width="18" customWidth="1"/>
    <col min="3" max="3" width="14" customWidth="1"/>
    <col min="4" max="4" width="24" customWidth="1"/>
    <col min="5" max="5" width="18" customWidth="1"/>
    <col min="6" max="6" width="22" customWidth="1"/>
    <col min="7" max="7" width="48" customWidth="1"/>
  </cols>
  <sheetData>
    <row r="1" spans="1:7" ht="40" customHeight="1">
      <c r="A1" s="625" t="s">
        <v>2102</v>
      </c>
      <c r="B1" s="625"/>
      <c r="C1" s="625"/>
      <c r="D1" s="625"/>
      <c r="E1" s="625"/>
      <c r="F1" s="625"/>
      <c r="G1" s="625"/>
    </row>
    <row r="2" spans="1:7">
      <c r="A2" s="624" t="s">
        <v>2103</v>
      </c>
      <c r="B2" s="624"/>
      <c r="C2" s="624"/>
      <c r="D2" s="624"/>
      <c r="E2" s="624"/>
      <c r="F2" s="624"/>
      <c r="G2" s="624"/>
    </row>
    <row r="3" spans="1:7">
      <c r="A3" s="1"/>
      <c r="B3" s="1"/>
      <c r="C3" s="1"/>
      <c r="D3" s="1"/>
      <c r="E3" s="1"/>
      <c r="F3" s="1"/>
      <c r="G3" s="1"/>
    </row>
    <row r="4" spans="1:7" ht="16">
      <c r="A4" s="370" t="s">
        <v>2104</v>
      </c>
      <c r="B4" s="371" t="s">
        <v>1654</v>
      </c>
      <c r="C4" s="371" t="s">
        <v>2105</v>
      </c>
      <c r="D4" s="371" t="s">
        <v>1755</v>
      </c>
      <c r="E4" s="371" t="s">
        <v>2106</v>
      </c>
      <c r="F4" s="371" t="s">
        <v>2024</v>
      </c>
      <c r="G4" s="372" t="s">
        <v>2107</v>
      </c>
    </row>
    <row r="5" spans="1:7" ht="15">
      <c r="A5" s="373" t="s">
        <v>2064</v>
      </c>
      <c r="B5" s="375" t="s">
        <v>2108</v>
      </c>
      <c r="C5" s="375" t="s">
        <v>301</v>
      </c>
      <c r="D5" s="375" t="s">
        <v>2109</v>
      </c>
      <c r="E5" s="375" t="s">
        <v>2072</v>
      </c>
      <c r="F5" s="375" t="s">
        <v>2110</v>
      </c>
      <c r="G5" s="376" t="s">
        <v>2111</v>
      </c>
    </row>
    <row r="6" spans="1:7" ht="15">
      <c r="A6" s="373" t="s">
        <v>2112</v>
      </c>
      <c r="B6" s="375" t="s">
        <v>2113</v>
      </c>
      <c r="C6" s="375" t="s">
        <v>301</v>
      </c>
      <c r="D6" s="375" t="s">
        <v>2109</v>
      </c>
      <c r="E6" s="375" t="s">
        <v>2114</v>
      </c>
      <c r="F6" s="375" t="s">
        <v>2110</v>
      </c>
      <c r="G6" s="376" t="s">
        <v>2115</v>
      </c>
    </row>
    <row r="7" spans="1:7" ht="15">
      <c r="A7" s="373" t="s">
        <v>2116</v>
      </c>
      <c r="B7" s="375" t="s">
        <v>2117</v>
      </c>
      <c r="C7" s="375" t="s">
        <v>301</v>
      </c>
      <c r="D7" s="375" t="s">
        <v>2109</v>
      </c>
      <c r="E7" s="375" t="s">
        <v>2118</v>
      </c>
      <c r="F7" s="375" t="s">
        <v>2110</v>
      </c>
      <c r="G7" s="376" t="s">
        <v>2119</v>
      </c>
    </row>
    <row r="8" spans="1:7" ht="15">
      <c r="A8" s="373" t="s">
        <v>2120</v>
      </c>
      <c r="B8" s="375" t="s">
        <v>2113</v>
      </c>
      <c r="C8" s="375" t="s">
        <v>2121</v>
      </c>
      <c r="D8" s="375" t="s">
        <v>2109</v>
      </c>
      <c r="E8" s="375" t="s">
        <v>2122</v>
      </c>
      <c r="F8" s="375" t="s">
        <v>2110</v>
      </c>
      <c r="G8" s="376" t="s">
        <v>2123</v>
      </c>
    </row>
    <row r="9" spans="1:7" ht="15">
      <c r="A9" s="373" t="s">
        <v>2124</v>
      </c>
      <c r="B9" s="375" t="s">
        <v>2113</v>
      </c>
      <c r="C9" s="375" t="s">
        <v>301</v>
      </c>
      <c r="D9" s="375" t="s">
        <v>2109</v>
      </c>
      <c r="E9" s="375" t="s">
        <v>2125</v>
      </c>
      <c r="F9" s="375" t="s">
        <v>2110</v>
      </c>
      <c r="G9" s="376" t="s">
        <v>2126</v>
      </c>
    </row>
    <row r="10" spans="1:7" ht="15">
      <c r="A10" s="373" t="s">
        <v>2127</v>
      </c>
      <c r="B10" s="375" t="s">
        <v>2113</v>
      </c>
      <c r="C10" s="375" t="s">
        <v>300</v>
      </c>
      <c r="D10" s="375" t="s">
        <v>2128</v>
      </c>
      <c r="E10" s="375" t="s">
        <v>2129</v>
      </c>
      <c r="F10" s="375" t="s">
        <v>2027</v>
      </c>
      <c r="G10" s="376" t="s">
        <v>2130</v>
      </c>
    </row>
    <row r="11" spans="1:7" ht="15">
      <c r="A11" s="373" t="s">
        <v>2131</v>
      </c>
      <c r="B11" s="375" t="s">
        <v>2108</v>
      </c>
      <c r="C11" s="375" t="s">
        <v>300</v>
      </c>
      <c r="D11" s="375" t="s">
        <v>2128</v>
      </c>
      <c r="E11" s="375" t="s">
        <v>2132</v>
      </c>
      <c r="F11" s="375" t="s">
        <v>2027</v>
      </c>
      <c r="G11" s="376" t="s">
        <v>2133</v>
      </c>
    </row>
    <row r="12" spans="1:7" ht="15">
      <c r="A12" s="373" t="s">
        <v>2134</v>
      </c>
      <c r="B12" s="375" t="s">
        <v>2108</v>
      </c>
      <c r="C12" s="375" t="s">
        <v>300</v>
      </c>
      <c r="D12" s="375" t="s">
        <v>2135</v>
      </c>
      <c r="E12" s="375" t="s">
        <v>1836</v>
      </c>
      <c r="F12" s="375" t="s">
        <v>2110</v>
      </c>
      <c r="G12" s="376" t="s">
        <v>2136</v>
      </c>
    </row>
    <row r="13" spans="1:7" ht="15">
      <c r="A13" s="373" t="s">
        <v>2137</v>
      </c>
      <c r="B13" s="375" t="s">
        <v>2108</v>
      </c>
      <c r="C13" s="375" t="s">
        <v>300</v>
      </c>
      <c r="D13" s="375" t="s">
        <v>2135</v>
      </c>
      <c r="E13" s="375" t="s">
        <v>2138</v>
      </c>
      <c r="F13" s="375" t="s">
        <v>2027</v>
      </c>
      <c r="G13" s="376" t="s">
        <v>2139</v>
      </c>
    </row>
    <row r="14" spans="1:7" ht="15">
      <c r="A14" s="373" t="s">
        <v>2140</v>
      </c>
      <c r="B14" s="375" t="s">
        <v>2108</v>
      </c>
      <c r="C14" s="375" t="s">
        <v>300</v>
      </c>
      <c r="D14" s="375" t="s">
        <v>2135</v>
      </c>
      <c r="E14" s="375" t="s">
        <v>2141</v>
      </c>
      <c r="F14" s="375" t="s">
        <v>2027</v>
      </c>
      <c r="G14" s="376" t="s">
        <v>2142</v>
      </c>
    </row>
    <row r="15" spans="1:7" ht="15">
      <c r="A15" s="373" t="s">
        <v>2143</v>
      </c>
      <c r="B15" s="375" t="s">
        <v>2108</v>
      </c>
      <c r="C15" s="375" t="s">
        <v>300</v>
      </c>
      <c r="D15" s="375" t="s">
        <v>2135</v>
      </c>
      <c r="E15" s="375" t="s">
        <v>2144</v>
      </c>
      <c r="F15" s="375" t="s">
        <v>2027</v>
      </c>
      <c r="G15" s="376" t="s">
        <v>2145</v>
      </c>
    </row>
    <row r="16" spans="1:7" ht="15">
      <c r="A16" s="373" t="s">
        <v>2026</v>
      </c>
      <c r="B16" s="375" t="s">
        <v>2113</v>
      </c>
      <c r="C16" s="375" t="s">
        <v>2027</v>
      </c>
      <c r="D16" s="375" t="s">
        <v>2146</v>
      </c>
      <c r="E16" s="375" t="s">
        <v>2147</v>
      </c>
      <c r="F16" s="375" t="s">
        <v>2027</v>
      </c>
      <c r="G16" s="376" t="s">
        <v>2148</v>
      </c>
    </row>
    <row r="17" spans="1:7" ht="15">
      <c r="A17" s="373" t="s">
        <v>2030</v>
      </c>
      <c r="B17" s="375" t="s">
        <v>2113</v>
      </c>
      <c r="C17" s="375" t="s">
        <v>2027</v>
      </c>
      <c r="D17" s="375" t="s">
        <v>2146</v>
      </c>
      <c r="E17" s="375" t="s">
        <v>1018</v>
      </c>
      <c r="F17" s="375" t="s">
        <v>2027</v>
      </c>
      <c r="G17" s="376" t="s">
        <v>2149</v>
      </c>
    </row>
    <row r="18" spans="1:7" ht="15">
      <c r="A18" s="373" t="s">
        <v>2032</v>
      </c>
      <c r="B18" s="375" t="s">
        <v>2113</v>
      </c>
      <c r="C18" s="375" t="s">
        <v>2027</v>
      </c>
      <c r="D18" s="375" t="s">
        <v>2146</v>
      </c>
      <c r="E18" s="375" t="s">
        <v>2150</v>
      </c>
      <c r="F18" s="375" t="s">
        <v>2033</v>
      </c>
      <c r="G18" s="376" t="s">
        <v>2151</v>
      </c>
    </row>
    <row r="19" spans="1:7" ht="15">
      <c r="A19" s="373" t="s">
        <v>2035</v>
      </c>
      <c r="B19" s="375" t="s">
        <v>2113</v>
      </c>
      <c r="C19" s="375" t="s">
        <v>2027</v>
      </c>
      <c r="D19" s="375" t="s">
        <v>2146</v>
      </c>
      <c r="E19" s="375" t="s">
        <v>2152</v>
      </c>
      <c r="F19" s="375" t="s">
        <v>2027</v>
      </c>
      <c r="G19" s="376" t="s">
        <v>2153</v>
      </c>
    </row>
    <row r="20" spans="1:7" ht="15">
      <c r="A20" s="373" t="s">
        <v>2038</v>
      </c>
      <c r="B20" s="375" t="s">
        <v>2113</v>
      </c>
      <c r="C20" s="375" t="s">
        <v>2027</v>
      </c>
      <c r="D20" s="375" t="s">
        <v>2146</v>
      </c>
      <c r="E20" s="375" t="s">
        <v>2154</v>
      </c>
      <c r="F20" s="375" t="s">
        <v>2033</v>
      </c>
      <c r="G20" s="376" t="s">
        <v>2155</v>
      </c>
    </row>
    <row r="21" spans="1:7" ht="15">
      <c r="A21" s="373" t="s">
        <v>2043</v>
      </c>
      <c r="B21" s="375" t="s">
        <v>2156</v>
      </c>
      <c r="C21" s="375" t="s">
        <v>2027</v>
      </c>
      <c r="D21" s="375" t="s">
        <v>2146</v>
      </c>
      <c r="E21" s="375" t="s">
        <v>2118</v>
      </c>
      <c r="F21" s="375" t="s">
        <v>2027</v>
      </c>
      <c r="G21" s="376" t="s">
        <v>2157</v>
      </c>
    </row>
    <row r="22" spans="1:7" ht="15">
      <c r="A22" s="373" t="s">
        <v>2046</v>
      </c>
      <c r="B22" s="375" t="s">
        <v>2113</v>
      </c>
      <c r="C22" s="375" t="s">
        <v>2027</v>
      </c>
      <c r="D22" s="375" t="s">
        <v>2146</v>
      </c>
      <c r="E22" s="375" t="s">
        <v>2158</v>
      </c>
      <c r="F22" s="375" t="s">
        <v>2033</v>
      </c>
      <c r="G22" s="376" t="s">
        <v>2159</v>
      </c>
    </row>
    <row r="23" spans="1:7" ht="15">
      <c r="A23" s="373" t="s">
        <v>2049</v>
      </c>
      <c r="B23" s="375" t="s">
        <v>2113</v>
      </c>
      <c r="C23" s="375" t="s">
        <v>2027</v>
      </c>
      <c r="D23" s="375" t="s">
        <v>2146</v>
      </c>
      <c r="E23" s="375" t="s">
        <v>1012</v>
      </c>
      <c r="F23" s="375" t="s">
        <v>2160</v>
      </c>
      <c r="G23" s="376" t="s">
        <v>2161</v>
      </c>
    </row>
    <row r="24" spans="1:7" ht="15">
      <c r="A24" s="373" t="s">
        <v>2052</v>
      </c>
      <c r="B24" s="375" t="s">
        <v>2113</v>
      </c>
      <c r="C24" s="375" t="s">
        <v>2027</v>
      </c>
      <c r="D24" s="375" t="s">
        <v>2146</v>
      </c>
      <c r="E24" s="375" t="s">
        <v>2162</v>
      </c>
      <c r="F24" s="375" t="s">
        <v>2027</v>
      </c>
      <c r="G24" s="376" t="s">
        <v>2163</v>
      </c>
    </row>
    <row r="25" spans="1:7" ht="15">
      <c r="A25" s="373" t="s">
        <v>2055</v>
      </c>
      <c r="B25" s="375" t="s">
        <v>2164</v>
      </c>
      <c r="C25" s="375" t="s">
        <v>2027</v>
      </c>
      <c r="D25" s="375" t="s">
        <v>2146</v>
      </c>
      <c r="E25" s="375" t="s">
        <v>2165</v>
      </c>
      <c r="F25" s="375" t="s">
        <v>2166</v>
      </c>
      <c r="G25" s="376" t="s">
        <v>2167</v>
      </c>
    </row>
    <row r="26" spans="1:7" ht="15">
      <c r="A26" s="373" t="s">
        <v>2058</v>
      </c>
      <c r="B26" s="375" t="s">
        <v>2113</v>
      </c>
      <c r="C26" s="375" t="s">
        <v>2027</v>
      </c>
      <c r="D26" s="375" t="s">
        <v>2146</v>
      </c>
      <c r="E26" s="375" t="s">
        <v>2168</v>
      </c>
      <c r="F26" s="375" t="s">
        <v>2059</v>
      </c>
      <c r="G26" s="376" t="s">
        <v>2169</v>
      </c>
    </row>
    <row r="27" spans="1:7" ht="15">
      <c r="A27" s="373" t="s">
        <v>2067</v>
      </c>
      <c r="B27" s="375" t="s">
        <v>2113</v>
      </c>
      <c r="C27" s="375" t="s">
        <v>2027</v>
      </c>
      <c r="D27" s="375" t="s">
        <v>2170</v>
      </c>
      <c r="E27" s="375" t="s">
        <v>2171</v>
      </c>
      <c r="F27" s="375" t="s">
        <v>2027</v>
      </c>
      <c r="G27" s="376" t="s">
        <v>2172</v>
      </c>
    </row>
    <row r="28" spans="1:7" ht="15">
      <c r="A28" s="373" t="s">
        <v>2068</v>
      </c>
      <c r="B28" s="375" t="s">
        <v>2108</v>
      </c>
      <c r="C28" s="375" t="s">
        <v>2027</v>
      </c>
      <c r="D28" s="375" t="s">
        <v>2170</v>
      </c>
      <c r="E28" s="375" t="s">
        <v>2173</v>
      </c>
      <c r="F28" s="375" t="s">
        <v>2027</v>
      </c>
      <c r="G28" s="376" t="s">
        <v>2174</v>
      </c>
    </row>
    <row r="29" spans="1:7" ht="15">
      <c r="A29" s="373" t="s">
        <v>2069</v>
      </c>
      <c r="B29" s="375" t="s">
        <v>2164</v>
      </c>
      <c r="C29" s="375" t="s">
        <v>2027</v>
      </c>
      <c r="D29" s="375" t="s">
        <v>2170</v>
      </c>
      <c r="E29" s="375" t="s">
        <v>1012</v>
      </c>
      <c r="F29" s="375" t="s">
        <v>2027</v>
      </c>
      <c r="G29" s="376" t="s">
        <v>2175</v>
      </c>
    </row>
    <row r="30" spans="1:7" ht="15">
      <c r="A30" s="373" t="s">
        <v>2176</v>
      </c>
      <c r="B30" s="375" t="s">
        <v>2113</v>
      </c>
      <c r="C30" s="375" t="s">
        <v>2177</v>
      </c>
      <c r="D30" s="375" t="s">
        <v>1162</v>
      </c>
      <c r="E30" s="375" t="s">
        <v>2114</v>
      </c>
      <c r="F30" s="375" t="s">
        <v>2110</v>
      </c>
      <c r="G30" s="376" t="s">
        <v>2178</v>
      </c>
    </row>
    <row r="31" spans="1:7" ht="15">
      <c r="A31" s="373" t="s">
        <v>2179</v>
      </c>
      <c r="B31" s="375" t="s">
        <v>2113</v>
      </c>
      <c r="C31" s="375" t="s">
        <v>2177</v>
      </c>
      <c r="D31" s="375" t="s">
        <v>1162</v>
      </c>
      <c r="E31" s="375" t="s">
        <v>2147</v>
      </c>
      <c r="F31" s="375" t="s">
        <v>2110</v>
      </c>
      <c r="G31" s="376" t="s">
        <v>2180</v>
      </c>
    </row>
    <row r="32" spans="1:7" ht="15">
      <c r="A32" s="373" t="s">
        <v>2181</v>
      </c>
      <c r="B32" s="375" t="s">
        <v>2113</v>
      </c>
      <c r="C32" s="375" t="s">
        <v>2177</v>
      </c>
      <c r="D32" s="375" t="s">
        <v>1162</v>
      </c>
      <c r="E32" s="375" t="s">
        <v>2182</v>
      </c>
      <c r="F32" s="375" t="s">
        <v>2110</v>
      </c>
      <c r="G32" s="376" t="s">
        <v>2183</v>
      </c>
    </row>
    <row r="33" spans="1:7" ht="30">
      <c r="A33" s="373" t="s">
        <v>2184</v>
      </c>
      <c r="B33" s="375" t="s">
        <v>2113</v>
      </c>
      <c r="C33" s="375" t="s">
        <v>2177</v>
      </c>
      <c r="D33" s="375" t="s">
        <v>1162</v>
      </c>
      <c r="E33" s="375" t="s">
        <v>2185</v>
      </c>
      <c r="F33" s="375" t="s">
        <v>2110</v>
      </c>
      <c r="G33" s="376" t="s">
        <v>2186</v>
      </c>
    </row>
    <row r="34" spans="1:7" ht="15">
      <c r="A34" s="373" t="s">
        <v>2187</v>
      </c>
      <c r="B34" s="375" t="s">
        <v>2113</v>
      </c>
      <c r="C34" s="375" t="s">
        <v>2177</v>
      </c>
      <c r="D34" s="375" t="s">
        <v>1162</v>
      </c>
      <c r="E34" s="375" t="s">
        <v>2125</v>
      </c>
      <c r="F34" s="375" t="s">
        <v>2110</v>
      </c>
      <c r="G34" s="376" t="s">
        <v>2188</v>
      </c>
    </row>
    <row r="35" spans="1:7" ht="15">
      <c r="A35" s="373" t="s">
        <v>2189</v>
      </c>
      <c r="B35" s="375" t="s">
        <v>2113</v>
      </c>
      <c r="C35" s="375" t="s">
        <v>2177</v>
      </c>
      <c r="D35" s="375" t="s">
        <v>1162</v>
      </c>
      <c r="E35" s="375" t="s">
        <v>2190</v>
      </c>
      <c r="F35" s="375" t="s">
        <v>2191</v>
      </c>
      <c r="G35" s="376" t="s">
        <v>2192</v>
      </c>
    </row>
    <row r="36" spans="1:7" ht="15">
      <c r="A36" s="373" t="s">
        <v>2193</v>
      </c>
      <c r="B36" s="375" t="s">
        <v>2113</v>
      </c>
      <c r="C36" s="375" t="s">
        <v>2177</v>
      </c>
      <c r="D36" s="375" t="s">
        <v>1162</v>
      </c>
      <c r="E36" s="375" t="s">
        <v>2125</v>
      </c>
      <c r="F36" s="375" t="s">
        <v>2110</v>
      </c>
      <c r="G36" s="376" t="s">
        <v>2194</v>
      </c>
    </row>
    <row r="37" spans="1:7" ht="15">
      <c r="A37" s="373" t="s">
        <v>2195</v>
      </c>
      <c r="B37" s="375" t="s">
        <v>2113</v>
      </c>
      <c r="C37" s="375" t="s">
        <v>2177</v>
      </c>
      <c r="D37" s="375" t="s">
        <v>1162</v>
      </c>
      <c r="E37" s="375" t="s">
        <v>2196</v>
      </c>
      <c r="F37" s="375" t="s">
        <v>2110</v>
      </c>
      <c r="G37" s="376" t="s">
        <v>2197</v>
      </c>
    </row>
    <row r="38" spans="1:7" ht="15">
      <c r="A38" s="373" t="s">
        <v>2198</v>
      </c>
      <c r="B38" s="375" t="s">
        <v>2113</v>
      </c>
      <c r="C38" s="375" t="s">
        <v>2177</v>
      </c>
      <c r="D38" s="375" t="s">
        <v>1162</v>
      </c>
      <c r="E38" s="375" t="s">
        <v>2122</v>
      </c>
      <c r="F38" s="375" t="s">
        <v>2110</v>
      </c>
      <c r="G38" s="376" t="s">
        <v>2199</v>
      </c>
    </row>
    <row r="39" spans="1:7" ht="15">
      <c r="A39" s="373" t="s">
        <v>2038</v>
      </c>
      <c r="B39" s="375" t="s">
        <v>2113</v>
      </c>
      <c r="C39" s="375" t="s">
        <v>2177</v>
      </c>
      <c r="D39" s="375" t="s">
        <v>1162</v>
      </c>
      <c r="E39" s="375" t="s">
        <v>2154</v>
      </c>
      <c r="F39" s="375" t="s">
        <v>2110</v>
      </c>
      <c r="G39" s="376" t="s">
        <v>2155</v>
      </c>
    </row>
    <row r="40" spans="1:7" ht="15">
      <c r="A40" s="373" t="s">
        <v>2200</v>
      </c>
      <c r="B40" s="375" t="s">
        <v>2113</v>
      </c>
      <c r="C40" s="375" t="s">
        <v>2177</v>
      </c>
      <c r="D40" s="375" t="s">
        <v>1162</v>
      </c>
      <c r="E40" s="375" t="s">
        <v>2201</v>
      </c>
      <c r="F40" s="375" t="s">
        <v>2110</v>
      </c>
      <c r="G40" s="376" t="s">
        <v>2202</v>
      </c>
    </row>
    <row r="41" spans="1:7" ht="15">
      <c r="A41" s="373" t="s">
        <v>2203</v>
      </c>
      <c r="B41" s="375" t="s">
        <v>2113</v>
      </c>
      <c r="C41" s="375" t="s">
        <v>2177</v>
      </c>
      <c r="D41" s="375" t="s">
        <v>1162</v>
      </c>
      <c r="E41" s="375" t="s">
        <v>2204</v>
      </c>
      <c r="F41" s="375" t="s">
        <v>2110</v>
      </c>
      <c r="G41" s="376" t="s">
        <v>2205</v>
      </c>
    </row>
    <row r="42" spans="1:7" ht="30">
      <c r="A42" s="373" t="s">
        <v>2206</v>
      </c>
      <c r="B42" s="375" t="s">
        <v>2113</v>
      </c>
      <c r="C42" s="375" t="s">
        <v>2177</v>
      </c>
      <c r="D42" s="375" t="s">
        <v>1162</v>
      </c>
      <c r="E42" s="375" t="s">
        <v>2196</v>
      </c>
      <c r="F42" s="375" t="s">
        <v>2207</v>
      </c>
      <c r="G42" s="376" t="s">
        <v>2208</v>
      </c>
    </row>
    <row r="43" spans="1:7" ht="15">
      <c r="A43" s="373" t="s">
        <v>2209</v>
      </c>
      <c r="B43" s="375" t="s">
        <v>2164</v>
      </c>
      <c r="C43" s="375" t="s">
        <v>2177</v>
      </c>
      <c r="D43" s="375" t="s">
        <v>1162</v>
      </c>
      <c r="E43" s="375" t="s">
        <v>2210</v>
      </c>
      <c r="F43" s="375" t="s">
        <v>2110</v>
      </c>
      <c r="G43" s="376" t="s">
        <v>2211</v>
      </c>
    </row>
    <row r="44" spans="1:7" ht="30">
      <c r="A44" s="373" t="s">
        <v>2212</v>
      </c>
      <c r="B44" s="375" t="s">
        <v>2108</v>
      </c>
      <c r="C44" s="375" t="s">
        <v>2177</v>
      </c>
      <c r="D44" s="375" t="s">
        <v>1162</v>
      </c>
      <c r="E44" s="375" t="s">
        <v>2213</v>
      </c>
      <c r="F44" s="375" t="s">
        <v>2110</v>
      </c>
      <c r="G44" s="376" t="s">
        <v>2214</v>
      </c>
    </row>
    <row r="45" spans="1:7" ht="15">
      <c r="A45" s="373" t="s">
        <v>2215</v>
      </c>
      <c r="B45" s="375" t="s">
        <v>2113</v>
      </c>
      <c r="C45" s="375" t="s">
        <v>2216</v>
      </c>
      <c r="D45" s="375" t="s">
        <v>1162</v>
      </c>
      <c r="E45" s="375" t="s">
        <v>2217</v>
      </c>
      <c r="F45" s="375" t="s">
        <v>2027</v>
      </c>
      <c r="G45" s="376" t="s">
        <v>2218</v>
      </c>
    </row>
    <row r="46" spans="1:7" ht="15">
      <c r="A46" s="373" t="s">
        <v>2219</v>
      </c>
      <c r="B46" s="375" t="s">
        <v>2113</v>
      </c>
      <c r="C46" s="375" t="s">
        <v>2216</v>
      </c>
      <c r="D46" s="375" t="s">
        <v>1162</v>
      </c>
      <c r="E46" s="375" t="s">
        <v>2220</v>
      </c>
      <c r="F46" s="375" t="s">
        <v>2027</v>
      </c>
      <c r="G46" s="376" t="s">
        <v>2221</v>
      </c>
    </row>
    <row r="47" spans="1:7" ht="15">
      <c r="A47" s="373" t="s">
        <v>2222</v>
      </c>
      <c r="B47" s="375" t="s">
        <v>2113</v>
      </c>
      <c r="C47" s="375" t="s">
        <v>2216</v>
      </c>
      <c r="D47" s="375" t="s">
        <v>1162</v>
      </c>
      <c r="E47" s="375" t="s">
        <v>2210</v>
      </c>
      <c r="F47" s="375" t="s">
        <v>2027</v>
      </c>
      <c r="G47" s="376" t="s">
        <v>2223</v>
      </c>
    </row>
    <row r="48" spans="1:7" ht="15">
      <c r="A48" s="373" t="s">
        <v>2224</v>
      </c>
      <c r="B48" s="375" t="s">
        <v>2113</v>
      </c>
      <c r="C48" s="375" t="s">
        <v>2216</v>
      </c>
      <c r="D48" s="375" t="s">
        <v>1162</v>
      </c>
      <c r="E48" s="375" t="s">
        <v>2225</v>
      </c>
      <c r="F48" s="375" t="s">
        <v>2027</v>
      </c>
      <c r="G48" s="376" t="s">
        <v>2226</v>
      </c>
    </row>
    <row r="49" spans="1:7" ht="15">
      <c r="A49" s="373" t="s">
        <v>2227</v>
      </c>
      <c r="B49" s="375" t="s">
        <v>2113</v>
      </c>
      <c r="C49" s="375" t="s">
        <v>2216</v>
      </c>
      <c r="D49" s="375" t="s">
        <v>1162</v>
      </c>
      <c r="E49" s="375" t="s">
        <v>2228</v>
      </c>
      <c r="F49" s="375" t="s">
        <v>2027</v>
      </c>
      <c r="G49" s="376" t="s">
        <v>2229</v>
      </c>
    </row>
    <row r="50" spans="1:7" ht="15">
      <c r="A50" s="373" t="s">
        <v>2230</v>
      </c>
      <c r="B50" s="375" t="s">
        <v>2113</v>
      </c>
      <c r="C50" s="375" t="s">
        <v>2216</v>
      </c>
      <c r="D50" s="375" t="s">
        <v>1162</v>
      </c>
      <c r="E50" s="375" t="s">
        <v>2228</v>
      </c>
      <c r="F50" s="375" t="s">
        <v>2027</v>
      </c>
      <c r="G50" s="376" t="s">
        <v>2231</v>
      </c>
    </row>
    <row r="51" spans="1:7" ht="15">
      <c r="A51" s="373" t="s">
        <v>2232</v>
      </c>
      <c r="B51" s="375" t="s">
        <v>2113</v>
      </c>
      <c r="C51" s="375" t="s">
        <v>2216</v>
      </c>
      <c r="D51" s="375" t="s">
        <v>1162</v>
      </c>
      <c r="E51" s="375" t="s">
        <v>2228</v>
      </c>
      <c r="F51" s="375" t="s">
        <v>2027</v>
      </c>
      <c r="G51" s="376" t="s">
        <v>2233</v>
      </c>
    </row>
    <row r="52" spans="1:7" ht="15">
      <c r="A52" s="381" t="s">
        <v>2234</v>
      </c>
      <c r="B52" s="383" t="s">
        <v>2113</v>
      </c>
      <c r="C52" s="383" t="s">
        <v>2216</v>
      </c>
      <c r="D52" s="383" t="s">
        <v>1162</v>
      </c>
      <c r="E52" s="383" t="s">
        <v>2228</v>
      </c>
      <c r="F52" s="383" t="s">
        <v>2027</v>
      </c>
      <c r="G52" s="384" t="s">
        <v>2235</v>
      </c>
    </row>
    <row r="56" spans="1:7" ht="15">
      <c r="A56" s="626" t="s">
        <v>2236</v>
      </c>
      <c r="B56" s="626"/>
      <c r="C56" s="626"/>
      <c r="D56" s="626"/>
      <c r="E56" s="626"/>
      <c r="F56" s="626"/>
      <c r="G56" s="626"/>
    </row>
    <row r="57" spans="1:7">
      <c r="A57" s="627" t="s">
        <v>2237</v>
      </c>
      <c r="B57" s="627"/>
      <c r="C57" s="627"/>
      <c r="D57" s="627"/>
      <c r="E57" s="627"/>
      <c r="F57" s="627"/>
      <c r="G57" s="627"/>
    </row>
    <row r="58" spans="1:7">
      <c r="A58" s="627" t="s">
        <v>2238</v>
      </c>
      <c r="B58" s="627"/>
      <c r="C58" s="627"/>
      <c r="D58" s="627"/>
      <c r="E58" s="627"/>
      <c r="F58" s="627"/>
      <c r="G58" s="627"/>
    </row>
    <row r="59" spans="1:7">
      <c r="A59" s="627" t="s">
        <v>2239</v>
      </c>
      <c r="B59" s="627"/>
      <c r="C59" s="627"/>
      <c r="D59" s="627"/>
      <c r="E59" s="627"/>
      <c r="F59" s="627"/>
      <c r="G59" s="627"/>
    </row>
    <row r="60" spans="1:7">
      <c r="A60" s="627" t="s">
        <v>2240</v>
      </c>
      <c r="B60" s="627"/>
      <c r="C60" s="627"/>
      <c r="D60" s="627"/>
      <c r="E60" s="627"/>
      <c r="F60" s="627"/>
      <c r="G60" s="627"/>
    </row>
    <row r="61" spans="1:7">
      <c r="A61" s="627" t="s">
        <v>2241</v>
      </c>
      <c r="B61" s="627"/>
      <c r="C61" s="627"/>
      <c r="D61" s="627"/>
      <c r="E61" s="627"/>
      <c r="F61" s="627"/>
      <c r="G61" s="627"/>
    </row>
    <row r="62" spans="1:7">
      <c r="A62" s="627" t="s">
        <v>2242</v>
      </c>
      <c r="B62" s="627"/>
      <c r="C62" s="627"/>
      <c r="D62" s="627"/>
      <c r="E62" s="627"/>
      <c r="F62" s="627"/>
      <c r="G62" s="627"/>
    </row>
    <row r="63" spans="1:7">
      <c r="A63" s="627" t="s">
        <v>2243</v>
      </c>
      <c r="B63" s="627"/>
      <c r="C63" s="627"/>
      <c r="D63" s="627"/>
      <c r="E63" s="627"/>
      <c r="F63" s="627"/>
      <c r="G63" s="627"/>
    </row>
    <row r="64" spans="1:7">
      <c r="A64" s="627" t="s">
        <v>2244</v>
      </c>
      <c r="B64" s="627"/>
      <c r="C64" s="627"/>
      <c r="D64" s="627"/>
      <c r="E64" s="627"/>
      <c r="F64" s="627"/>
      <c r="G64" s="627"/>
    </row>
    <row r="65" spans="1:7">
      <c r="A65" s="627" t="s">
        <v>2245</v>
      </c>
      <c r="B65" s="627"/>
      <c r="C65" s="627"/>
      <c r="D65" s="627"/>
      <c r="E65" s="627"/>
      <c r="F65" s="627"/>
      <c r="G65" s="627"/>
    </row>
    <row r="66" spans="1:7">
      <c r="A66" s="627" t="s">
        <v>2246</v>
      </c>
      <c r="B66" s="627"/>
      <c r="C66" s="627"/>
      <c r="D66" s="627"/>
      <c r="E66" s="627"/>
      <c r="F66" s="627"/>
      <c r="G66" s="627"/>
    </row>
    <row r="67" spans="1:7">
      <c r="A67" s="627" t="s">
        <v>2247</v>
      </c>
      <c r="B67" s="627"/>
      <c r="C67" s="627"/>
      <c r="D67" s="627"/>
      <c r="E67" s="627"/>
      <c r="F67" s="627"/>
      <c r="G67" s="627"/>
    </row>
    <row r="68" spans="1:7">
      <c r="A68" s="627" t="s">
        <v>2248</v>
      </c>
      <c r="B68" s="627"/>
      <c r="C68" s="627"/>
      <c r="D68" s="627"/>
      <c r="E68" s="627"/>
      <c r="F68" s="627"/>
      <c r="G68" s="627"/>
    </row>
    <row r="69" spans="1:7">
      <c r="A69" s="627" t="s">
        <v>2249</v>
      </c>
      <c r="B69" s="627"/>
      <c r="C69" s="627"/>
      <c r="D69" s="627"/>
      <c r="E69" s="627"/>
      <c r="F69" s="627"/>
      <c r="G69" s="627"/>
    </row>
    <row r="72" spans="1:7" ht="15">
      <c r="A72" s="628" t="s">
        <v>2250</v>
      </c>
      <c r="B72" s="628"/>
      <c r="C72" s="628"/>
      <c r="D72" s="628"/>
      <c r="E72" s="628"/>
      <c r="F72" s="628"/>
      <c r="G72" s="628"/>
    </row>
    <row r="73" spans="1:7" ht="16">
      <c r="A73" s="255" t="s">
        <v>2064</v>
      </c>
      <c r="B73" s="422" t="s">
        <v>2072</v>
      </c>
      <c r="C73" s="1"/>
      <c r="D73" s="629" t="s">
        <v>2251</v>
      </c>
      <c r="E73" s="629"/>
      <c r="F73" s="629"/>
      <c r="G73" s="629"/>
    </row>
    <row r="74" spans="1:7" ht="16">
      <c r="A74" s="255" t="s">
        <v>2112</v>
      </c>
      <c r="B74" s="422">
        <v>5</v>
      </c>
      <c r="C74" s="1"/>
      <c r="D74" s="255" t="s">
        <v>2064</v>
      </c>
      <c r="E74" s="422" t="s">
        <v>2072</v>
      </c>
      <c r="F74" s="1"/>
      <c r="G74" s="1"/>
    </row>
    <row r="75" spans="1:7" ht="16">
      <c r="A75" s="255" t="s">
        <v>2116</v>
      </c>
      <c r="B75" s="423" t="b">
        <v>1</v>
      </c>
      <c r="C75" s="1"/>
      <c r="D75" s="255" t="s">
        <v>2065</v>
      </c>
      <c r="E75" s="422" t="s">
        <v>59</v>
      </c>
      <c r="F75" s="1"/>
      <c r="G75" s="1"/>
    </row>
    <row r="76" spans="1:7" ht="16">
      <c r="A76" s="255" t="s">
        <v>2120</v>
      </c>
      <c r="B76" s="422">
        <v>500</v>
      </c>
      <c r="C76" s="1"/>
      <c r="D76" s="255" t="s">
        <v>2112</v>
      </c>
      <c r="E76" s="422">
        <v>5</v>
      </c>
      <c r="F76" s="1"/>
      <c r="G76" s="1"/>
    </row>
    <row r="77" spans="1:7" ht="16">
      <c r="A77" s="255" t="s">
        <v>2124</v>
      </c>
      <c r="B77" s="422">
        <v>20</v>
      </c>
      <c r="C77" s="1"/>
      <c r="D77" s="255" t="s">
        <v>2176</v>
      </c>
      <c r="E77" s="422">
        <v>5</v>
      </c>
      <c r="F77" s="1"/>
      <c r="G77" s="1"/>
    </row>
    <row r="78" spans="1:7" ht="16">
      <c r="A78" s="1"/>
      <c r="B78" s="1"/>
      <c r="C78" s="1"/>
      <c r="D78" s="255" t="s">
        <v>2179</v>
      </c>
      <c r="E78" s="422">
        <v>299</v>
      </c>
      <c r="F78" s="1"/>
      <c r="G78" s="1"/>
    </row>
    <row r="79" spans="1:7" ht="16">
      <c r="A79" s="1"/>
      <c r="B79" s="1"/>
      <c r="C79" s="1"/>
      <c r="D79" s="255" t="s">
        <v>2181</v>
      </c>
      <c r="E79" s="422">
        <v>1495</v>
      </c>
      <c r="F79" s="1"/>
      <c r="G79" s="1"/>
    </row>
    <row r="80" spans="1:7" ht="16">
      <c r="A80" s="1"/>
      <c r="B80" s="1"/>
      <c r="C80" s="1"/>
      <c r="D80" s="255" t="s">
        <v>2032</v>
      </c>
      <c r="E80" s="422">
        <v>199</v>
      </c>
      <c r="F80" s="1"/>
      <c r="G80" s="1"/>
    </row>
    <row r="81" spans="1:7" ht="32">
      <c r="A81" s="1"/>
      <c r="B81" s="1"/>
      <c r="C81" s="1"/>
      <c r="D81" s="255" t="s">
        <v>2184</v>
      </c>
      <c r="E81" s="422">
        <v>1694</v>
      </c>
      <c r="F81" s="1"/>
      <c r="G81" s="1"/>
    </row>
    <row r="82" spans="1:7" ht="32">
      <c r="A82" s="1"/>
      <c r="B82" s="1"/>
      <c r="C82" s="1"/>
      <c r="D82" s="255" t="s">
        <v>2187</v>
      </c>
      <c r="E82" s="422">
        <v>20</v>
      </c>
      <c r="F82" s="1"/>
      <c r="G82" s="1"/>
    </row>
    <row r="83" spans="1:7" ht="32">
      <c r="A83" s="1"/>
      <c r="B83" s="1"/>
      <c r="C83" s="1"/>
      <c r="D83" s="255" t="s">
        <v>2189</v>
      </c>
      <c r="E83" s="422">
        <v>338.8</v>
      </c>
      <c r="F83" s="1"/>
      <c r="G83" s="1"/>
    </row>
    <row r="84" spans="1:7" ht="16">
      <c r="A84" s="1"/>
      <c r="B84" s="1"/>
      <c r="C84" s="1"/>
      <c r="D84" s="255" t="s">
        <v>2193</v>
      </c>
      <c r="E84" s="422">
        <v>20</v>
      </c>
      <c r="F84" s="1"/>
      <c r="G84" s="1"/>
    </row>
    <row r="85" spans="1:7" ht="16">
      <c r="A85" s="1"/>
      <c r="B85" s="1"/>
      <c r="C85" s="1"/>
      <c r="D85" s="255" t="s">
        <v>2195</v>
      </c>
      <c r="E85" s="422">
        <v>1674</v>
      </c>
      <c r="F85" s="1"/>
      <c r="G85" s="1"/>
    </row>
    <row r="86" spans="1:7" ht="16">
      <c r="A86" s="1"/>
      <c r="B86" s="1"/>
      <c r="C86" s="1"/>
      <c r="D86" s="255" t="s">
        <v>2198</v>
      </c>
      <c r="E86" s="422">
        <v>500</v>
      </c>
      <c r="F86" s="1"/>
      <c r="G86" s="1"/>
    </row>
    <row r="87" spans="1:7" ht="32">
      <c r="A87" s="1"/>
      <c r="B87" s="1"/>
      <c r="C87" s="1"/>
      <c r="D87" s="255" t="s">
        <v>2038</v>
      </c>
      <c r="E87" s="422">
        <v>149</v>
      </c>
      <c r="F87" s="1"/>
      <c r="G87" s="1"/>
    </row>
    <row r="88" spans="1:7" ht="16">
      <c r="A88" s="1"/>
      <c r="B88" s="1"/>
      <c r="C88" s="1"/>
      <c r="D88" s="255" t="s">
        <v>2200</v>
      </c>
      <c r="E88" s="422">
        <v>649</v>
      </c>
      <c r="F88" s="1"/>
      <c r="G88" s="1"/>
    </row>
    <row r="89" spans="1:7" ht="16">
      <c r="A89" s="1"/>
      <c r="B89" s="1"/>
      <c r="C89" s="1"/>
      <c r="D89" s="255" t="s">
        <v>2203</v>
      </c>
      <c r="E89" s="422">
        <v>2323</v>
      </c>
      <c r="F89" s="1"/>
      <c r="G89" s="1"/>
    </row>
    <row r="90" spans="1:7" ht="32">
      <c r="A90" s="1"/>
      <c r="B90" s="1"/>
      <c r="C90" s="1"/>
      <c r="D90" s="255" t="s">
        <v>2206</v>
      </c>
      <c r="E90" s="422">
        <v>1674</v>
      </c>
      <c r="F90" s="1"/>
      <c r="G90" s="1"/>
    </row>
    <row r="91" spans="1:7" ht="16">
      <c r="A91" s="1"/>
      <c r="B91" s="1"/>
      <c r="C91" s="1"/>
      <c r="D91" s="255" t="s">
        <v>2046</v>
      </c>
      <c r="E91" s="422">
        <v>0.05</v>
      </c>
      <c r="F91" s="1"/>
      <c r="G91" s="1"/>
    </row>
    <row r="92" spans="1:7" ht="16">
      <c r="A92" s="1"/>
      <c r="B92" s="1"/>
      <c r="C92" s="1"/>
      <c r="D92" s="255" t="s">
        <v>2209</v>
      </c>
      <c r="E92" s="422">
        <v>83</v>
      </c>
      <c r="F92" s="1"/>
      <c r="G92" s="1"/>
    </row>
    <row r="93" spans="1:7" ht="16">
      <c r="A93" s="1"/>
      <c r="B93" s="1"/>
      <c r="C93" s="1"/>
      <c r="D93" s="255" t="s">
        <v>2212</v>
      </c>
      <c r="E93" s="422" t="s">
        <v>2213</v>
      </c>
      <c r="F93" s="1"/>
      <c r="G93" s="1"/>
    </row>
  </sheetData>
  <mergeCells count="18">
    <mergeCell ref="A69:G69"/>
    <mergeCell ref="A72:G72"/>
    <mergeCell ref="D73:G73"/>
    <mergeCell ref="A64:G64"/>
    <mergeCell ref="A65:G65"/>
    <mergeCell ref="A66:G66"/>
    <mergeCell ref="A67:G67"/>
    <mergeCell ref="A68:G68"/>
    <mergeCell ref="A59:G59"/>
    <mergeCell ref="A60:G60"/>
    <mergeCell ref="A61:G61"/>
    <mergeCell ref="A62:G62"/>
    <mergeCell ref="A63:G63"/>
    <mergeCell ref="A1:G1"/>
    <mergeCell ref="A2:G2"/>
    <mergeCell ref="A56:G56"/>
    <mergeCell ref="A57:G57"/>
    <mergeCell ref="A58:G5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14"/>
  <sheetViews>
    <sheetView workbookViewId="0"/>
  </sheetViews>
  <sheetFormatPr baseColWidth="10" defaultColWidth="8.83203125" defaultRowHeight="14"/>
  <cols>
    <col min="1" max="2" width="22" customWidth="1"/>
    <col min="3" max="3" width="14" customWidth="1"/>
    <col min="4" max="4" width="22" customWidth="1"/>
    <col min="5" max="20" width="16" customWidth="1"/>
    <col min="21" max="22" width="22" customWidth="1"/>
  </cols>
  <sheetData>
    <row r="1" spans="1:22" ht="40" customHeight="1">
      <c r="A1" s="625" t="s">
        <v>2252</v>
      </c>
      <c r="B1" s="625"/>
      <c r="C1" s="625"/>
      <c r="D1" s="625"/>
      <c r="E1" s="625"/>
      <c r="F1" s="625"/>
      <c r="G1" s="625"/>
      <c r="H1" s="625"/>
      <c r="I1" s="625"/>
      <c r="J1" s="625"/>
      <c r="K1" s="625"/>
      <c r="L1" s="625"/>
      <c r="M1" s="625"/>
      <c r="N1" s="625"/>
      <c r="O1" s="625"/>
      <c r="P1" s="625"/>
      <c r="Q1" s="625"/>
      <c r="R1" s="625"/>
      <c r="S1" s="625"/>
      <c r="T1" s="625"/>
      <c r="U1" s="625"/>
      <c r="V1" s="625"/>
    </row>
    <row r="2" spans="1:22">
      <c r="A2" s="624" t="s">
        <v>2253</v>
      </c>
      <c r="B2" s="624"/>
      <c r="C2" s="624"/>
      <c r="D2" s="624"/>
      <c r="E2" s="624"/>
      <c r="F2" s="624"/>
      <c r="G2" s="624"/>
      <c r="H2" s="624"/>
      <c r="I2" s="624"/>
      <c r="J2" s="624"/>
      <c r="K2" s="624"/>
      <c r="L2" s="624"/>
      <c r="M2" s="624"/>
      <c r="N2" s="624"/>
      <c r="O2" s="624"/>
      <c r="P2" s="624"/>
      <c r="Q2" s="624"/>
      <c r="R2" s="624"/>
      <c r="S2" s="624"/>
      <c r="T2" s="624"/>
      <c r="U2" s="624"/>
      <c r="V2" s="624"/>
    </row>
    <row r="3" spans="1:22">
      <c r="A3" s="1"/>
      <c r="B3" s="1"/>
      <c r="C3" s="1"/>
      <c r="D3" s="1"/>
      <c r="E3" s="1"/>
      <c r="F3" s="1"/>
      <c r="G3" s="1"/>
      <c r="H3" s="1"/>
      <c r="I3" s="1"/>
      <c r="J3" s="1"/>
      <c r="K3" s="1"/>
      <c r="L3" s="1"/>
      <c r="M3" s="1"/>
      <c r="N3" s="1"/>
      <c r="O3" s="1"/>
      <c r="P3" s="1"/>
      <c r="Q3" s="1"/>
      <c r="R3" s="1"/>
      <c r="S3" s="1"/>
      <c r="T3" s="1"/>
      <c r="U3" s="1"/>
      <c r="V3" s="1"/>
    </row>
    <row r="4" spans="1:22" ht="32">
      <c r="A4" s="370" t="s">
        <v>2254</v>
      </c>
      <c r="B4" s="371" t="s">
        <v>1872</v>
      </c>
      <c r="C4" s="371" t="s">
        <v>1090</v>
      </c>
      <c r="D4" s="371" t="s">
        <v>2255</v>
      </c>
      <c r="E4" s="371" t="s">
        <v>2256</v>
      </c>
      <c r="F4" s="371" t="s">
        <v>2257</v>
      </c>
      <c r="G4" s="371" t="s">
        <v>2258</v>
      </c>
      <c r="H4" s="371" t="s">
        <v>2259</v>
      </c>
      <c r="I4" s="371" t="s">
        <v>2260</v>
      </c>
      <c r="J4" s="371" t="s">
        <v>2261</v>
      </c>
      <c r="K4" s="371" t="s">
        <v>2262</v>
      </c>
      <c r="L4" s="371" t="s">
        <v>1264</v>
      </c>
      <c r="M4" s="371" t="s">
        <v>1668</v>
      </c>
      <c r="N4" s="371" t="s">
        <v>1171</v>
      </c>
      <c r="O4" s="371" t="s">
        <v>2263</v>
      </c>
      <c r="P4" s="371" t="s">
        <v>2264</v>
      </c>
      <c r="Q4" s="371" t="s">
        <v>2265</v>
      </c>
      <c r="R4" s="371" t="s">
        <v>2266</v>
      </c>
      <c r="S4" s="371" t="s">
        <v>2267</v>
      </c>
      <c r="T4" s="371" t="s">
        <v>2268</v>
      </c>
      <c r="U4" s="371" t="s">
        <v>1909</v>
      </c>
      <c r="V4" s="372" t="s">
        <v>2269</v>
      </c>
    </row>
    <row r="5" spans="1:22" ht="16">
      <c r="A5" s="397" t="s">
        <v>1094</v>
      </c>
      <c r="B5" s="398" t="s">
        <v>2072</v>
      </c>
      <c r="C5" s="399">
        <v>5</v>
      </c>
      <c r="D5" s="398" t="s">
        <v>2270</v>
      </c>
      <c r="E5" s="400">
        <v>0</v>
      </c>
      <c r="F5" s="400">
        <v>0</v>
      </c>
      <c r="G5" s="400"/>
      <c r="H5" s="400">
        <v>1694</v>
      </c>
      <c r="I5" s="400">
        <v>0</v>
      </c>
      <c r="J5" s="400">
        <v>1694</v>
      </c>
      <c r="K5" s="401">
        <v>84</v>
      </c>
      <c r="L5" s="402" t="str">
        <f>INDEX('Service Master'!$E$5:$E$34,MATCH(B5,'Service Master'!$A$5:$A$34,0))</f>
        <v>AUTO</v>
      </c>
      <c r="M5" s="403">
        <f>INDEX('Service Master'!$D$5:$D$34,MATCH(B5,'Service Master'!$A$5:$A$34,0))</f>
        <v>1</v>
      </c>
      <c r="N5" s="404">
        <f>MAX(C5,'Global Pricing Config'!$B$6)</f>
        <v>5</v>
      </c>
      <c r="O5" s="405">
        <f>IF(L5="MANUAL","",MAX((IF(ISNUMBER(G5),G5,(N5*'Global Pricing Config'!$B$5*M5+'Global Pricing Config'!$B$7)))-(MIN(MAX(F5,0),MAX((IF(ISNUMBER(G5),G5,(N5*'Global Pricing Config'!$B$5*M5+'Global Pricing Config'!$B$7)))*'Global Pricing Config'!$B$14,0),MAX(IF(ISNUMBER(G5),G5,(N5*'Global Pricing Config'!$B$5*M5+'Global Pricing Config'!$B$7)),0))),0))</f>
        <v>1694</v>
      </c>
      <c r="P5" s="405">
        <f>IF(D5="YES",E5+'Global Pricing Config'!$B$9,0)</f>
        <v>0</v>
      </c>
      <c r="Q5" s="405">
        <f t="shared" ref="Q5:Q12" si="0">IF(L5="MANUAL","",O5+P5)</f>
        <v>1694</v>
      </c>
      <c r="R5" s="406">
        <f>IF(L5="MANUAL","",FLOOR((MAX((IF(ISNUMBER(G5),G5,(N5*'Global Pricing Config'!$B$5*M5+'Global Pricing Config'!$B$7)))-(MIN(MAX(F5,0),MAX((IF(ISNUMBER(G5),G5,(N5*'Global Pricing Config'!$B$5*M5+'Global Pricing Config'!$B$7)))*'Global Pricing Config'!$B$14,0),MAX(IF(ISNUMBER(G5),G5,(N5*'Global Pricing Config'!$B$5*M5+'Global Pricing Config'!$B$7)),0))),0))*'Global Pricing Config'!$B$12/'Global Pricing Config'!$B$13,1))</f>
        <v>84</v>
      </c>
      <c r="S5" s="405">
        <f>IF(L5="MANUAL","",((IF(ISNUMBER(G5),G5,(N5*'Global Pricing Config'!$B$5*M5+'Global Pricing Config'!$B$7)))*'Global Pricing Config'!$B$14))</f>
        <v>338.8</v>
      </c>
      <c r="T5" s="405">
        <f>IF(L5="MANUAL","",(MIN(MAX(F5,0),MAX((IF(ISNUMBER(G5),G5,(N5*'Global Pricing Config'!$B$5*M5+'Global Pricing Config'!$B$7)))*'Global Pricing Config'!$B$14,0),MAX(IF(ISNUMBER(G5),G5,(N5*'Global Pricing Config'!$B$5*M5+'Global Pricing Config'!$B$7)),0))))</f>
        <v>0</v>
      </c>
      <c r="U5" s="402" t="str">
        <f t="shared" ref="U5:U12" si="1">IF(L5="MANUAL","MANUAL PRICING REQUIRED",IF(F5&gt;T5,"CREDIT DISCOUNT CAPPED","VALID"))</f>
        <v>VALID</v>
      </c>
      <c r="V5" s="407" t="str">
        <f t="shared" ref="V5:V11" si="2">IF(AND(ABS(O5-H5)&lt;0.01,ABS(P5-I5)&lt;0.01,ABS(Q5-J5)&lt;0.01,R5=K5),"PASS","CHECK")</f>
        <v>PASS</v>
      </c>
    </row>
    <row r="6" spans="1:22" ht="16">
      <c r="A6" s="397" t="s">
        <v>1095</v>
      </c>
      <c r="B6" s="398" t="s">
        <v>2072</v>
      </c>
      <c r="C6" s="399">
        <v>5</v>
      </c>
      <c r="D6" s="398" t="s">
        <v>2271</v>
      </c>
      <c r="E6" s="400">
        <v>500</v>
      </c>
      <c r="F6" s="400">
        <v>0</v>
      </c>
      <c r="G6" s="400"/>
      <c r="H6" s="400">
        <v>1694</v>
      </c>
      <c r="I6" s="400">
        <v>649</v>
      </c>
      <c r="J6" s="400">
        <v>2343</v>
      </c>
      <c r="K6" s="401">
        <v>84</v>
      </c>
      <c r="L6" s="402" t="str">
        <f>INDEX('Service Master'!$E$5:$E$34,MATCH(B6,'Service Master'!$A$5:$A$34,0))</f>
        <v>AUTO</v>
      </c>
      <c r="M6" s="403">
        <f>INDEX('Service Master'!$D$5:$D$34,MATCH(B6,'Service Master'!$A$5:$A$34,0))</f>
        <v>1</v>
      </c>
      <c r="N6" s="404">
        <f>MAX(C6,'Global Pricing Config'!$B$6)</f>
        <v>5</v>
      </c>
      <c r="O6" s="405">
        <f>IF(L6="MANUAL","",MAX((IF(ISNUMBER(G6),G6,(N6*'Global Pricing Config'!$B$5*M6+'Global Pricing Config'!$B$7)))-(MIN(MAX(F6,0),MAX((IF(ISNUMBER(G6),G6,(N6*'Global Pricing Config'!$B$5*M6+'Global Pricing Config'!$B$7)))*'Global Pricing Config'!$B$14,0),MAX(IF(ISNUMBER(G6),G6,(N6*'Global Pricing Config'!$B$5*M6+'Global Pricing Config'!$B$7)),0))),0))</f>
        <v>1694</v>
      </c>
      <c r="P6" s="405">
        <f>IF(D6="YES",E6+'Global Pricing Config'!$B$9,0)</f>
        <v>649</v>
      </c>
      <c r="Q6" s="405">
        <f t="shared" si="0"/>
        <v>2343</v>
      </c>
      <c r="R6" s="406">
        <f>IF(L6="MANUAL","",FLOOR((MAX((IF(ISNUMBER(G6),G6,(N6*'Global Pricing Config'!$B$5*M6+'Global Pricing Config'!$B$7)))-(MIN(MAX(F6,0),MAX((IF(ISNUMBER(G6),G6,(N6*'Global Pricing Config'!$B$5*M6+'Global Pricing Config'!$B$7)))*'Global Pricing Config'!$B$14,0),MAX(IF(ISNUMBER(G6),G6,(N6*'Global Pricing Config'!$B$5*M6+'Global Pricing Config'!$B$7)),0))),0))*'Global Pricing Config'!$B$12/'Global Pricing Config'!$B$13,1))</f>
        <v>84</v>
      </c>
      <c r="S6" s="405">
        <f>IF(L6="MANUAL","",((IF(ISNUMBER(G6),G6,(N6*'Global Pricing Config'!$B$5*M6+'Global Pricing Config'!$B$7)))*'Global Pricing Config'!$B$14))</f>
        <v>338.8</v>
      </c>
      <c r="T6" s="405">
        <f>IF(L6="MANUAL","",(MIN(MAX(F6,0),MAX((IF(ISNUMBER(G6),G6,(N6*'Global Pricing Config'!$B$5*M6+'Global Pricing Config'!$B$7)))*'Global Pricing Config'!$B$14,0),MAX(IF(ISNUMBER(G6),G6,(N6*'Global Pricing Config'!$B$5*M6+'Global Pricing Config'!$B$7)),0))))</f>
        <v>0</v>
      </c>
      <c r="U6" s="402" t="str">
        <f t="shared" si="1"/>
        <v>VALID</v>
      </c>
      <c r="V6" s="407" t="str">
        <f t="shared" si="2"/>
        <v>PASS</v>
      </c>
    </row>
    <row r="7" spans="1:22" ht="16">
      <c r="A7" s="397" t="s">
        <v>2272</v>
      </c>
      <c r="B7" s="398" t="s">
        <v>2072</v>
      </c>
      <c r="C7" s="399">
        <v>5</v>
      </c>
      <c r="D7" s="398" t="s">
        <v>2271</v>
      </c>
      <c r="E7" s="400">
        <v>500</v>
      </c>
      <c r="F7" s="400">
        <v>20</v>
      </c>
      <c r="G7" s="400"/>
      <c r="H7" s="400">
        <v>1674</v>
      </c>
      <c r="I7" s="400">
        <v>649</v>
      </c>
      <c r="J7" s="400">
        <v>2323</v>
      </c>
      <c r="K7" s="401">
        <v>83</v>
      </c>
      <c r="L7" s="402" t="str">
        <f>INDEX('Service Master'!$E$5:$E$34,MATCH(B7,'Service Master'!$A$5:$A$34,0))</f>
        <v>AUTO</v>
      </c>
      <c r="M7" s="403">
        <f>INDEX('Service Master'!$D$5:$D$34,MATCH(B7,'Service Master'!$A$5:$A$34,0))</f>
        <v>1</v>
      </c>
      <c r="N7" s="404">
        <f>MAX(C7,'Global Pricing Config'!$B$6)</f>
        <v>5</v>
      </c>
      <c r="O7" s="405">
        <f>IF(L7="MANUAL","",MAX((IF(ISNUMBER(G7),G7,(N7*'Global Pricing Config'!$B$5*M7+'Global Pricing Config'!$B$7)))-(MIN(MAX(F7,0),MAX((IF(ISNUMBER(G7),G7,(N7*'Global Pricing Config'!$B$5*M7+'Global Pricing Config'!$B$7)))*'Global Pricing Config'!$B$14,0),MAX(IF(ISNUMBER(G7),G7,(N7*'Global Pricing Config'!$B$5*M7+'Global Pricing Config'!$B$7)),0))),0))</f>
        <v>1674</v>
      </c>
      <c r="P7" s="405">
        <f>IF(D7="YES",E7+'Global Pricing Config'!$B$9,0)</f>
        <v>649</v>
      </c>
      <c r="Q7" s="405">
        <f t="shared" si="0"/>
        <v>2323</v>
      </c>
      <c r="R7" s="406">
        <f>IF(L7="MANUAL","",FLOOR((MAX((IF(ISNUMBER(G7),G7,(N7*'Global Pricing Config'!$B$5*M7+'Global Pricing Config'!$B$7)))-(MIN(MAX(F7,0),MAX((IF(ISNUMBER(G7),G7,(N7*'Global Pricing Config'!$B$5*M7+'Global Pricing Config'!$B$7)))*'Global Pricing Config'!$B$14,0),MAX(IF(ISNUMBER(G7),G7,(N7*'Global Pricing Config'!$B$5*M7+'Global Pricing Config'!$B$7)),0))),0))*'Global Pricing Config'!$B$12/'Global Pricing Config'!$B$13,1))</f>
        <v>83</v>
      </c>
      <c r="S7" s="405">
        <f>IF(L7="MANUAL","",((IF(ISNUMBER(G7),G7,(N7*'Global Pricing Config'!$B$5*M7+'Global Pricing Config'!$B$7)))*'Global Pricing Config'!$B$14))</f>
        <v>338.8</v>
      </c>
      <c r="T7" s="405">
        <f>IF(L7="MANUAL","",(MIN(MAX(F7,0),MAX((IF(ISNUMBER(G7),G7,(N7*'Global Pricing Config'!$B$5*M7+'Global Pricing Config'!$B$7)))*'Global Pricing Config'!$B$14,0),MAX(IF(ISNUMBER(G7),G7,(N7*'Global Pricing Config'!$B$5*M7+'Global Pricing Config'!$B$7)),0))))</f>
        <v>20</v>
      </c>
      <c r="U7" s="402" t="str">
        <f t="shared" si="1"/>
        <v>VALID</v>
      </c>
      <c r="V7" s="407" t="str">
        <f t="shared" si="2"/>
        <v>PASS</v>
      </c>
    </row>
    <row r="8" spans="1:22" ht="16">
      <c r="A8" s="397" t="s">
        <v>2273</v>
      </c>
      <c r="B8" s="398" t="s">
        <v>2073</v>
      </c>
      <c r="C8" s="399">
        <v>5</v>
      </c>
      <c r="D8" s="398" t="s">
        <v>2270</v>
      </c>
      <c r="E8" s="400">
        <v>0</v>
      </c>
      <c r="F8" s="400">
        <v>0</v>
      </c>
      <c r="G8" s="400"/>
      <c r="H8" s="400">
        <v>1395</v>
      </c>
      <c r="I8" s="400">
        <v>0</v>
      </c>
      <c r="J8" s="400">
        <v>1395</v>
      </c>
      <c r="K8" s="401">
        <v>69</v>
      </c>
      <c r="L8" s="402" t="str">
        <f>INDEX('Service Master'!$E$5:$E$34,MATCH(B8,'Service Master'!$A$5:$A$34,0))</f>
        <v>AUTO</v>
      </c>
      <c r="M8" s="403">
        <f>INDEX('Service Master'!$D$5:$D$34,MATCH(B8,'Service Master'!$A$5:$A$34,0))</f>
        <v>0.8</v>
      </c>
      <c r="N8" s="404">
        <f>MAX(C8,'Global Pricing Config'!$B$6)</f>
        <v>5</v>
      </c>
      <c r="O8" s="405">
        <f>IF(L8="MANUAL","",MAX((IF(ISNUMBER(G8),G8,(N8*'Global Pricing Config'!$B$5*M8+'Global Pricing Config'!$B$7)))-(MIN(MAX(F8,0),MAX((IF(ISNUMBER(G8),G8,(N8*'Global Pricing Config'!$B$5*M8+'Global Pricing Config'!$B$7)))*'Global Pricing Config'!$B$14,0),MAX(IF(ISNUMBER(G8),G8,(N8*'Global Pricing Config'!$B$5*M8+'Global Pricing Config'!$B$7)),0))),0))</f>
        <v>1395</v>
      </c>
      <c r="P8" s="405">
        <f>IF(D8="YES",E8+'Global Pricing Config'!$B$9,0)</f>
        <v>0</v>
      </c>
      <c r="Q8" s="405">
        <f t="shared" si="0"/>
        <v>1395</v>
      </c>
      <c r="R8" s="406">
        <f>IF(L8="MANUAL","",FLOOR((MAX((IF(ISNUMBER(G8),G8,(N8*'Global Pricing Config'!$B$5*M8+'Global Pricing Config'!$B$7)))-(MIN(MAX(F8,0),MAX((IF(ISNUMBER(G8),G8,(N8*'Global Pricing Config'!$B$5*M8+'Global Pricing Config'!$B$7)))*'Global Pricing Config'!$B$14,0),MAX(IF(ISNUMBER(G8),G8,(N8*'Global Pricing Config'!$B$5*M8+'Global Pricing Config'!$B$7)),0))),0))*'Global Pricing Config'!$B$12/'Global Pricing Config'!$B$13,1))</f>
        <v>69</v>
      </c>
      <c r="S8" s="405">
        <f>IF(L8="MANUAL","",((IF(ISNUMBER(G8),G8,(N8*'Global Pricing Config'!$B$5*M8+'Global Pricing Config'!$B$7)))*'Global Pricing Config'!$B$14))</f>
        <v>279</v>
      </c>
      <c r="T8" s="405">
        <f>IF(L8="MANUAL","",(MIN(MAX(F8,0),MAX((IF(ISNUMBER(G8),G8,(N8*'Global Pricing Config'!$B$5*M8+'Global Pricing Config'!$B$7)))*'Global Pricing Config'!$B$14,0),MAX(IF(ISNUMBER(G8),G8,(N8*'Global Pricing Config'!$B$5*M8+'Global Pricing Config'!$B$7)),0))))</f>
        <v>0</v>
      </c>
      <c r="U8" s="402" t="str">
        <f t="shared" si="1"/>
        <v>VALID</v>
      </c>
      <c r="V8" s="407" t="str">
        <f t="shared" si="2"/>
        <v>PASS</v>
      </c>
    </row>
    <row r="9" spans="1:22" ht="16">
      <c r="A9" s="397" t="s">
        <v>2274</v>
      </c>
      <c r="B9" s="398" t="s">
        <v>2073</v>
      </c>
      <c r="C9" s="399">
        <v>5</v>
      </c>
      <c r="D9" s="398" t="s">
        <v>2270</v>
      </c>
      <c r="E9" s="400">
        <v>0</v>
      </c>
      <c r="F9" s="400">
        <v>100</v>
      </c>
      <c r="G9" s="400"/>
      <c r="H9" s="400">
        <v>1295</v>
      </c>
      <c r="I9" s="400">
        <v>0</v>
      </c>
      <c r="J9" s="400">
        <v>1295</v>
      </c>
      <c r="K9" s="401">
        <v>64</v>
      </c>
      <c r="L9" s="402" t="str">
        <f>INDEX('Service Master'!$E$5:$E$34,MATCH(B9,'Service Master'!$A$5:$A$34,0))</f>
        <v>AUTO</v>
      </c>
      <c r="M9" s="403">
        <f>INDEX('Service Master'!$D$5:$D$34,MATCH(B9,'Service Master'!$A$5:$A$34,0))</f>
        <v>0.8</v>
      </c>
      <c r="N9" s="404">
        <f>MAX(C9,'Global Pricing Config'!$B$6)</f>
        <v>5</v>
      </c>
      <c r="O9" s="405">
        <f>IF(L9="MANUAL","",MAX((IF(ISNUMBER(G9),G9,(N9*'Global Pricing Config'!$B$5*M9+'Global Pricing Config'!$B$7)))-(MIN(MAX(F9,0),MAX((IF(ISNUMBER(G9),G9,(N9*'Global Pricing Config'!$B$5*M9+'Global Pricing Config'!$B$7)))*'Global Pricing Config'!$B$14,0),MAX(IF(ISNUMBER(G9),G9,(N9*'Global Pricing Config'!$B$5*M9+'Global Pricing Config'!$B$7)),0))),0))</f>
        <v>1295</v>
      </c>
      <c r="P9" s="405">
        <f>IF(D9="YES",E9+'Global Pricing Config'!$B$9,0)</f>
        <v>0</v>
      </c>
      <c r="Q9" s="405">
        <f t="shared" si="0"/>
        <v>1295</v>
      </c>
      <c r="R9" s="406">
        <f>IF(L9="MANUAL","",FLOOR((MAX((IF(ISNUMBER(G9),G9,(N9*'Global Pricing Config'!$B$5*M9+'Global Pricing Config'!$B$7)))-(MIN(MAX(F9,0),MAX((IF(ISNUMBER(G9),G9,(N9*'Global Pricing Config'!$B$5*M9+'Global Pricing Config'!$B$7)))*'Global Pricing Config'!$B$14,0),MAX(IF(ISNUMBER(G9),G9,(N9*'Global Pricing Config'!$B$5*M9+'Global Pricing Config'!$B$7)),0))),0))*'Global Pricing Config'!$B$12/'Global Pricing Config'!$B$13,1))</f>
        <v>64</v>
      </c>
      <c r="S9" s="405">
        <f>IF(L9="MANUAL","",((IF(ISNUMBER(G9),G9,(N9*'Global Pricing Config'!$B$5*M9+'Global Pricing Config'!$B$7)))*'Global Pricing Config'!$B$14))</f>
        <v>279</v>
      </c>
      <c r="T9" s="405">
        <f>IF(L9="MANUAL","",(MIN(MAX(F9,0),MAX((IF(ISNUMBER(G9),G9,(N9*'Global Pricing Config'!$B$5*M9+'Global Pricing Config'!$B$7)))*'Global Pricing Config'!$B$14,0),MAX(IF(ISNUMBER(G9),G9,(N9*'Global Pricing Config'!$B$5*M9+'Global Pricing Config'!$B$7)),0))))</f>
        <v>100</v>
      </c>
      <c r="U9" s="402" t="str">
        <f t="shared" si="1"/>
        <v>VALID</v>
      </c>
      <c r="V9" s="407" t="str">
        <f t="shared" si="2"/>
        <v>PASS</v>
      </c>
    </row>
    <row r="10" spans="1:22" ht="31">
      <c r="A10" s="397" t="s">
        <v>2275</v>
      </c>
      <c r="B10" s="398" t="s">
        <v>2072</v>
      </c>
      <c r="C10" s="399">
        <v>5</v>
      </c>
      <c r="D10" s="398" t="s">
        <v>2270</v>
      </c>
      <c r="E10" s="400">
        <v>0</v>
      </c>
      <c r="F10" s="400">
        <v>500</v>
      </c>
      <c r="G10" s="400"/>
      <c r="H10" s="400">
        <v>1355.2</v>
      </c>
      <c r="I10" s="400">
        <v>0</v>
      </c>
      <c r="J10" s="400">
        <v>1355.2</v>
      </c>
      <c r="K10" s="401">
        <v>67</v>
      </c>
      <c r="L10" s="402" t="str">
        <f>INDEX('Service Master'!$E$5:$E$34,MATCH(B10,'Service Master'!$A$5:$A$34,0))</f>
        <v>AUTO</v>
      </c>
      <c r="M10" s="403">
        <f>INDEX('Service Master'!$D$5:$D$34,MATCH(B10,'Service Master'!$A$5:$A$34,0))</f>
        <v>1</v>
      </c>
      <c r="N10" s="404">
        <f>MAX(C10,'Global Pricing Config'!$B$6)</f>
        <v>5</v>
      </c>
      <c r="O10" s="405">
        <f>IF(L10="MANUAL","",MAX((IF(ISNUMBER(G10),G10,(N10*'Global Pricing Config'!$B$5*M10+'Global Pricing Config'!$B$7)))-(MIN(MAX(F10,0),MAX((IF(ISNUMBER(G10),G10,(N10*'Global Pricing Config'!$B$5*M10+'Global Pricing Config'!$B$7)))*'Global Pricing Config'!$B$14,0),MAX(IF(ISNUMBER(G10),G10,(N10*'Global Pricing Config'!$B$5*M10+'Global Pricing Config'!$B$7)),0))),0))</f>
        <v>1355.2</v>
      </c>
      <c r="P10" s="405">
        <f>IF(D10="YES",E10+'Global Pricing Config'!$B$9,0)</f>
        <v>0</v>
      </c>
      <c r="Q10" s="405">
        <f t="shared" si="0"/>
        <v>1355.2</v>
      </c>
      <c r="R10" s="406">
        <f>IF(L10="MANUAL","",FLOOR((MAX((IF(ISNUMBER(G10),G10,(N10*'Global Pricing Config'!$B$5*M10+'Global Pricing Config'!$B$7)))-(MIN(MAX(F10,0),MAX((IF(ISNUMBER(G10),G10,(N10*'Global Pricing Config'!$B$5*M10+'Global Pricing Config'!$B$7)))*'Global Pricing Config'!$B$14,0),MAX(IF(ISNUMBER(G10),G10,(N10*'Global Pricing Config'!$B$5*M10+'Global Pricing Config'!$B$7)),0))),0))*'Global Pricing Config'!$B$12/'Global Pricing Config'!$B$13,1))</f>
        <v>67</v>
      </c>
      <c r="S10" s="405">
        <f>IF(L10="MANUAL","",((IF(ISNUMBER(G10),G10,(N10*'Global Pricing Config'!$B$5*M10+'Global Pricing Config'!$B$7)))*'Global Pricing Config'!$B$14))</f>
        <v>338.8</v>
      </c>
      <c r="T10" s="405">
        <f>IF(L10="MANUAL","",(MIN(MAX(F10,0),MAX((IF(ISNUMBER(G10),G10,(N10*'Global Pricing Config'!$B$5*M10+'Global Pricing Config'!$B$7)))*'Global Pricing Config'!$B$14,0),MAX(IF(ISNUMBER(G10),G10,(N10*'Global Pricing Config'!$B$5*M10+'Global Pricing Config'!$B$7)),0))))</f>
        <v>338.8</v>
      </c>
      <c r="U10" s="402" t="str">
        <f t="shared" si="1"/>
        <v>CREDIT DISCOUNT CAPPED</v>
      </c>
      <c r="V10" s="407" t="str">
        <f t="shared" si="2"/>
        <v>PASS</v>
      </c>
    </row>
    <row r="11" spans="1:22" ht="16">
      <c r="A11" s="397" t="s">
        <v>2276</v>
      </c>
      <c r="B11" s="398" t="s">
        <v>2072</v>
      </c>
      <c r="C11" s="399">
        <v>1</v>
      </c>
      <c r="D11" s="398" t="s">
        <v>2270</v>
      </c>
      <c r="E11" s="400">
        <v>0</v>
      </c>
      <c r="F11" s="400">
        <v>0</v>
      </c>
      <c r="G11" s="400"/>
      <c r="H11" s="400">
        <v>797</v>
      </c>
      <c r="I11" s="400">
        <v>0</v>
      </c>
      <c r="J11" s="400">
        <v>797</v>
      </c>
      <c r="K11" s="401">
        <v>39</v>
      </c>
      <c r="L11" s="402" t="str">
        <f>INDEX('Service Master'!$E$5:$E$34,MATCH(B11,'Service Master'!$A$5:$A$34,0))</f>
        <v>AUTO</v>
      </c>
      <c r="M11" s="403">
        <f>INDEX('Service Master'!$D$5:$D$34,MATCH(B11,'Service Master'!$A$5:$A$34,0))</f>
        <v>1</v>
      </c>
      <c r="N11" s="404">
        <f>MAX(C11,'Global Pricing Config'!$B$6)</f>
        <v>2</v>
      </c>
      <c r="O11" s="405">
        <f>IF(L11="MANUAL","",MAX((IF(ISNUMBER(G11),G11,(N11*'Global Pricing Config'!$B$5*M11+'Global Pricing Config'!$B$7)))-(MIN(MAX(F11,0),MAX((IF(ISNUMBER(G11),G11,(N11*'Global Pricing Config'!$B$5*M11+'Global Pricing Config'!$B$7)))*'Global Pricing Config'!$B$14,0),MAX(IF(ISNUMBER(G11),G11,(N11*'Global Pricing Config'!$B$5*M11+'Global Pricing Config'!$B$7)),0))),0))</f>
        <v>797</v>
      </c>
      <c r="P11" s="405">
        <f>IF(D11="YES",E11+'Global Pricing Config'!$B$9,0)</f>
        <v>0</v>
      </c>
      <c r="Q11" s="405">
        <f t="shared" si="0"/>
        <v>797</v>
      </c>
      <c r="R11" s="406">
        <f>IF(L11="MANUAL","",FLOOR((MAX((IF(ISNUMBER(G11),G11,(N11*'Global Pricing Config'!$B$5*M11+'Global Pricing Config'!$B$7)))-(MIN(MAX(F11,0),MAX((IF(ISNUMBER(G11),G11,(N11*'Global Pricing Config'!$B$5*M11+'Global Pricing Config'!$B$7)))*'Global Pricing Config'!$B$14,0),MAX(IF(ISNUMBER(G11),G11,(N11*'Global Pricing Config'!$B$5*M11+'Global Pricing Config'!$B$7)),0))),0))*'Global Pricing Config'!$B$12/'Global Pricing Config'!$B$13,1))</f>
        <v>39</v>
      </c>
      <c r="S11" s="405">
        <f>IF(L11="MANUAL","",((IF(ISNUMBER(G11),G11,(N11*'Global Pricing Config'!$B$5*M11+'Global Pricing Config'!$B$7)))*'Global Pricing Config'!$B$14))</f>
        <v>159.4</v>
      </c>
      <c r="T11" s="405">
        <f>IF(L11="MANUAL","",(MIN(MAX(F11,0),MAX((IF(ISNUMBER(G11),G11,(N11*'Global Pricing Config'!$B$5*M11+'Global Pricing Config'!$B$7)))*'Global Pricing Config'!$B$14,0),MAX(IF(ISNUMBER(G11),G11,(N11*'Global Pricing Config'!$B$5*M11+'Global Pricing Config'!$B$7)),0))))</f>
        <v>0</v>
      </c>
      <c r="U11" s="402" t="str">
        <f t="shared" si="1"/>
        <v>VALID</v>
      </c>
      <c r="V11" s="407" t="str">
        <f t="shared" si="2"/>
        <v>PASS</v>
      </c>
    </row>
    <row r="12" spans="1:22" ht="31">
      <c r="A12" s="408" t="s">
        <v>2277</v>
      </c>
      <c r="B12" s="409" t="s">
        <v>2079</v>
      </c>
      <c r="C12" s="410">
        <v>8</v>
      </c>
      <c r="D12" s="409" t="s">
        <v>2270</v>
      </c>
      <c r="E12" s="411">
        <v>0</v>
      </c>
      <c r="F12" s="411">
        <v>0</v>
      </c>
      <c r="G12" s="411"/>
      <c r="H12" s="411"/>
      <c r="I12" s="411">
        <v>0</v>
      </c>
      <c r="J12" s="411"/>
      <c r="K12" s="412"/>
      <c r="L12" s="413" t="str">
        <f>INDEX('Service Master'!$E$5:$E$34,MATCH(B12,'Service Master'!$A$5:$A$34,0))</f>
        <v>MANUAL</v>
      </c>
      <c r="M12" s="414">
        <f>INDEX('Service Master'!$D$5:$D$34,MATCH(B12,'Service Master'!$A$5:$A$34,0))</f>
        <v>0.85</v>
      </c>
      <c r="N12" s="415">
        <f>MAX(C12,'Global Pricing Config'!$B$6)</f>
        <v>8</v>
      </c>
      <c r="O12" s="416" t="str">
        <f>IF(L12="MANUAL","",MAX((IF(ISNUMBER(G12),G12,(N12*'Global Pricing Config'!$B$5*M12+'Global Pricing Config'!$B$7)))-(MIN(MAX(F12,0),MAX((IF(ISNUMBER(G12),G12,(N12*'Global Pricing Config'!$B$5*M12+'Global Pricing Config'!$B$7)))*'Global Pricing Config'!$B$14,0),MAX(IF(ISNUMBER(G12),G12,(N12*'Global Pricing Config'!$B$5*M12+'Global Pricing Config'!$B$7)),0))),0))</f>
        <v/>
      </c>
      <c r="P12" s="416">
        <f>IF(D12="YES",E12+'Global Pricing Config'!$B$9,0)</f>
        <v>0</v>
      </c>
      <c r="Q12" s="416" t="str">
        <f t="shared" si="0"/>
        <v/>
      </c>
      <c r="R12" s="417" t="str">
        <f>IF(L12="MANUAL","",FLOOR((MAX((IF(ISNUMBER(G12),G12,(N12*'Global Pricing Config'!$B$5*M12+'Global Pricing Config'!$B$7)))-(MIN(MAX(F12,0),MAX((IF(ISNUMBER(G12),G12,(N12*'Global Pricing Config'!$B$5*M12+'Global Pricing Config'!$B$7)))*'Global Pricing Config'!$B$14,0),MAX(IF(ISNUMBER(G12),G12,(N12*'Global Pricing Config'!$B$5*M12+'Global Pricing Config'!$B$7)),0))),0))*'Global Pricing Config'!$B$12/'Global Pricing Config'!$B$13,1))</f>
        <v/>
      </c>
      <c r="S12" s="416" t="str">
        <f>IF(L12="MANUAL","",((IF(ISNUMBER(G12),G12,(N12*'Global Pricing Config'!$B$5*M12+'Global Pricing Config'!$B$7)))*'Global Pricing Config'!$B$14))</f>
        <v/>
      </c>
      <c r="T12" s="416" t="str">
        <f>IF(L12="MANUAL","",(MIN(MAX(F12,0),MAX((IF(ISNUMBER(G12),G12,(N12*'Global Pricing Config'!$B$5*M12+'Global Pricing Config'!$B$7)))*'Global Pricing Config'!$B$14,0),MAX(IF(ISNUMBER(G12),G12,(N12*'Global Pricing Config'!$B$5*M12+'Global Pricing Config'!$B$7)),0))))</f>
        <v/>
      </c>
      <c r="U12" s="413" t="str">
        <f t="shared" si="1"/>
        <v>MANUAL PRICING REQUIRED</v>
      </c>
      <c r="V12" s="418" t="str">
        <f>IF(U12="MANUAL PRICING REQUIRED","PASS","CHECK")</f>
        <v>PASS</v>
      </c>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sheetData>
  <mergeCells count="2">
    <mergeCell ref="A1:V1"/>
    <mergeCell ref="A2:V2"/>
  </mergeCells>
  <conditionalFormatting sqref="V5:V12">
    <cfRule type="expression" dxfId="7" priority="1">
      <formula>V5="PASS"</formula>
    </cfRule>
    <cfRule type="expression" dxfId="6" priority="2">
      <formula>V5="CHECK"</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6"/>
  <sheetViews>
    <sheetView workbookViewId="0"/>
  </sheetViews>
  <sheetFormatPr baseColWidth="10" defaultColWidth="8.83203125" defaultRowHeight="14"/>
  <cols>
    <col min="1" max="1" width="28" customWidth="1"/>
    <col min="2" max="2" width="24" customWidth="1"/>
    <col min="3" max="3" width="34" customWidth="1"/>
    <col min="4" max="4" width="26" customWidth="1"/>
    <col min="5" max="6" width="48" customWidth="1"/>
    <col min="8" max="8" width="26" customWidth="1"/>
    <col min="9" max="9" width="22" customWidth="1"/>
    <col min="10" max="10" width="44" customWidth="1"/>
  </cols>
  <sheetData>
    <row r="1" spans="1:10" ht="40" customHeight="1">
      <c r="A1" s="625" t="s">
        <v>2278</v>
      </c>
      <c r="B1" s="625"/>
      <c r="C1" s="625"/>
      <c r="D1" s="625"/>
      <c r="E1" s="625"/>
      <c r="F1" s="625"/>
      <c r="H1" s="630" t="s">
        <v>2279</v>
      </c>
      <c r="I1" s="630"/>
      <c r="J1" s="630"/>
    </row>
    <row r="2" spans="1:10">
      <c r="A2" s="624" t="s">
        <v>2280</v>
      </c>
      <c r="B2" s="624"/>
      <c r="C2" s="624"/>
      <c r="D2" s="624"/>
      <c r="E2" s="624"/>
      <c r="F2" s="624"/>
      <c r="H2" s="1"/>
      <c r="I2" s="1"/>
      <c r="J2" s="1"/>
    </row>
    <row r="3" spans="1:10" ht="15">
      <c r="A3" s="1"/>
      <c r="B3" s="1"/>
      <c r="C3" s="1"/>
      <c r="D3" s="1"/>
      <c r="E3" s="1"/>
      <c r="F3" s="1"/>
      <c r="H3" s="419" t="s">
        <v>2281</v>
      </c>
      <c r="I3" s="420" t="s">
        <v>2282</v>
      </c>
      <c r="J3" s="421" t="s">
        <v>2283</v>
      </c>
    </row>
    <row r="4" spans="1:10" ht="16">
      <c r="A4" s="370" t="s">
        <v>2284</v>
      </c>
      <c r="B4" s="371" t="s">
        <v>2285</v>
      </c>
      <c r="C4" s="371" t="s">
        <v>2286</v>
      </c>
      <c r="D4" s="371" t="s">
        <v>2287</v>
      </c>
      <c r="E4" s="371" t="s">
        <v>1669</v>
      </c>
      <c r="F4" s="372" t="s">
        <v>2288</v>
      </c>
      <c r="H4" s="373" t="s">
        <v>2289</v>
      </c>
      <c r="I4" s="375" t="s">
        <v>2282</v>
      </c>
      <c r="J4" s="376" t="s">
        <v>2290</v>
      </c>
    </row>
    <row r="5" spans="1:10" ht="31">
      <c r="A5" s="373" t="s">
        <v>2291</v>
      </c>
      <c r="B5" s="375" t="s">
        <v>2292</v>
      </c>
      <c r="C5" s="375" t="s">
        <v>2293</v>
      </c>
      <c r="D5" s="375" t="s">
        <v>2294</v>
      </c>
      <c r="E5" s="375" t="s">
        <v>2295</v>
      </c>
      <c r="F5" s="376" t="s">
        <v>2296</v>
      </c>
      <c r="H5" s="373" t="s">
        <v>2297</v>
      </c>
      <c r="I5" s="375" t="s">
        <v>2282</v>
      </c>
      <c r="J5" s="376" t="s">
        <v>2298</v>
      </c>
    </row>
    <row r="6" spans="1:10" ht="31">
      <c r="A6" s="373" t="s">
        <v>2291</v>
      </c>
      <c r="B6" s="375" t="s">
        <v>2299</v>
      </c>
      <c r="C6" s="375" t="s">
        <v>2300</v>
      </c>
      <c r="D6" s="375" t="s">
        <v>2301</v>
      </c>
      <c r="E6" s="375" t="s">
        <v>2302</v>
      </c>
      <c r="F6" s="376" t="s">
        <v>2303</v>
      </c>
      <c r="H6" s="373" t="s">
        <v>2304</v>
      </c>
      <c r="I6" s="375" t="s">
        <v>2282</v>
      </c>
      <c r="J6" s="376" t="s">
        <v>2305</v>
      </c>
    </row>
    <row r="7" spans="1:10" ht="31">
      <c r="A7" s="373" t="s">
        <v>2291</v>
      </c>
      <c r="B7" s="375" t="s">
        <v>2306</v>
      </c>
      <c r="C7" s="375" t="s">
        <v>2307</v>
      </c>
      <c r="D7" s="375" t="s">
        <v>2301</v>
      </c>
      <c r="E7" s="375" t="s">
        <v>2308</v>
      </c>
      <c r="F7" s="376" t="s">
        <v>2309</v>
      </c>
      <c r="H7" s="373" t="s">
        <v>2310</v>
      </c>
      <c r="I7" s="375" t="s">
        <v>2282</v>
      </c>
      <c r="J7" s="376" t="s">
        <v>2311</v>
      </c>
    </row>
    <row r="8" spans="1:10" ht="16">
      <c r="A8" s="373" t="s">
        <v>2291</v>
      </c>
      <c r="B8" s="375" t="s">
        <v>2312</v>
      </c>
      <c r="C8" s="375" t="s">
        <v>2313</v>
      </c>
      <c r="D8" s="375" t="s">
        <v>2314</v>
      </c>
      <c r="E8" s="375" t="s">
        <v>2315</v>
      </c>
      <c r="F8" s="376" t="s">
        <v>2316</v>
      </c>
      <c r="H8" s="373" t="s">
        <v>2317</v>
      </c>
      <c r="I8" s="375" t="s">
        <v>2282</v>
      </c>
      <c r="J8" s="376" t="s">
        <v>2318</v>
      </c>
    </row>
    <row r="9" spans="1:10" ht="16">
      <c r="A9" s="373" t="s">
        <v>2291</v>
      </c>
      <c r="B9" s="375" t="s">
        <v>2319</v>
      </c>
      <c r="C9" s="375" t="s">
        <v>2320</v>
      </c>
      <c r="D9" s="375" t="s">
        <v>2294</v>
      </c>
      <c r="E9" s="375" t="s">
        <v>2321</v>
      </c>
      <c r="F9" s="376" t="s">
        <v>2322</v>
      </c>
      <c r="H9" s="373" t="s">
        <v>2323</v>
      </c>
      <c r="I9" s="375" t="s">
        <v>2282</v>
      </c>
      <c r="J9" s="376" t="s">
        <v>2324</v>
      </c>
    </row>
    <row r="10" spans="1:10" ht="31">
      <c r="A10" s="373" t="s">
        <v>2146</v>
      </c>
      <c r="B10" s="375" t="s">
        <v>2325</v>
      </c>
      <c r="C10" s="375" t="s">
        <v>2326</v>
      </c>
      <c r="D10" s="375" t="s">
        <v>2314</v>
      </c>
      <c r="E10" s="375" t="s">
        <v>2327</v>
      </c>
      <c r="F10" s="376" t="s">
        <v>2328</v>
      </c>
      <c r="H10" s="373" t="s">
        <v>2329</v>
      </c>
      <c r="I10" s="375" t="s">
        <v>2282</v>
      </c>
      <c r="J10" s="376" t="s">
        <v>2330</v>
      </c>
    </row>
    <row r="11" spans="1:10" ht="31">
      <c r="A11" s="373" t="s">
        <v>2170</v>
      </c>
      <c r="B11" s="375" t="s">
        <v>2331</v>
      </c>
      <c r="C11" s="375" t="s">
        <v>2332</v>
      </c>
      <c r="D11" s="375" t="s">
        <v>2314</v>
      </c>
      <c r="E11" s="375" t="s">
        <v>2333</v>
      </c>
      <c r="F11" s="376" t="s">
        <v>2334</v>
      </c>
      <c r="H11" s="373" t="s">
        <v>2335</v>
      </c>
      <c r="I11" s="375" t="s">
        <v>2282</v>
      </c>
      <c r="J11" s="376" t="s">
        <v>2336</v>
      </c>
    </row>
    <row r="12" spans="1:10" ht="31">
      <c r="A12" s="373" t="s">
        <v>2337</v>
      </c>
      <c r="B12" s="375" t="s">
        <v>2338</v>
      </c>
      <c r="C12" s="375" t="s">
        <v>2339</v>
      </c>
      <c r="D12" s="375" t="s">
        <v>2301</v>
      </c>
      <c r="E12" s="375" t="s">
        <v>2340</v>
      </c>
      <c r="F12" s="376" t="s">
        <v>2341</v>
      </c>
      <c r="H12" s="381" t="s">
        <v>2342</v>
      </c>
      <c r="I12" s="383" t="s">
        <v>2282</v>
      </c>
      <c r="J12" s="384" t="s">
        <v>2343</v>
      </c>
    </row>
    <row r="13" spans="1:10" ht="31">
      <c r="A13" s="373" t="s">
        <v>2344</v>
      </c>
      <c r="B13" s="375" t="s">
        <v>2345</v>
      </c>
      <c r="C13" s="375" t="s">
        <v>2346</v>
      </c>
      <c r="D13" s="375" t="s">
        <v>2347</v>
      </c>
      <c r="E13" s="375" t="s">
        <v>2348</v>
      </c>
      <c r="F13" s="376" t="s">
        <v>2349</v>
      </c>
      <c r="H13" s="1"/>
      <c r="I13" s="1"/>
      <c r="J13" s="1"/>
    </row>
    <row r="14" spans="1:10" ht="16">
      <c r="A14" s="373" t="s">
        <v>2344</v>
      </c>
      <c r="B14" s="375" t="s">
        <v>2350</v>
      </c>
      <c r="C14" s="375" t="s">
        <v>2351</v>
      </c>
      <c r="D14" s="375" t="s">
        <v>2347</v>
      </c>
      <c r="E14" s="375" t="s">
        <v>2352</v>
      </c>
      <c r="F14" s="376" t="s">
        <v>2353</v>
      </c>
      <c r="H14" s="1"/>
      <c r="I14" s="1"/>
      <c r="J14" s="1"/>
    </row>
    <row r="15" spans="1:10" ht="16">
      <c r="A15" s="373" t="s">
        <v>2344</v>
      </c>
      <c r="B15" s="375" t="s">
        <v>2354</v>
      </c>
      <c r="C15" s="375" t="s">
        <v>2355</v>
      </c>
      <c r="D15" s="375" t="s">
        <v>2347</v>
      </c>
      <c r="E15" s="375" t="s">
        <v>2356</v>
      </c>
      <c r="F15" s="376" t="s">
        <v>2357</v>
      </c>
      <c r="H15" s="1"/>
      <c r="I15" s="1"/>
      <c r="J15" s="1"/>
    </row>
    <row r="16" spans="1:10" ht="16">
      <c r="A16" s="373" t="s">
        <v>2358</v>
      </c>
      <c r="B16" s="375" t="s">
        <v>2359</v>
      </c>
      <c r="C16" s="375" t="s">
        <v>2360</v>
      </c>
      <c r="D16" s="375" t="s">
        <v>2347</v>
      </c>
      <c r="E16" s="375" t="s">
        <v>2361</v>
      </c>
      <c r="F16" s="376" t="s">
        <v>2362</v>
      </c>
    </row>
    <row r="17" spans="1:6" ht="16">
      <c r="A17" s="373" t="s">
        <v>2363</v>
      </c>
      <c r="B17" s="375" t="s">
        <v>2364</v>
      </c>
      <c r="C17" s="375" t="s">
        <v>2365</v>
      </c>
      <c r="D17" s="375" t="s">
        <v>2347</v>
      </c>
      <c r="E17" s="375" t="s">
        <v>2366</v>
      </c>
      <c r="F17" s="376" t="s">
        <v>2367</v>
      </c>
    </row>
    <row r="18" spans="1:6" ht="16">
      <c r="A18" s="373" t="s">
        <v>2368</v>
      </c>
      <c r="B18" s="375" t="s">
        <v>2369</v>
      </c>
      <c r="C18" s="375" t="s">
        <v>2370</v>
      </c>
      <c r="D18" s="375" t="s">
        <v>2294</v>
      </c>
      <c r="E18" s="375" t="s">
        <v>2371</v>
      </c>
      <c r="F18" s="376" t="s">
        <v>2372</v>
      </c>
    </row>
    <row r="19" spans="1:6" ht="31">
      <c r="A19" s="373" t="s">
        <v>2373</v>
      </c>
      <c r="B19" s="375" t="s">
        <v>2374</v>
      </c>
      <c r="C19" s="375" t="s">
        <v>2375</v>
      </c>
      <c r="D19" s="375" t="s">
        <v>2294</v>
      </c>
      <c r="E19" s="375" t="s">
        <v>2376</v>
      </c>
      <c r="F19" s="376" t="s">
        <v>2377</v>
      </c>
    </row>
    <row r="20" spans="1:6" ht="16">
      <c r="A20" s="373" t="s">
        <v>2378</v>
      </c>
      <c r="B20" s="375" t="s">
        <v>2379</v>
      </c>
      <c r="C20" s="375" t="s">
        <v>2380</v>
      </c>
      <c r="D20" s="375" t="s">
        <v>2294</v>
      </c>
      <c r="E20" s="375" t="s">
        <v>2381</v>
      </c>
      <c r="F20" s="376" t="s">
        <v>2382</v>
      </c>
    </row>
    <row r="21" spans="1:6" ht="32">
      <c r="A21" s="373" t="s">
        <v>2383</v>
      </c>
      <c r="B21" s="375" t="s">
        <v>2384</v>
      </c>
      <c r="C21" s="375" t="s">
        <v>2385</v>
      </c>
      <c r="D21" s="375" t="s">
        <v>2386</v>
      </c>
      <c r="E21" s="375" t="s">
        <v>2387</v>
      </c>
      <c r="F21" s="376" t="s">
        <v>2388</v>
      </c>
    </row>
    <row r="22" spans="1:6" ht="30">
      <c r="A22" s="373" t="s">
        <v>2389</v>
      </c>
      <c r="B22" s="375" t="s">
        <v>2390</v>
      </c>
      <c r="C22" s="375" t="s">
        <v>2386</v>
      </c>
      <c r="D22" s="375" t="s">
        <v>2391</v>
      </c>
      <c r="E22" s="375" t="s">
        <v>2392</v>
      </c>
      <c r="F22" s="376"/>
    </row>
    <row r="23" spans="1:6" ht="16">
      <c r="A23" s="373" t="s">
        <v>2393</v>
      </c>
      <c r="B23" s="375" t="s">
        <v>2394</v>
      </c>
      <c r="C23" s="375" t="s">
        <v>2395</v>
      </c>
      <c r="D23" s="375" t="s">
        <v>2314</v>
      </c>
      <c r="E23" s="375" t="s">
        <v>2396</v>
      </c>
      <c r="F23" s="376" t="s">
        <v>2397</v>
      </c>
    </row>
    <row r="24" spans="1:6" ht="16">
      <c r="A24" s="373" t="s">
        <v>2317</v>
      </c>
      <c r="B24" s="375" t="s">
        <v>2398</v>
      </c>
      <c r="C24" s="375" t="s">
        <v>2399</v>
      </c>
      <c r="D24" s="375" t="s">
        <v>2314</v>
      </c>
      <c r="E24" s="375" t="s">
        <v>2400</v>
      </c>
      <c r="F24" s="376" t="s">
        <v>2401</v>
      </c>
    </row>
    <row r="25" spans="1:6" ht="16">
      <c r="A25" s="373" t="s">
        <v>2402</v>
      </c>
      <c r="B25" s="375" t="s">
        <v>2403</v>
      </c>
      <c r="C25" s="375" t="s">
        <v>2404</v>
      </c>
      <c r="D25" s="375" t="s">
        <v>2314</v>
      </c>
      <c r="E25" s="375" t="s">
        <v>2405</v>
      </c>
      <c r="F25" s="376" t="s">
        <v>2406</v>
      </c>
    </row>
    <row r="26" spans="1:6" ht="31">
      <c r="A26" s="381" t="s">
        <v>2407</v>
      </c>
      <c r="B26" s="383" t="s">
        <v>2408</v>
      </c>
      <c r="C26" s="383" t="s">
        <v>2409</v>
      </c>
      <c r="D26" s="383" t="s">
        <v>2294</v>
      </c>
      <c r="E26" s="383" t="s">
        <v>2410</v>
      </c>
      <c r="F26" s="384" t="s">
        <v>2411</v>
      </c>
    </row>
  </sheetData>
  <mergeCells count="3">
    <mergeCell ref="A1:F1"/>
    <mergeCell ref="A2:F2"/>
    <mergeCell ref="H1:J1"/>
  </mergeCells>
  <conditionalFormatting sqref="D5:D26">
    <cfRule type="expression" dxfId="5" priority="1">
      <formula>D5="ACTIVE"</formula>
    </cfRule>
    <cfRule type="expression" dxfId="4" priority="2">
      <formula>D5="UPDATED"</formula>
    </cfRule>
    <cfRule type="expression" dxfId="3" priority="3">
      <formula>D5="LEGACY — RETAINED"</formula>
    </cfRule>
    <cfRule type="expression" dxfId="2" priority="4">
      <formula>D5="OBSOLETE — REMOVED"</formula>
    </cfRule>
    <cfRule type="expression" dxfId="1" priority="5">
      <formula>D5="DUPLICATE — CONSOLIDATED"</formula>
    </cfRule>
    <cfRule type="expression" dxfId="0" priority="6">
      <formula>D5="NEEDS FOUNDER DECISION"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Dashboard</vt:lpstr>
      <vt:lpstr>Global Inputs</vt:lpstr>
      <vt:lpstr>Service Economics</vt:lpstr>
      <vt:lpstr>Service Catalogue</vt:lpstr>
      <vt:lpstr>Whitefield Monthly Projection</vt:lpstr>
      <vt:lpstr>Profit Maximizer</vt:lpstr>
      <vt:lpstr>Path to Profitability</vt:lpstr>
      <vt:lpstr>Growth &amp; Pricing Strategy</vt:lpstr>
      <vt:lpstr>Founder Playbook</vt:lpstr>
      <vt:lpstr>NC Credits</vt:lpstr>
      <vt:lpstr>MVP1 Pricing &amp; SKU</vt:lpstr>
      <vt:lpstr>Angel Economics</vt:lpstr>
      <vt:lpstr>Customer Economics</vt:lpstr>
      <vt:lpstr>Service Portfolio</vt:lpstr>
      <vt:lpstr>Cash Runway</vt:lpstr>
      <vt:lpstr>Monthly P&amp;L</vt:lpstr>
      <vt:lpstr>Executive Dashboard</vt:lpstr>
      <vt:lpstr>Pricing Engine</vt:lpstr>
      <vt:lpstr>NivrāCredit Earning Matrix</vt:lpstr>
      <vt:lpstr>Global Pricing Config</vt:lpstr>
      <vt:lpstr>Service Master</vt:lpstr>
      <vt:lpstr>API Mapping</vt:lpstr>
      <vt:lpstr>Pricing API Test Cases</vt:lpstr>
      <vt:lpstr>Obsolete Logic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Roshan GS</cp:lastModifiedBy>
  <dcterms:created xsi:type="dcterms:W3CDTF">2026-10-01T13:52:11Z</dcterms:created>
  <dcterms:modified xsi:type="dcterms:W3CDTF">2026-10-01T13:57:52Z</dcterms:modified>
</cp:coreProperties>
</file>