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ritik.baral/Desktop/Sree Ganesh - New Venture/CareCart/Finance Models/"/>
    </mc:Choice>
  </mc:AlternateContent>
  <xr:revisionPtr revIDLastSave="0" documentId="8_{8288F66C-4745-FD48-95ED-321D0659E662}" xr6:coauthVersionLast="47" xr6:coauthVersionMax="47" xr10:uidLastSave="{00000000-0000-0000-0000-000000000000}"/>
  <bookViews>
    <workbookView xWindow="4340" yWindow="500" windowWidth="24460" windowHeight="16320" firstSheet="2" activeTab="10" xr2:uid="{00000000-000D-0000-FFFF-FFFF00000000}"/>
  </bookViews>
  <sheets>
    <sheet name="Global Inputs" sheetId="2" r:id="rId1"/>
    <sheet name="Service Economics" sheetId="3" r:id="rId2"/>
    <sheet name="Profit Maximizer" sheetId="6" r:id="rId3"/>
    <sheet name="Growth &amp; Pricing Strategy" sheetId="8" r:id="rId4"/>
    <sheet name="NC Credits" sheetId="10" r:id="rId5"/>
    <sheet name="MVP1 Pricing &amp; SKU" sheetId="11" r:id="rId6"/>
    <sheet name="Pricing Engine" sheetId="18" r:id="rId7"/>
    <sheet name="Global Pricing Config" sheetId="20" r:id="rId8"/>
    <sheet name="Service Master" sheetId="21" r:id="rId9"/>
    <sheet name="API Mapping" sheetId="22" r:id="rId10"/>
    <sheet name="Pricing API Test Cases" sheetId="23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23" l="1"/>
  <c r="N12" i="23"/>
  <c r="P11" i="23"/>
  <c r="N11" i="23"/>
  <c r="M11" i="23"/>
  <c r="P10" i="23"/>
  <c r="N10" i="23"/>
  <c r="M10" i="23"/>
  <c r="P9" i="23"/>
  <c r="N9" i="23"/>
  <c r="P8" i="23"/>
  <c r="N8" i="23"/>
  <c r="P7" i="23"/>
  <c r="N7" i="23"/>
  <c r="P6" i="23"/>
  <c r="N6" i="23"/>
  <c r="M6" i="23"/>
  <c r="P5" i="23"/>
  <c r="N5" i="23"/>
  <c r="M5" i="23"/>
  <c r="H34" i="21"/>
  <c r="F34" i="21"/>
  <c r="D34" i="21"/>
  <c r="C34" i="21"/>
  <c r="B34" i="21"/>
  <c r="H33" i="21"/>
  <c r="F33" i="21"/>
  <c r="D33" i="21"/>
  <c r="C33" i="21"/>
  <c r="B33" i="21"/>
  <c r="H32" i="21"/>
  <c r="F32" i="21"/>
  <c r="D32" i="21"/>
  <c r="C32" i="21"/>
  <c r="B32" i="21"/>
  <c r="H31" i="21"/>
  <c r="F31" i="21"/>
  <c r="D31" i="21"/>
  <c r="C31" i="21"/>
  <c r="B31" i="21"/>
  <c r="H30" i="21"/>
  <c r="F30" i="21"/>
  <c r="D30" i="21"/>
  <c r="C30" i="21"/>
  <c r="B30" i="21"/>
  <c r="P27" i="18" s="1"/>
  <c r="H29" i="21"/>
  <c r="F29" i="21"/>
  <c r="D29" i="21"/>
  <c r="C29" i="21"/>
  <c r="B29" i="21"/>
  <c r="P26" i="18" s="1"/>
  <c r="H28" i="21"/>
  <c r="F28" i="21"/>
  <c r="D28" i="21"/>
  <c r="C28" i="21"/>
  <c r="B28" i="21"/>
  <c r="H27" i="21"/>
  <c r="F27" i="21"/>
  <c r="D27" i="21"/>
  <c r="C27" i="21"/>
  <c r="B27" i="21"/>
  <c r="H26" i="21"/>
  <c r="F26" i="21"/>
  <c r="D26" i="21"/>
  <c r="C26" i="21"/>
  <c r="B26" i="21"/>
  <c r="P23" i="18" s="1"/>
  <c r="H25" i="21"/>
  <c r="F25" i="21"/>
  <c r="D25" i="21"/>
  <c r="C25" i="21"/>
  <c r="B25" i="21"/>
  <c r="H24" i="21"/>
  <c r="F24" i="21"/>
  <c r="D24" i="21"/>
  <c r="C24" i="21"/>
  <c r="B24" i="21"/>
  <c r="H23" i="21"/>
  <c r="F23" i="21"/>
  <c r="D23" i="21"/>
  <c r="C23" i="21"/>
  <c r="B23" i="21"/>
  <c r="P20" i="18" s="1"/>
  <c r="H22" i="21"/>
  <c r="F22" i="21"/>
  <c r="D22" i="21"/>
  <c r="C22" i="21"/>
  <c r="B22" i="21"/>
  <c r="P19" i="18" s="1"/>
  <c r="H21" i="21"/>
  <c r="F21" i="21"/>
  <c r="D21" i="21"/>
  <c r="C21" i="21"/>
  <c r="B21" i="21"/>
  <c r="P18" i="18" s="1"/>
  <c r="H20" i="21"/>
  <c r="F20" i="21"/>
  <c r="D20" i="21"/>
  <c r="C20" i="21"/>
  <c r="B20" i="21"/>
  <c r="H19" i="21"/>
  <c r="F19" i="21"/>
  <c r="D19" i="21"/>
  <c r="C19" i="21"/>
  <c r="B19" i="21"/>
  <c r="H18" i="21"/>
  <c r="F18" i="21"/>
  <c r="D18" i="21"/>
  <c r="C18" i="21"/>
  <c r="B18" i="21"/>
  <c r="H17" i="21"/>
  <c r="F17" i="21"/>
  <c r="D17" i="21"/>
  <c r="C17" i="21"/>
  <c r="B17" i="21"/>
  <c r="P14" i="18" s="1"/>
  <c r="H16" i="21"/>
  <c r="F16" i="21"/>
  <c r="D16" i="21"/>
  <c r="C16" i="21"/>
  <c r="B16" i="21"/>
  <c r="H15" i="21"/>
  <c r="F15" i="21"/>
  <c r="D15" i="21"/>
  <c r="C15" i="21"/>
  <c r="B15" i="21"/>
  <c r="H14" i="21"/>
  <c r="F14" i="21"/>
  <c r="D14" i="21"/>
  <c r="C14" i="21"/>
  <c r="B14" i="21"/>
  <c r="P11" i="18" s="1"/>
  <c r="H13" i="21"/>
  <c r="F13" i="21"/>
  <c r="D13" i="21"/>
  <c r="C13" i="21"/>
  <c r="B13" i="21"/>
  <c r="P10" i="18" s="1"/>
  <c r="H12" i="21"/>
  <c r="F12" i="21"/>
  <c r="D12" i="21"/>
  <c r="M12" i="23" s="1"/>
  <c r="C12" i="21"/>
  <c r="B12" i="21"/>
  <c r="H11" i="21"/>
  <c r="F11" i="21"/>
  <c r="D11" i="21"/>
  <c r="C11" i="21"/>
  <c r="B11" i="21"/>
  <c r="H10" i="21"/>
  <c r="F10" i="21"/>
  <c r="D10" i="21"/>
  <c r="C10" i="21"/>
  <c r="B10" i="21"/>
  <c r="P7" i="18" s="1"/>
  <c r="H9" i="21"/>
  <c r="F9" i="21"/>
  <c r="D9" i="21"/>
  <c r="C9" i="21"/>
  <c r="B9" i="21"/>
  <c r="P6" i="18" s="1"/>
  <c r="H8" i="21"/>
  <c r="F8" i="21"/>
  <c r="D8" i="21"/>
  <c r="C8" i="21"/>
  <c r="B8" i="21"/>
  <c r="H7" i="21"/>
  <c r="F7" i="21"/>
  <c r="D7" i="21"/>
  <c r="C7" i="21"/>
  <c r="B7" i="21"/>
  <c r="P4" i="18" s="1"/>
  <c r="H6" i="21"/>
  <c r="F6" i="21"/>
  <c r="D6" i="21"/>
  <c r="C6" i="21"/>
  <c r="B6" i="21"/>
  <c r="P3" i="18" s="1"/>
  <c r="H5" i="21"/>
  <c r="F5" i="21"/>
  <c r="D5" i="21"/>
  <c r="M7" i="23" s="1"/>
  <c r="C5" i="21"/>
  <c r="B5" i="21"/>
  <c r="D87" i="18"/>
  <c r="B83" i="18"/>
  <c r="B69" i="18"/>
  <c r="B66" i="18"/>
  <c r="B65" i="18"/>
  <c r="B64" i="18"/>
  <c r="B63" i="18"/>
  <c r="B62" i="18"/>
  <c r="B59" i="18"/>
  <c r="H57" i="18"/>
  <c r="H56" i="18"/>
  <c r="G41" i="18"/>
  <c r="G40" i="18"/>
  <c r="H68" i="18" s="1"/>
  <c r="B40" i="18"/>
  <c r="G39" i="18"/>
  <c r="G38" i="18"/>
  <c r="B38" i="18"/>
  <c r="M34" i="18"/>
  <c r="P31" i="18"/>
  <c r="P30" i="18"/>
  <c r="P29" i="18"/>
  <c r="D29" i="18"/>
  <c r="P28" i="18"/>
  <c r="D28" i="18"/>
  <c r="D30" i="18" s="1"/>
  <c r="D31" i="18" s="1"/>
  <c r="L27" i="18"/>
  <c r="L26" i="18"/>
  <c r="P25" i="18"/>
  <c r="L25" i="18"/>
  <c r="P24" i="18"/>
  <c r="L24" i="18"/>
  <c r="D24" i="18"/>
  <c r="L23" i="18"/>
  <c r="P22" i="18"/>
  <c r="D22" i="18"/>
  <c r="P21" i="18"/>
  <c r="L21" i="18"/>
  <c r="D21" i="18"/>
  <c r="G19" i="18"/>
  <c r="G18" i="18"/>
  <c r="P17" i="18"/>
  <c r="G17" i="18"/>
  <c r="P16" i="18"/>
  <c r="G16" i="18"/>
  <c r="P15" i="18"/>
  <c r="G15" i="18"/>
  <c r="G14" i="18"/>
  <c r="P13" i="18"/>
  <c r="G13" i="18"/>
  <c r="B13" i="18"/>
  <c r="P12" i="18"/>
  <c r="G11" i="18"/>
  <c r="G10" i="18"/>
  <c r="P9" i="18"/>
  <c r="P8" i="18"/>
  <c r="G8" i="18"/>
  <c r="G7" i="18"/>
  <c r="G6" i="18"/>
  <c r="B6" i="18"/>
  <c r="L22" i="18" s="1"/>
  <c r="P5" i="18"/>
  <c r="G5" i="18"/>
  <c r="P2" i="18"/>
  <c r="J39" i="11"/>
  <c r="L37" i="11"/>
  <c r="L36" i="11"/>
  <c r="J36" i="11"/>
  <c r="L35" i="11"/>
  <c r="J34" i="11"/>
  <c r="F32" i="11"/>
  <c r="L31" i="11"/>
  <c r="J31" i="11"/>
  <c r="V24" i="11"/>
  <c r="V23" i="11"/>
  <c r="V22" i="11"/>
  <c r="B19" i="11"/>
  <c r="B16" i="11"/>
  <c r="B14" i="11"/>
  <c r="B13" i="11"/>
  <c r="B12" i="11"/>
  <c r="V26" i="11" s="1"/>
  <c r="B11" i="11"/>
  <c r="B10" i="11"/>
  <c r="B9" i="11"/>
  <c r="B7" i="11"/>
  <c r="B5" i="11"/>
  <c r="B46" i="10"/>
  <c r="B10" i="10"/>
  <c r="B9" i="10"/>
  <c r="B8" i="10"/>
  <c r="M54" i="18" s="1"/>
  <c r="B7" i="10"/>
  <c r="B6" i="10"/>
  <c r="B5" i="10"/>
  <c r="K287" i="8"/>
  <c r="B271" i="8"/>
  <c r="B270" i="8"/>
  <c r="B269" i="8"/>
  <c r="B268" i="8"/>
  <c r="B267" i="8"/>
  <c r="F250" i="8"/>
  <c r="F249" i="8"/>
  <c r="F248" i="8"/>
  <c r="F247" i="8"/>
  <c r="H241" i="8"/>
  <c r="F241" i="8"/>
  <c r="H240" i="8"/>
  <c r="F240" i="8"/>
  <c r="F239" i="8"/>
  <c r="H239" i="8" s="1"/>
  <c r="F238" i="8"/>
  <c r="F237" i="8"/>
  <c r="H236" i="8"/>
  <c r="F236" i="8"/>
  <c r="L235" i="8"/>
  <c r="H235" i="8"/>
  <c r="F235" i="8"/>
  <c r="L234" i="8"/>
  <c r="H234" i="8"/>
  <c r="F234" i="8"/>
  <c r="L233" i="8"/>
  <c r="F233" i="8"/>
  <c r="H233" i="8" s="1"/>
  <c r="H232" i="8"/>
  <c r="F232" i="8"/>
  <c r="F213" i="8"/>
  <c r="F212" i="8"/>
  <c r="J206" i="8"/>
  <c r="H206" i="8"/>
  <c r="J205" i="8"/>
  <c r="H205" i="8"/>
  <c r="A205" i="8"/>
  <c r="J204" i="8"/>
  <c r="H204" i="8"/>
  <c r="J203" i="8"/>
  <c r="H203" i="8"/>
  <c r="J202" i="8"/>
  <c r="H202" i="8"/>
  <c r="C202" i="8"/>
  <c r="G202" i="8" s="1"/>
  <c r="J201" i="8"/>
  <c r="H201" i="8"/>
  <c r="A201" i="8"/>
  <c r="J200" i="8"/>
  <c r="H200" i="8"/>
  <c r="J199" i="8"/>
  <c r="H199" i="8"/>
  <c r="J198" i="8"/>
  <c r="H198" i="8"/>
  <c r="J197" i="8"/>
  <c r="H197" i="8"/>
  <c r="J196" i="8"/>
  <c r="H196" i="8"/>
  <c r="C196" i="8"/>
  <c r="G196" i="8" s="1"/>
  <c r="J195" i="8"/>
  <c r="H195" i="8"/>
  <c r="J194" i="8"/>
  <c r="H194" i="8"/>
  <c r="G194" i="8"/>
  <c r="J193" i="8"/>
  <c r="H193" i="8"/>
  <c r="A193" i="8"/>
  <c r="J192" i="8"/>
  <c r="H192" i="8"/>
  <c r="J191" i="8"/>
  <c r="H191" i="8"/>
  <c r="J190" i="8"/>
  <c r="H190" i="8"/>
  <c r="J189" i="8"/>
  <c r="H189" i="8"/>
  <c r="J188" i="8"/>
  <c r="H188" i="8"/>
  <c r="G188" i="8"/>
  <c r="AP34" i="8" s="1"/>
  <c r="C188" i="8"/>
  <c r="J187" i="8"/>
  <c r="H187" i="8"/>
  <c r="J186" i="8"/>
  <c r="H186" i="8"/>
  <c r="J185" i="8"/>
  <c r="H185" i="8"/>
  <c r="J184" i="8"/>
  <c r="H184" i="8"/>
  <c r="J183" i="8"/>
  <c r="H183" i="8"/>
  <c r="J182" i="8"/>
  <c r="H182" i="8"/>
  <c r="J181" i="8"/>
  <c r="H181" i="8"/>
  <c r="J180" i="8"/>
  <c r="H180" i="8"/>
  <c r="N179" i="8"/>
  <c r="J179" i="8"/>
  <c r="H179" i="8"/>
  <c r="J178" i="8"/>
  <c r="H178" i="8"/>
  <c r="J177" i="8"/>
  <c r="H177" i="8"/>
  <c r="E168" i="8"/>
  <c r="F160" i="8"/>
  <c r="F159" i="8"/>
  <c r="F158" i="8"/>
  <c r="F157" i="8"/>
  <c r="E150" i="8"/>
  <c r="D150" i="8"/>
  <c r="I149" i="8"/>
  <c r="E149" i="8"/>
  <c r="D149" i="8"/>
  <c r="I148" i="8"/>
  <c r="F148" i="8"/>
  <c r="H148" i="8" s="1"/>
  <c r="AV17" i="8" s="1"/>
  <c r="E148" i="8"/>
  <c r="D148" i="8"/>
  <c r="E147" i="8"/>
  <c r="D147" i="8"/>
  <c r="I147" i="8" s="1"/>
  <c r="E146" i="8"/>
  <c r="D146" i="8"/>
  <c r="I145" i="8"/>
  <c r="E145" i="8"/>
  <c r="D145" i="8"/>
  <c r="I144" i="8"/>
  <c r="F144" i="8"/>
  <c r="H144" i="8" s="1"/>
  <c r="AV13" i="8" s="1"/>
  <c r="E144" i="8"/>
  <c r="D144" i="8"/>
  <c r="K136" i="8"/>
  <c r="K135" i="8"/>
  <c r="B121" i="8"/>
  <c r="E121" i="8" s="1"/>
  <c r="I120" i="8"/>
  <c r="B120" i="8"/>
  <c r="E118" i="8"/>
  <c r="B118" i="8"/>
  <c r="E117" i="8"/>
  <c r="B117" i="8"/>
  <c r="I116" i="8"/>
  <c r="E116" i="8"/>
  <c r="B116" i="8"/>
  <c r="B101" i="8"/>
  <c r="D100" i="8"/>
  <c r="C100" i="8"/>
  <c r="B100" i="8"/>
  <c r="B99" i="8"/>
  <c r="B98" i="8"/>
  <c r="B97" i="8"/>
  <c r="C97" i="8" s="1"/>
  <c r="D97" i="8" s="1"/>
  <c r="C96" i="8"/>
  <c r="D96" i="8" s="1"/>
  <c r="B96" i="8"/>
  <c r="K95" i="8"/>
  <c r="C95" i="8"/>
  <c r="B95" i="8"/>
  <c r="L88" i="8"/>
  <c r="L87" i="8"/>
  <c r="L86" i="8"/>
  <c r="L85" i="8"/>
  <c r="L84" i="8"/>
  <c r="C68" i="8"/>
  <c r="C67" i="8"/>
  <c r="C66" i="8"/>
  <c r="L65" i="8"/>
  <c r="C65" i="8"/>
  <c r="C64" i="8"/>
  <c r="I59" i="8"/>
  <c r="J59" i="8" s="1"/>
  <c r="I58" i="8"/>
  <c r="J58" i="8" s="1"/>
  <c r="M55" i="8"/>
  <c r="D48" i="8"/>
  <c r="B45" i="8"/>
  <c r="D44" i="8"/>
  <c r="B41" i="8"/>
  <c r="B36" i="8"/>
  <c r="M56" i="8" s="1"/>
  <c r="AY24" i="8"/>
  <c r="B24" i="8"/>
  <c r="AY23" i="8"/>
  <c r="F23" i="8"/>
  <c r="AY22" i="8"/>
  <c r="B22" i="8"/>
  <c r="AY21" i="8"/>
  <c r="AX21" i="8"/>
  <c r="B21" i="8"/>
  <c r="AY20" i="8"/>
  <c r="AY19" i="8"/>
  <c r="B19" i="8"/>
  <c r="AY18" i="8"/>
  <c r="B18" i="8"/>
  <c r="AY17" i="8"/>
  <c r="B17" i="8"/>
  <c r="AY16" i="8"/>
  <c r="B16" i="8"/>
  <c r="AY15" i="8"/>
  <c r="AY14" i="8"/>
  <c r="AY13" i="8"/>
  <c r="F13" i="8"/>
  <c r="F8" i="8"/>
  <c r="AS7" i="8"/>
  <c r="AS6" i="8"/>
  <c r="I6" i="8"/>
  <c r="F6" i="8"/>
  <c r="AS5" i="8"/>
  <c r="AS4" i="8"/>
  <c r="AS3" i="8"/>
  <c r="B58" i="6"/>
  <c r="B57" i="6"/>
  <c r="B56" i="6"/>
  <c r="B52" i="6"/>
  <c r="AJ44" i="6"/>
  <c r="W44" i="6"/>
  <c r="V44" i="6"/>
  <c r="R44" i="6"/>
  <c r="D44" i="6"/>
  <c r="C44" i="6"/>
  <c r="B44" i="6"/>
  <c r="B206" i="8" s="1"/>
  <c r="A44" i="6"/>
  <c r="AJ43" i="6"/>
  <c r="W43" i="6"/>
  <c r="V43" i="6"/>
  <c r="R43" i="6"/>
  <c r="D43" i="6"/>
  <c r="C43" i="6"/>
  <c r="B43" i="6"/>
  <c r="B205" i="8" s="1"/>
  <c r="A43" i="6"/>
  <c r="AJ42" i="6"/>
  <c r="W42" i="6"/>
  <c r="V42" i="6"/>
  <c r="R42" i="6"/>
  <c r="Y42" i="6" s="1"/>
  <c r="E42" i="6"/>
  <c r="D42" i="6"/>
  <c r="C42" i="6"/>
  <c r="C204" i="8" s="1"/>
  <c r="G204" i="8" s="1"/>
  <c r="B42" i="6"/>
  <c r="B204" i="8" s="1"/>
  <c r="A42" i="6"/>
  <c r="AJ41" i="6"/>
  <c r="W41" i="6"/>
  <c r="V41" i="6"/>
  <c r="R41" i="6"/>
  <c r="I203" i="8" s="1"/>
  <c r="D41" i="6"/>
  <c r="C41" i="6"/>
  <c r="B41" i="6"/>
  <c r="B203" i="8" s="1"/>
  <c r="A41" i="6"/>
  <c r="AJ40" i="6"/>
  <c r="W40" i="6"/>
  <c r="V40" i="6"/>
  <c r="R40" i="6"/>
  <c r="E40" i="6"/>
  <c r="D40" i="6"/>
  <c r="C40" i="6"/>
  <c r="B40" i="6"/>
  <c r="B202" i="8" s="1"/>
  <c r="A40" i="6"/>
  <c r="AJ39" i="6"/>
  <c r="X39" i="6"/>
  <c r="W39" i="6"/>
  <c r="V39" i="6"/>
  <c r="R39" i="6"/>
  <c r="D39" i="6"/>
  <c r="C39" i="6"/>
  <c r="B39" i="6"/>
  <c r="B201" i="8" s="1"/>
  <c r="A39" i="6"/>
  <c r="AJ38" i="6"/>
  <c r="X38" i="6"/>
  <c r="W38" i="6"/>
  <c r="V38" i="6"/>
  <c r="R38" i="6"/>
  <c r="Z38" i="6" s="1"/>
  <c r="D38" i="6"/>
  <c r="C38" i="6"/>
  <c r="C200" i="8" s="1"/>
  <c r="G200" i="8" s="1"/>
  <c r="B38" i="6"/>
  <c r="B200" i="8" s="1"/>
  <c r="A38" i="6"/>
  <c r="AJ37" i="6"/>
  <c r="X37" i="6"/>
  <c r="W37" i="6"/>
  <c r="V37" i="6"/>
  <c r="R37" i="6"/>
  <c r="D37" i="6"/>
  <c r="C37" i="6"/>
  <c r="B37" i="6"/>
  <c r="B199" i="8" s="1"/>
  <c r="A37" i="6"/>
  <c r="AJ36" i="6"/>
  <c r="X36" i="6"/>
  <c r="W36" i="6"/>
  <c r="V36" i="6"/>
  <c r="R36" i="6"/>
  <c r="D36" i="6"/>
  <c r="C36" i="6"/>
  <c r="B36" i="6"/>
  <c r="B198" i="8" s="1"/>
  <c r="A36" i="6"/>
  <c r="AJ35" i="6"/>
  <c r="W35" i="6"/>
  <c r="V35" i="6"/>
  <c r="R35" i="6"/>
  <c r="D35" i="6"/>
  <c r="E35" i="6" s="1"/>
  <c r="C35" i="6"/>
  <c r="B35" i="6"/>
  <c r="B197" i="8" s="1"/>
  <c r="A35" i="6"/>
  <c r="A197" i="8" s="1"/>
  <c r="AJ34" i="6"/>
  <c r="W34" i="6"/>
  <c r="V34" i="6"/>
  <c r="R34" i="6"/>
  <c r="I196" i="8" s="1"/>
  <c r="D34" i="6"/>
  <c r="E34" i="6" s="1"/>
  <c r="C34" i="6"/>
  <c r="B34" i="6"/>
  <c r="B196" i="8" s="1"/>
  <c r="A34" i="6"/>
  <c r="AJ33" i="6"/>
  <c r="X33" i="6"/>
  <c r="W33" i="6"/>
  <c r="V33" i="6"/>
  <c r="R33" i="6"/>
  <c r="D33" i="6"/>
  <c r="C33" i="6"/>
  <c r="B33" i="6"/>
  <c r="B195" i="8" s="1"/>
  <c r="A33" i="6"/>
  <c r="AJ32" i="6"/>
  <c r="W32" i="6"/>
  <c r="V32" i="6"/>
  <c r="R32" i="6"/>
  <c r="E32" i="6"/>
  <c r="D32" i="6"/>
  <c r="C32" i="6"/>
  <c r="C194" i="8" s="1"/>
  <c r="B32" i="6"/>
  <c r="B194" i="8" s="1"/>
  <c r="A32" i="6"/>
  <c r="AJ31" i="6"/>
  <c r="W31" i="6"/>
  <c r="V31" i="6"/>
  <c r="R31" i="6"/>
  <c r="Z31" i="6" s="1"/>
  <c r="E31" i="6"/>
  <c r="D31" i="6"/>
  <c r="C31" i="6"/>
  <c r="B31" i="6"/>
  <c r="B193" i="8" s="1"/>
  <c r="A31" i="6"/>
  <c r="AJ30" i="6"/>
  <c r="W30" i="6"/>
  <c r="V30" i="6"/>
  <c r="R30" i="6"/>
  <c r="D30" i="6"/>
  <c r="E30" i="6" s="1"/>
  <c r="C30" i="6"/>
  <c r="C192" i="8" s="1"/>
  <c r="G192" i="8" s="1"/>
  <c r="B30" i="6"/>
  <c r="B192" i="8" s="1"/>
  <c r="A30" i="6"/>
  <c r="AJ29" i="6"/>
  <c r="W29" i="6"/>
  <c r="V29" i="6"/>
  <c r="R29" i="6"/>
  <c r="Y29" i="6" s="1"/>
  <c r="D29" i="6"/>
  <c r="C29" i="6"/>
  <c r="B29" i="6"/>
  <c r="B191" i="8" s="1"/>
  <c r="A29" i="6"/>
  <c r="AJ28" i="6"/>
  <c r="W28" i="6"/>
  <c r="V28" i="6"/>
  <c r="R28" i="6"/>
  <c r="I190" i="8" s="1"/>
  <c r="D28" i="6"/>
  <c r="C28" i="6"/>
  <c r="B28" i="6"/>
  <c r="B190" i="8" s="1"/>
  <c r="A28" i="6"/>
  <c r="AJ27" i="6"/>
  <c r="W27" i="6"/>
  <c r="V27" i="6"/>
  <c r="R27" i="6"/>
  <c r="D27" i="6"/>
  <c r="C27" i="6"/>
  <c r="C189" i="8" s="1"/>
  <c r="G189" i="8" s="1"/>
  <c r="B27" i="6"/>
  <c r="B189" i="8" s="1"/>
  <c r="A27" i="6"/>
  <c r="A189" i="8" s="1"/>
  <c r="AJ26" i="6"/>
  <c r="W26" i="6"/>
  <c r="V26" i="6"/>
  <c r="R26" i="6"/>
  <c r="I188" i="8" s="1"/>
  <c r="E26" i="6"/>
  <c r="D26" i="6"/>
  <c r="C26" i="6"/>
  <c r="B26" i="6"/>
  <c r="B188" i="8" s="1"/>
  <c r="A26" i="6"/>
  <c r="AJ25" i="6"/>
  <c r="X25" i="6"/>
  <c r="W25" i="6"/>
  <c r="V25" i="6"/>
  <c r="R25" i="6"/>
  <c r="D25" i="6"/>
  <c r="C25" i="6"/>
  <c r="B25" i="6"/>
  <c r="B187" i="8" s="1"/>
  <c r="A25" i="6"/>
  <c r="AJ24" i="6"/>
  <c r="X24" i="6"/>
  <c r="W24" i="6"/>
  <c r="V24" i="6"/>
  <c r="R24" i="6"/>
  <c r="D24" i="6"/>
  <c r="C24" i="6"/>
  <c r="B24" i="6"/>
  <c r="B186" i="8" s="1"/>
  <c r="A24" i="6"/>
  <c r="AJ23" i="6"/>
  <c r="W23" i="6"/>
  <c r="V23" i="6"/>
  <c r="R23" i="6"/>
  <c r="Y23" i="6" s="1"/>
  <c r="E23" i="6"/>
  <c r="D23" i="6"/>
  <c r="C23" i="6"/>
  <c r="B23" i="6"/>
  <c r="B185" i="8" s="1"/>
  <c r="A23" i="6"/>
  <c r="A185" i="8" s="1"/>
  <c r="AO31" i="8" s="1"/>
  <c r="AJ22" i="6"/>
  <c r="X22" i="6"/>
  <c r="W22" i="6"/>
  <c r="V22" i="6"/>
  <c r="R22" i="6"/>
  <c r="E22" i="6"/>
  <c r="D22" i="6"/>
  <c r="C22" i="6"/>
  <c r="B22" i="6"/>
  <c r="B184" i="8" s="1"/>
  <c r="A22" i="6"/>
  <c r="AJ21" i="6"/>
  <c r="X21" i="6"/>
  <c r="W21" i="6"/>
  <c r="V21" i="6"/>
  <c r="R21" i="6"/>
  <c r="I183" i="8" s="1"/>
  <c r="D21" i="6"/>
  <c r="E21" i="6" s="1"/>
  <c r="C21" i="6"/>
  <c r="B21" i="6"/>
  <c r="B183" i="8" s="1"/>
  <c r="A21" i="6"/>
  <c r="AJ20" i="6"/>
  <c r="X20" i="6"/>
  <c r="W20" i="6"/>
  <c r="V20" i="6"/>
  <c r="R20" i="6"/>
  <c r="D20" i="6"/>
  <c r="C20" i="6"/>
  <c r="B20" i="6"/>
  <c r="B182" i="8" s="1"/>
  <c r="A20" i="6"/>
  <c r="AJ19" i="6"/>
  <c r="AC19" i="6"/>
  <c r="X19" i="6"/>
  <c r="W19" i="6"/>
  <c r="V19" i="6"/>
  <c r="R19" i="6"/>
  <c r="Y19" i="6" s="1"/>
  <c r="D19" i="6"/>
  <c r="C19" i="6"/>
  <c r="B19" i="6"/>
  <c r="B181" i="8" s="1"/>
  <c r="A19" i="6"/>
  <c r="AJ18" i="6"/>
  <c r="X18" i="6"/>
  <c r="W18" i="6"/>
  <c r="V18" i="6"/>
  <c r="R18" i="6"/>
  <c r="Z18" i="6" s="1"/>
  <c r="E18" i="6"/>
  <c r="D18" i="6"/>
  <c r="C18" i="6"/>
  <c r="C180" i="8" s="1"/>
  <c r="G180" i="8" s="1"/>
  <c r="AP26" i="8" s="1"/>
  <c r="B18" i="6"/>
  <c r="B180" i="8" s="1"/>
  <c r="A18" i="6"/>
  <c r="AJ17" i="6"/>
  <c r="D7" i="6" s="1"/>
  <c r="X17" i="6"/>
  <c r="W17" i="6"/>
  <c r="V17" i="6"/>
  <c r="R17" i="6"/>
  <c r="Y17" i="6" s="1"/>
  <c r="D17" i="6"/>
  <c r="C17" i="6"/>
  <c r="B17" i="6"/>
  <c r="B179" i="8" s="1"/>
  <c r="A17" i="6"/>
  <c r="AJ16" i="6"/>
  <c r="X16" i="6"/>
  <c r="W16" i="6"/>
  <c r="V16" i="6"/>
  <c r="R16" i="6"/>
  <c r="D16" i="6"/>
  <c r="C16" i="6"/>
  <c r="B16" i="6"/>
  <c r="B178" i="8" s="1"/>
  <c r="A16" i="6"/>
  <c r="AJ15" i="6"/>
  <c r="X15" i="6"/>
  <c r="W15" i="6"/>
  <c r="V15" i="6"/>
  <c r="R15" i="6"/>
  <c r="D15" i="6"/>
  <c r="C15" i="6"/>
  <c r="B15" i="6"/>
  <c r="B177" i="8" s="1"/>
  <c r="A15" i="6"/>
  <c r="B61" i="6"/>
  <c r="AH34" i="3"/>
  <c r="X34" i="3"/>
  <c r="T34" i="3"/>
  <c r="P34" i="3"/>
  <c r="O34" i="3"/>
  <c r="N34" i="3"/>
  <c r="M34" i="3"/>
  <c r="AI34" i="3" s="1"/>
  <c r="J34" i="3"/>
  <c r="AH33" i="3"/>
  <c r="X33" i="3"/>
  <c r="V33" i="3"/>
  <c r="U33" i="3"/>
  <c r="T33" i="3"/>
  <c r="P33" i="3"/>
  <c r="O33" i="3"/>
  <c r="M33" i="3"/>
  <c r="AI33" i="3" s="1"/>
  <c r="J33" i="3"/>
  <c r="AH32" i="3"/>
  <c r="X32" i="3"/>
  <c r="T32" i="3"/>
  <c r="P32" i="3"/>
  <c r="O32" i="3"/>
  <c r="M32" i="3"/>
  <c r="N32" i="3" s="1"/>
  <c r="J32" i="3"/>
  <c r="AI31" i="3"/>
  <c r="AH31" i="3"/>
  <c r="X31" i="3"/>
  <c r="T31" i="3"/>
  <c r="P31" i="3"/>
  <c r="O31" i="3"/>
  <c r="M31" i="3"/>
  <c r="N31" i="3" s="1"/>
  <c r="J31" i="3"/>
  <c r="AI30" i="3"/>
  <c r="AH30" i="3"/>
  <c r="X30" i="3"/>
  <c r="P30" i="3"/>
  <c r="O30" i="3"/>
  <c r="M30" i="3"/>
  <c r="N30" i="3" s="1"/>
  <c r="J30" i="3"/>
  <c r="AI29" i="3"/>
  <c r="AH29" i="3"/>
  <c r="X29" i="3"/>
  <c r="P29" i="3"/>
  <c r="O29" i="3"/>
  <c r="M29" i="3"/>
  <c r="N29" i="3" s="1"/>
  <c r="J29" i="3"/>
  <c r="AI28" i="3"/>
  <c r="AH28" i="3"/>
  <c r="X28" i="3"/>
  <c r="P28" i="3"/>
  <c r="O28" i="3"/>
  <c r="N28" i="3"/>
  <c r="M28" i="3"/>
  <c r="J28" i="3"/>
  <c r="AH27" i="3"/>
  <c r="X27" i="3"/>
  <c r="U27" i="3"/>
  <c r="P27" i="3"/>
  <c r="O27" i="3"/>
  <c r="M27" i="3"/>
  <c r="AI27" i="3" s="1"/>
  <c r="J27" i="3"/>
  <c r="AH26" i="3"/>
  <c r="X26" i="3"/>
  <c r="T26" i="3"/>
  <c r="P26" i="3"/>
  <c r="O26" i="3"/>
  <c r="M26" i="3"/>
  <c r="J26" i="3"/>
  <c r="AH25" i="3"/>
  <c r="X25" i="3"/>
  <c r="T25" i="3"/>
  <c r="P25" i="3"/>
  <c r="O25" i="3"/>
  <c r="N25" i="3"/>
  <c r="M25" i="3"/>
  <c r="AI25" i="3" s="1"/>
  <c r="J25" i="3"/>
  <c r="AI24" i="3"/>
  <c r="AH24" i="3"/>
  <c r="X24" i="3"/>
  <c r="U24" i="3"/>
  <c r="T24" i="3"/>
  <c r="P24" i="3"/>
  <c r="O24" i="3"/>
  <c r="M24" i="3"/>
  <c r="N24" i="3" s="1"/>
  <c r="J24" i="3"/>
  <c r="AI23" i="3"/>
  <c r="AH23" i="3"/>
  <c r="X23" i="3"/>
  <c r="T23" i="3"/>
  <c r="P23" i="3"/>
  <c r="O23" i="3"/>
  <c r="M23" i="3"/>
  <c r="N23" i="3" s="1"/>
  <c r="J23" i="3"/>
  <c r="AI22" i="3"/>
  <c r="AH22" i="3"/>
  <c r="X22" i="3"/>
  <c r="T22" i="3"/>
  <c r="P22" i="3"/>
  <c r="O22" i="3"/>
  <c r="M22" i="3"/>
  <c r="N22" i="3" s="1"/>
  <c r="J22" i="3"/>
  <c r="AI21" i="3"/>
  <c r="AH21" i="3"/>
  <c r="X21" i="3"/>
  <c r="T21" i="3"/>
  <c r="P21" i="3"/>
  <c r="O21" i="3"/>
  <c r="M21" i="3"/>
  <c r="N21" i="3" s="1"/>
  <c r="J21" i="3"/>
  <c r="AI20" i="3"/>
  <c r="AH20" i="3"/>
  <c r="X20" i="3"/>
  <c r="P20" i="3"/>
  <c r="O20" i="3"/>
  <c r="N20" i="3"/>
  <c r="M20" i="3"/>
  <c r="J20" i="3"/>
  <c r="AH19" i="3"/>
  <c r="X19" i="3"/>
  <c r="U19" i="3"/>
  <c r="P19" i="3"/>
  <c r="O19" i="3"/>
  <c r="M19" i="3"/>
  <c r="AI19" i="3" s="1"/>
  <c r="J19" i="3"/>
  <c r="AH18" i="3"/>
  <c r="X18" i="3"/>
  <c r="T18" i="3"/>
  <c r="P18" i="3"/>
  <c r="O18" i="3"/>
  <c r="N18" i="3"/>
  <c r="M18" i="3"/>
  <c r="AI18" i="3" s="1"/>
  <c r="J18" i="3"/>
  <c r="AH17" i="3"/>
  <c r="X17" i="3"/>
  <c r="T17" i="3"/>
  <c r="P17" i="3"/>
  <c r="O17" i="3"/>
  <c r="N17" i="3"/>
  <c r="M17" i="3"/>
  <c r="AI17" i="3" s="1"/>
  <c r="J17" i="3"/>
  <c r="AI16" i="3"/>
  <c r="AH16" i="3"/>
  <c r="X16" i="3"/>
  <c r="V16" i="3"/>
  <c r="U16" i="3"/>
  <c r="T16" i="3"/>
  <c r="P16" i="3"/>
  <c r="O16" i="3"/>
  <c r="N16" i="3"/>
  <c r="M16" i="3"/>
  <c r="J16" i="3"/>
  <c r="AI15" i="3"/>
  <c r="AH15" i="3"/>
  <c r="X15" i="3"/>
  <c r="U15" i="3"/>
  <c r="T15" i="3"/>
  <c r="V15" i="3" s="1"/>
  <c r="P15" i="3"/>
  <c r="O15" i="3"/>
  <c r="M15" i="3"/>
  <c r="N15" i="3" s="1"/>
  <c r="J15" i="3"/>
  <c r="AI14" i="3"/>
  <c r="AH14" i="3"/>
  <c r="X14" i="3"/>
  <c r="T14" i="3"/>
  <c r="P14" i="3"/>
  <c r="O14" i="3"/>
  <c r="M14" i="3"/>
  <c r="N14" i="3" s="1"/>
  <c r="J14" i="3"/>
  <c r="AI13" i="3"/>
  <c r="AH13" i="3"/>
  <c r="X13" i="3"/>
  <c r="T13" i="3"/>
  <c r="P13" i="3"/>
  <c r="O13" i="3"/>
  <c r="M13" i="3"/>
  <c r="N13" i="3" s="1"/>
  <c r="J13" i="3"/>
  <c r="AI12" i="3"/>
  <c r="AH12" i="3"/>
  <c r="X12" i="3"/>
  <c r="T12" i="3"/>
  <c r="P12" i="3"/>
  <c r="O12" i="3"/>
  <c r="N12" i="3"/>
  <c r="M12" i="3"/>
  <c r="J12" i="3"/>
  <c r="AH11" i="3"/>
  <c r="X11" i="3"/>
  <c r="U11" i="3"/>
  <c r="P11" i="3"/>
  <c r="O11" i="3"/>
  <c r="M11" i="3"/>
  <c r="AI11" i="3" s="1"/>
  <c r="J11" i="3"/>
  <c r="AH10" i="3"/>
  <c r="X10" i="3"/>
  <c r="T10" i="3"/>
  <c r="P10" i="3"/>
  <c r="O10" i="3"/>
  <c r="N10" i="3"/>
  <c r="M10" i="3"/>
  <c r="AI10" i="3" s="1"/>
  <c r="J10" i="3"/>
  <c r="AH9" i="3"/>
  <c r="X9" i="3"/>
  <c r="U9" i="3"/>
  <c r="T9" i="3"/>
  <c r="V9" i="3" s="1"/>
  <c r="P9" i="3"/>
  <c r="O9" i="3"/>
  <c r="M9" i="3"/>
  <c r="AI9" i="3" s="1"/>
  <c r="J9" i="3"/>
  <c r="AH8" i="3"/>
  <c r="X8" i="3"/>
  <c r="U8" i="3"/>
  <c r="T8" i="3"/>
  <c r="P8" i="3"/>
  <c r="O8" i="3"/>
  <c r="M8" i="3"/>
  <c r="AI8" i="3" s="1"/>
  <c r="J8" i="3"/>
  <c r="AH7" i="3"/>
  <c r="X7" i="3"/>
  <c r="U7" i="3"/>
  <c r="T7" i="3"/>
  <c r="V7" i="3" s="1"/>
  <c r="P7" i="3"/>
  <c r="O7" i="3"/>
  <c r="M7" i="3"/>
  <c r="AI7" i="3" s="1"/>
  <c r="J7" i="3"/>
  <c r="AJ6" i="3"/>
  <c r="AK6" i="3" s="1"/>
  <c r="AI6" i="3"/>
  <c r="AH6" i="3"/>
  <c r="X6" i="3"/>
  <c r="T6" i="3"/>
  <c r="P6" i="3"/>
  <c r="O6" i="3"/>
  <c r="M6" i="3"/>
  <c r="N6" i="3" s="1"/>
  <c r="J6" i="3"/>
  <c r="AH5" i="3"/>
  <c r="X5" i="3"/>
  <c r="U5" i="3"/>
  <c r="T5" i="3"/>
  <c r="V5" i="3" s="1"/>
  <c r="P5" i="3"/>
  <c r="O5" i="3"/>
  <c r="M5" i="3"/>
  <c r="J5" i="3"/>
  <c r="F35" i="2"/>
  <c r="F34" i="2"/>
  <c r="F33" i="2"/>
  <c r="B33" i="2"/>
  <c r="AJ24" i="3" s="1"/>
  <c r="AK24" i="3" s="1"/>
  <c r="F32" i="2"/>
  <c r="B32" i="2"/>
  <c r="F31" i="2"/>
  <c r="B31" i="2"/>
  <c r="F30" i="2"/>
  <c r="B30" i="2"/>
  <c r="F29" i="2"/>
  <c r="F28" i="2"/>
  <c r="F27" i="2"/>
  <c r="F26" i="2"/>
  <c r="F25" i="2"/>
  <c r="B22" i="2"/>
  <c r="B53" i="6" s="1"/>
  <c r="B19" i="2"/>
  <c r="B16" i="2"/>
  <c r="U26" i="3" s="1"/>
  <c r="B15" i="2"/>
  <c r="T28" i="3" s="1"/>
  <c r="B7" i="2"/>
  <c r="B5" i="2"/>
  <c r="Y28" i="6" l="1"/>
  <c r="Y37" i="6"/>
  <c r="Z21" i="6"/>
  <c r="Z28" i="6"/>
  <c r="Y40" i="6"/>
  <c r="Y18" i="6"/>
  <c r="Y34" i="6"/>
  <c r="Z34" i="6"/>
  <c r="Z17" i="6"/>
  <c r="Z23" i="6"/>
  <c r="Y33" i="6"/>
  <c r="Y38" i="6"/>
  <c r="Y21" i="6"/>
  <c r="W7" i="3"/>
  <c r="Z7" i="3"/>
  <c r="Z5" i="3"/>
  <c r="AC15" i="6"/>
  <c r="AB44" i="6"/>
  <c r="AB40" i="6"/>
  <c r="AB36" i="6"/>
  <c r="AB32" i="6"/>
  <c r="AB28" i="6"/>
  <c r="AB24" i="6"/>
  <c r="B51" i="6"/>
  <c r="AB41" i="6"/>
  <c r="AB35" i="6"/>
  <c r="AB34" i="6"/>
  <c r="AA40" i="6"/>
  <c r="AA41" i="6"/>
  <c r="AB37" i="6"/>
  <c r="AB33" i="6"/>
  <c r="AA27" i="6"/>
  <c r="AA26" i="6"/>
  <c r="AB19" i="6"/>
  <c r="AB15" i="6"/>
  <c r="AA37" i="6"/>
  <c r="AA33" i="6"/>
  <c r="AA19" i="6"/>
  <c r="AA15" i="6"/>
  <c r="AB42" i="6"/>
  <c r="AB38" i="6"/>
  <c r="AA28" i="6"/>
  <c r="AB23" i="6"/>
  <c r="AB22" i="6"/>
  <c r="AB18" i="6"/>
  <c r="AA44" i="6"/>
  <c r="AA35" i="6"/>
  <c r="AA32" i="6"/>
  <c r="AB27" i="6"/>
  <c r="AB26" i="6"/>
  <c r="AA25" i="6"/>
  <c r="AA43" i="6"/>
  <c r="AB30" i="6"/>
  <c r="AA22" i="6"/>
  <c r="AA21" i="6"/>
  <c r="AA34" i="6"/>
  <c r="AA30" i="6"/>
  <c r="AA38" i="6"/>
  <c r="AB17" i="6"/>
  <c r="AB31" i="6"/>
  <c r="AB29" i="6"/>
  <c r="AB25" i="6"/>
  <c r="AA23" i="6"/>
  <c r="AB20" i="6"/>
  <c r="AA18" i="6"/>
  <c r="AA17" i="6"/>
  <c r="AB43" i="6"/>
  <c r="AA39" i="6"/>
  <c r="AA36" i="6"/>
  <c r="AA24" i="6"/>
  <c r="AB21" i="6"/>
  <c r="AA42" i="6"/>
  <c r="AA31" i="6"/>
  <c r="AA29" i="6"/>
  <c r="AB39" i="6"/>
  <c r="AA20" i="6"/>
  <c r="AB16" i="6"/>
  <c r="E7" i="21"/>
  <c r="V8" i="3"/>
  <c r="Y33" i="3"/>
  <c r="B23" i="8"/>
  <c r="L27" i="3"/>
  <c r="L19" i="3"/>
  <c r="L11" i="3"/>
  <c r="L28" i="3"/>
  <c r="L20" i="3"/>
  <c r="L12" i="3"/>
  <c r="L29" i="3"/>
  <c r="L21" i="3"/>
  <c r="L13" i="3"/>
  <c r="L30" i="3"/>
  <c r="L22" i="3"/>
  <c r="L34" i="3"/>
  <c r="L18" i="3"/>
  <c r="L25" i="3"/>
  <c r="L14" i="3"/>
  <c r="L10" i="3"/>
  <c r="L31" i="3"/>
  <c r="L9" i="3"/>
  <c r="L6" i="3"/>
  <c r="L16" i="3"/>
  <c r="L32" i="3"/>
  <c r="L23" i="3"/>
  <c r="L17" i="3"/>
  <c r="V25" i="11"/>
  <c r="AJ34" i="3"/>
  <c r="AK34" i="3" s="1"/>
  <c r="AJ26" i="3"/>
  <c r="AK26" i="3" s="1"/>
  <c r="AJ18" i="3"/>
  <c r="AK18" i="3" s="1"/>
  <c r="AJ10" i="3"/>
  <c r="AK10" i="3" s="1"/>
  <c r="AJ27" i="3"/>
  <c r="AK27" i="3" s="1"/>
  <c r="AJ19" i="3"/>
  <c r="AK19" i="3" s="1"/>
  <c r="AJ11" i="3"/>
  <c r="AK11" i="3" s="1"/>
  <c r="AJ28" i="3"/>
  <c r="AK28" i="3" s="1"/>
  <c r="AJ20" i="3"/>
  <c r="AK20" i="3" s="1"/>
  <c r="AJ12" i="3"/>
  <c r="AK12" i="3" s="1"/>
  <c r="AJ29" i="3"/>
  <c r="AK29" i="3" s="1"/>
  <c r="AJ21" i="3"/>
  <c r="AK21" i="3" s="1"/>
  <c r="AJ32" i="3"/>
  <c r="AK32" i="3" s="1"/>
  <c r="AJ23" i="3"/>
  <c r="AK23" i="3" s="1"/>
  <c r="AJ9" i="3"/>
  <c r="AK9" i="3" s="1"/>
  <c r="AJ8" i="3"/>
  <c r="AK8" i="3" s="1"/>
  <c r="AJ14" i="3"/>
  <c r="AK14" i="3" s="1"/>
  <c r="AJ5" i="3"/>
  <c r="AK5" i="3" s="1"/>
  <c r="AJ22" i="3"/>
  <c r="AK22" i="3" s="1"/>
  <c r="AJ15" i="3"/>
  <c r="AK15" i="3" s="1"/>
  <c r="AJ25" i="3"/>
  <c r="AK25" i="3" s="1"/>
  <c r="AJ7" i="3"/>
  <c r="AK7" i="3" s="1"/>
  <c r="AJ31" i="3"/>
  <c r="AK31" i="3" s="1"/>
  <c r="AJ30" i="3"/>
  <c r="AK30" i="3" s="1"/>
  <c r="AJ17" i="3"/>
  <c r="AK17" i="3" s="1"/>
  <c r="AJ13" i="3"/>
  <c r="AK13" i="3" s="1"/>
  <c r="Z33" i="3"/>
  <c r="W33" i="3"/>
  <c r="B62" i="6"/>
  <c r="B11" i="8"/>
  <c r="D58" i="8" s="1"/>
  <c r="F58" i="8" s="1"/>
  <c r="E22" i="21"/>
  <c r="L8" i="3"/>
  <c r="AJ16" i="3"/>
  <c r="AK16" i="3" s="1"/>
  <c r="L33" i="3"/>
  <c r="I192" i="8"/>
  <c r="K192" i="8" s="1"/>
  <c r="Y30" i="6"/>
  <c r="Z30" i="6"/>
  <c r="E19" i="21"/>
  <c r="L7" i="3"/>
  <c r="AA16" i="6"/>
  <c r="V26" i="3"/>
  <c r="V6" i="3"/>
  <c r="Y7" i="3"/>
  <c r="W15" i="3"/>
  <c r="Z15" i="3"/>
  <c r="W5" i="3"/>
  <c r="Y5" i="3" s="1"/>
  <c r="L5" i="3"/>
  <c r="E15" i="21"/>
  <c r="L26" i="3"/>
  <c r="E12" i="21"/>
  <c r="L12" i="23" s="1"/>
  <c r="Y15" i="3"/>
  <c r="V18" i="3"/>
  <c r="AJ33" i="3"/>
  <c r="AK33" i="3" s="1"/>
  <c r="N5" i="3"/>
  <c r="AI5" i="3"/>
  <c r="B68" i="18" s="1"/>
  <c r="N7" i="3"/>
  <c r="Z9" i="3"/>
  <c r="W9" i="3"/>
  <c r="L15" i="3"/>
  <c r="W16" i="3"/>
  <c r="Z16" i="3"/>
  <c r="L24" i="3"/>
  <c r="AI26" i="3"/>
  <c r="N26" i="3"/>
  <c r="E31" i="21"/>
  <c r="E5" i="21"/>
  <c r="G9" i="18"/>
  <c r="Y9" i="3"/>
  <c r="E6" i="21"/>
  <c r="E21" i="21"/>
  <c r="C177" i="8"/>
  <c r="G177" i="8" s="1"/>
  <c r="Z15" i="6"/>
  <c r="E15" i="6"/>
  <c r="Y15" i="6"/>
  <c r="AC25" i="6"/>
  <c r="A196" i="8"/>
  <c r="I197" i="8"/>
  <c r="Z35" i="6"/>
  <c r="Y35" i="6"/>
  <c r="Y16" i="3"/>
  <c r="V21" i="3"/>
  <c r="AC31" i="6" s="1"/>
  <c r="V24" i="3"/>
  <c r="I184" i="8"/>
  <c r="Z22" i="6"/>
  <c r="Y22" i="6"/>
  <c r="E38" i="6"/>
  <c r="I198" i="8"/>
  <c r="K198" i="8" s="1"/>
  <c r="Z36" i="6"/>
  <c r="Y36" i="6"/>
  <c r="E14" i="21"/>
  <c r="E28" i="21"/>
  <c r="V31" i="3"/>
  <c r="AC41" i="6" s="1"/>
  <c r="B58" i="18"/>
  <c r="C213" i="8"/>
  <c r="E213" i="8" s="1"/>
  <c r="B26" i="8"/>
  <c r="G213" i="8"/>
  <c r="B55" i="6"/>
  <c r="U28" i="3"/>
  <c r="U20" i="3"/>
  <c r="U12" i="3"/>
  <c r="U29" i="3"/>
  <c r="U21" i="3"/>
  <c r="U13" i="3"/>
  <c r="U30" i="3"/>
  <c r="U22" i="3"/>
  <c r="V22" i="3" s="1"/>
  <c r="U14" i="3"/>
  <c r="V14" i="3" s="1"/>
  <c r="U31" i="3"/>
  <c r="U23" i="3"/>
  <c r="N8" i="3"/>
  <c r="U10" i="3"/>
  <c r="V10" i="3" s="1"/>
  <c r="U18" i="3"/>
  <c r="E20" i="21"/>
  <c r="E23" i="21"/>
  <c r="U25" i="3"/>
  <c r="V25" i="3" s="1"/>
  <c r="N33" i="3"/>
  <c r="U34" i="3"/>
  <c r="V34" i="3" s="1"/>
  <c r="I178" i="8"/>
  <c r="K178" i="8" s="1"/>
  <c r="Z16" i="6"/>
  <c r="Y16" i="6"/>
  <c r="AC26" i="6"/>
  <c r="AC29" i="6"/>
  <c r="I194" i="8"/>
  <c r="K194" i="8" s="1"/>
  <c r="Z32" i="6"/>
  <c r="Y32" i="6"/>
  <c r="E41" i="6"/>
  <c r="C203" i="8"/>
  <c r="G203" i="8" s="1"/>
  <c r="Y41" i="6"/>
  <c r="E11" i="21"/>
  <c r="B7" i="6"/>
  <c r="AC17" i="6"/>
  <c r="I186" i="8"/>
  <c r="K186" i="8" s="1"/>
  <c r="Y24" i="6"/>
  <c r="Z24" i="6"/>
  <c r="E29" i="6"/>
  <c r="C191" i="8"/>
  <c r="G191" i="8" s="1"/>
  <c r="U6" i="3"/>
  <c r="N19" i="3"/>
  <c r="E29" i="21"/>
  <c r="AI32" i="3"/>
  <c r="A177" i="8"/>
  <c r="C184" i="8"/>
  <c r="G184" i="8" s="1"/>
  <c r="AP30" i="8" s="1"/>
  <c r="A198" i="8"/>
  <c r="I201" i="8"/>
  <c r="K201" i="8" s="1"/>
  <c r="Y39" i="6"/>
  <c r="Z39" i="6"/>
  <c r="N9" i="3"/>
  <c r="N11" i="3"/>
  <c r="V13" i="3"/>
  <c r="E13" i="21"/>
  <c r="U17" i="3"/>
  <c r="N27" i="3"/>
  <c r="E30" i="21"/>
  <c r="U32" i="3"/>
  <c r="V32" i="3" s="1"/>
  <c r="A178" i="8"/>
  <c r="AC36" i="6"/>
  <c r="I205" i="8"/>
  <c r="K205" i="8" s="1"/>
  <c r="Z43" i="6"/>
  <c r="Y43" i="6"/>
  <c r="A200" i="8"/>
  <c r="C41" i="8"/>
  <c r="F41" i="8" s="1"/>
  <c r="H41" i="8" s="1"/>
  <c r="E27" i="21"/>
  <c r="T30" i="3"/>
  <c r="V30" i="3" s="1"/>
  <c r="I179" i="8"/>
  <c r="K179" i="8" s="1"/>
  <c r="A181" i="8"/>
  <c r="A182" i="8"/>
  <c r="C186" i="8"/>
  <c r="G186" i="8" s="1"/>
  <c r="AP32" i="8" s="1"/>
  <c r="A188" i="8"/>
  <c r="A190" i="8"/>
  <c r="C201" i="8"/>
  <c r="G201" i="8" s="1"/>
  <c r="D198" i="8"/>
  <c r="F198" i="8" s="1"/>
  <c r="E10" i="21"/>
  <c r="E18" i="21"/>
  <c r="E26" i="21"/>
  <c r="T29" i="3"/>
  <c r="V29" i="3" s="1"/>
  <c r="E34" i="21"/>
  <c r="I182" i="8"/>
  <c r="K182" i="8" s="1"/>
  <c r="Z20" i="6"/>
  <c r="Y20" i="6"/>
  <c r="I193" i="8"/>
  <c r="K193" i="8" s="1"/>
  <c r="Y31" i="6"/>
  <c r="C198" i="8"/>
  <c r="G198" i="8" s="1"/>
  <c r="E36" i="6"/>
  <c r="C206" i="8"/>
  <c r="G206" i="8" s="1"/>
  <c r="E44" i="6"/>
  <c r="Z44" i="6"/>
  <c r="Y44" i="6"/>
  <c r="E9" i="21"/>
  <c r="E17" i="21"/>
  <c r="T20" i="3"/>
  <c r="E25" i="21"/>
  <c r="E33" i="21"/>
  <c r="E17" i="6"/>
  <c r="I180" i="8"/>
  <c r="K180" i="8" s="1"/>
  <c r="C181" i="8"/>
  <c r="G181" i="8" s="1"/>
  <c r="AP27" i="8" s="1"/>
  <c r="Z19" i="6"/>
  <c r="E19" i="6"/>
  <c r="I185" i="8"/>
  <c r="K185" i="8" s="1"/>
  <c r="E24" i="6"/>
  <c r="Z25" i="6"/>
  <c r="I187" i="8"/>
  <c r="K187" i="8" s="1"/>
  <c r="Y25" i="6"/>
  <c r="C190" i="8"/>
  <c r="G190" i="8" s="1"/>
  <c r="E28" i="6"/>
  <c r="Z29" i="6"/>
  <c r="I191" i="8"/>
  <c r="K191" i="8" s="1"/>
  <c r="A195" i="8"/>
  <c r="E39" i="6"/>
  <c r="A202" i="8"/>
  <c r="M8" i="18"/>
  <c r="D212" i="8"/>
  <c r="G212" i="8" s="1"/>
  <c r="C212" i="8"/>
  <c r="E212" i="8" s="1"/>
  <c r="E8" i="21"/>
  <c r="T11" i="3"/>
  <c r="V11" i="3" s="1"/>
  <c r="E16" i="21"/>
  <c r="T19" i="3"/>
  <c r="V19" i="3" s="1"/>
  <c r="E24" i="21"/>
  <c r="T27" i="3"/>
  <c r="V27" i="3" s="1"/>
  <c r="E32" i="21"/>
  <c r="AC18" i="6"/>
  <c r="D181" i="8"/>
  <c r="F181" i="8" s="1"/>
  <c r="K183" i="8"/>
  <c r="C185" i="8"/>
  <c r="G185" i="8" s="1"/>
  <c r="AP31" i="8" s="1"/>
  <c r="AC28" i="6"/>
  <c r="A191" i="8"/>
  <c r="I200" i="8"/>
  <c r="K200" i="8" s="1"/>
  <c r="E25" i="6"/>
  <c r="C187" i="8"/>
  <c r="G187" i="8" s="1"/>
  <c r="AP33" i="8" s="1"/>
  <c r="C193" i="8"/>
  <c r="G193" i="8" s="1"/>
  <c r="C197" i="8"/>
  <c r="G197" i="8" s="1"/>
  <c r="I204" i="8"/>
  <c r="K204" i="8" s="1"/>
  <c r="Z42" i="6"/>
  <c r="K203" i="8"/>
  <c r="C178" i="8"/>
  <c r="G178" i="8" s="1"/>
  <c r="AP24" i="8" s="1"/>
  <c r="A179" i="8"/>
  <c r="C182" i="8"/>
  <c r="G182" i="8" s="1"/>
  <c r="AP28" i="8" s="1"/>
  <c r="A183" i="8"/>
  <c r="Y26" i="6"/>
  <c r="Y27" i="6"/>
  <c r="A194" i="8"/>
  <c r="AC34" i="6"/>
  <c r="A199" i="8"/>
  <c r="C205" i="8"/>
  <c r="G205" i="8" s="1"/>
  <c r="C45" i="8"/>
  <c r="F45" i="8" s="1"/>
  <c r="H45" i="8" s="1"/>
  <c r="K188" i="8"/>
  <c r="B69" i="6"/>
  <c r="I177" i="8"/>
  <c r="K177" i="8" s="1"/>
  <c r="I181" i="8"/>
  <c r="K181" i="8" s="1"/>
  <c r="A187" i="8"/>
  <c r="Z26" i="6"/>
  <c r="Z27" i="6"/>
  <c r="K190" i="8"/>
  <c r="C195" i="8"/>
  <c r="G195" i="8" s="1"/>
  <c r="E33" i="6"/>
  <c r="AC43" i="6"/>
  <c r="E16" i="6"/>
  <c r="C179" i="8"/>
  <c r="G179" i="8" s="1"/>
  <c r="AP25" i="8" s="1"/>
  <c r="A180" i="8"/>
  <c r="E20" i="6"/>
  <c r="C183" i="8"/>
  <c r="G183" i="8" s="1"/>
  <c r="AP29" i="8" s="1"/>
  <c r="A184" i="8"/>
  <c r="A186" i="8"/>
  <c r="E27" i="6"/>
  <c r="I189" i="8"/>
  <c r="K189" i="8" s="1"/>
  <c r="A192" i="8"/>
  <c r="I195" i="8"/>
  <c r="K195" i="8" s="1"/>
  <c r="Z33" i="6"/>
  <c r="C199" i="8"/>
  <c r="G199" i="8" s="1"/>
  <c r="E37" i="6"/>
  <c r="I199" i="8"/>
  <c r="Z37" i="6"/>
  <c r="I202" i="8"/>
  <c r="K202" i="8" s="1"/>
  <c r="Z40" i="6"/>
  <c r="A203" i="8"/>
  <c r="A204" i="8"/>
  <c r="E43" i="6"/>
  <c r="F5" i="8"/>
  <c r="M54" i="8"/>
  <c r="AB13" i="8"/>
  <c r="D59" i="8"/>
  <c r="F59" i="8" s="1"/>
  <c r="D53" i="8"/>
  <c r="F53" i="8" s="1"/>
  <c r="D55" i="8"/>
  <c r="F55" i="8" s="1"/>
  <c r="B43" i="8"/>
  <c r="C43" i="8" s="1"/>
  <c r="L64" i="8"/>
  <c r="D95" i="8"/>
  <c r="D151" i="8"/>
  <c r="H146" i="8"/>
  <c r="AV15" i="8" s="1"/>
  <c r="H237" i="8"/>
  <c r="D43" i="8"/>
  <c r="D47" i="8"/>
  <c r="D42" i="8"/>
  <c r="D40" i="8"/>
  <c r="D45" i="8"/>
  <c r="I146" i="8"/>
  <c r="I151" i="8" s="1"/>
  <c r="I206" i="8"/>
  <c r="K206" i="8" s="1"/>
  <c r="D204" i="8"/>
  <c r="F204" i="8" s="1"/>
  <c r="D200" i="8"/>
  <c r="F200" i="8" s="1"/>
  <c r="D196" i="8"/>
  <c r="F196" i="8" s="1"/>
  <c r="D192" i="8"/>
  <c r="F192" i="8" s="1"/>
  <c r="D188" i="8"/>
  <c r="F188" i="8" s="1"/>
  <c r="D184" i="8"/>
  <c r="F184" i="8" s="1"/>
  <c r="F170" i="8"/>
  <c r="F166" i="8"/>
  <c r="D205" i="8"/>
  <c r="F205" i="8" s="1"/>
  <c r="D194" i="8"/>
  <c r="F194" i="8" s="1"/>
  <c r="D183" i="8"/>
  <c r="F183" i="8" s="1"/>
  <c r="D177" i="8"/>
  <c r="F177" i="8" s="1"/>
  <c r="E169" i="8"/>
  <c r="F149" i="8"/>
  <c r="H149" i="8" s="1"/>
  <c r="AV18" i="8" s="1"/>
  <c r="F146" i="8"/>
  <c r="B42" i="8"/>
  <c r="C42" i="8" s="1"/>
  <c r="F42" i="8" s="1"/>
  <c r="H42" i="8" s="1"/>
  <c r="D203" i="8"/>
  <c r="F203" i="8" s="1"/>
  <c r="D193" i="8"/>
  <c r="F193" i="8" s="1"/>
  <c r="F168" i="8"/>
  <c r="B46" i="8"/>
  <c r="C46" i="8" s="1"/>
  <c r="D189" i="8"/>
  <c r="F189" i="8" s="1"/>
  <c r="D190" i="8"/>
  <c r="F190" i="8" s="1"/>
  <c r="D179" i="8"/>
  <c r="F179" i="8" s="1"/>
  <c r="E166" i="8"/>
  <c r="F147" i="8"/>
  <c r="H147" i="8" s="1"/>
  <c r="AV16" i="8" s="1"/>
  <c r="B48" i="8"/>
  <c r="C48" i="8" s="1"/>
  <c r="F48" i="8" s="1"/>
  <c r="H48" i="8" s="1"/>
  <c r="B44" i="8"/>
  <c r="C44" i="8" s="1"/>
  <c r="F44" i="8" s="1"/>
  <c r="H44" i="8" s="1"/>
  <c r="D191" i="8"/>
  <c r="F191" i="8" s="1"/>
  <c r="D186" i="8"/>
  <c r="F186" i="8" s="1"/>
  <c r="F171" i="8"/>
  <c r="F150" i="8"/>
  <c r="L66" i="8"/>
  <c r="E171" i="8"/>
  <c r="F145" i="8"/>
  <c r="H145" i="8" s="1"/>
  <c r="B40" i="8"/>
  <c r="C40" i="8" s="1"/>
  <c r="D201" i="8"/>
  <c r="F201" i="8" s="1"/>
  <c r="D187" i="8"/>
  <c r="F187" i="8" s="1"/>
  <c r="E170" i="8"/>
  <c r="B47" i="8"/>
  <c r="C47" i="8" s="1"/>
  <c r="D202" i="8"/>
  <c r="F202" i="8" s="1"/>
  <c r="D41" i="8"/>
  <c r="D56" i="8"/>
  <c r="F56" i="8" s="1"/>
  <c r="E167" i="8"/>
  <c r="A206" i="8"/>
  <c r="F7" i="8"/>
  <c r="D46" i="8"/>
  <c r="M53" i="8"/>
  <c r="D57" i="8"/>
  <c r="F57" i="8" s="1"/>
  <c r="F167" i="8"/>
  <c r="D206" i="8"/>
  <c r="F206" i="8" s="1"/>
  <c r="D99" i="8"/>
  <c r="C99" i="8"/>
  <c r="Z41" i="6"/>
  <c r="E120" i="8"/>
  <c r="AB22" i="8"/>
  <c r="I271" i="8" s="1"/>
  <c r="F169" i="8"/>
  <c r="D180" i="8"/>
  <c r="F180" i="8" s="1"/>
  <c r="H150" i="8"/>
  <c r="AV19" i="8" s="1"/>
  <c r="I150" i="8"/>
  <c r="H238" i="8"/>
  <c r="G12" i="18"/>
  <c r="B37" i="11"/>
  <c r="B35" i="11"/>
  <c r="B33" i="11"/>
  <c r="B38" i="11"/>
  <c r="B39" i="11"/>
  <c r="B34" i="11"/>
  <c r="B32" i="11"/>
  <c r="B36" i="11"/>
  <c r="B31" i="11"/>
  <c r="F27" i="8"/>
  <c r="D98" i="8"/>
  <c r="C98" i="8"/>
  <c r="C101" i="8"/>
  <c r="D101" i="8" s="1"/>
  <c r="K196" i="8"/>
  <c r="B16" i="10"/>
  <c r="B15" i="10"/>
  <c r="B48" i="10"/>
  <c r="B44" i="10"/>
  <c r="B36" i="10"/>
  <c r="B43" i="10"/>
  <c r="B47" i="10"/>
  <c r="B38" i="10"/>
  <c r="D6" i="10"/>
  <c r="B35" i="10"/>
  <c r="B37" i="10" s="1"/>
  <c r="B45" i="10"/>
  <c r="F39" i="11"/>
  <c r="F36" i="11"/>
  <c r="F34" i="11"/>
  <c r="F35" i="11"/>
  <c r="F37" i="11"/>
  <c r="J37" i="11"/>
  <c r="J35" i="11"/>
  <c r="J33" i="11"/>
  <c r="F5" i="11"/>
  <c r="J32" i="11"/>
  <c r="J38" i="11"/>
  <c r="F33" i="11"/>
  <c r="F38" i="11"/>
  <c r="B87" i="18"/>
  <c r="B89" i="18"/>
  <c r="B85" i="18"/>
  <c r="B81" i="18"/>
  <c r="B90" i="18"/>
  <c r="B84" i="18"/>
  <c r="E89" i="18"/>
  <c r="C84" i="18"/>
  <c r="C91" i="18"/>
  <c r="B86" i="18"/>
  <c r="D83" i="18"/>
  <c r="B91" i="18"/>
  <c r="D84" i="18"/>
  <c r="E88" i="18"/>
  <c r="D88" i="18"/>
  <c r="E84" i="18"/>
  <c r="B88" i="18"/>
  <c r="C83" i="18"/>
  <c r="E85" i="18"/>
  <c r="C87" i="18"/>
  <c r="M9" i="23"/>
  <c r="M8" i="23"/>
  <c r="M47" i="18"/>
  <c r="J39" i="18"/>
  <c r="A33" i="18"/>
  <c r="M46" i="18"/>
  <c r="L32" i="11"/>
  <c r="L38" i="11"/>
  <c r="L39" i="11"/>
  <c r="L34" i="11"/>
  <c r="L33" i="11"/>
  <c r="F31" i="11"/>
  <c r="B82" i="18"/>
  <c r="M33" i="18"/>
  <c r="B51" i="18"/>
  <c r="M35" i="18" s="1"/>
  <c r="B15" i="11"/>
  <c r="B39" i="18"/>
  <c r="D23" i="18" s="1"/>
  <c r="E90" i="18"/>
  <c r="D89" i="18"/>
  <c r="C88" i="18"/>
  <c r="E82" i="18"/>
  <c r="D81" i="18"/>
  <c r="E81" i="18"/>
  <c r="D85" i="18"/>
  <c r="C89" i="18"/>
  <c r="C82" i="18"/>
  <c r="E83" i="18"/>
  <c r="C86" i="18"/>
  <c r="E87" i="18"/>
  <c r="D91" i="18"/>
  <c r="D82" i="18"/>
  <c r="D86" i="18"/>
  <c r="C90" i="18"/>
  <c r="E91" i="18"/>
  <c r="C81" i="18"/>
  <c r="C85" i="18"/>
  <c r="E86" i="18"/>
  <c r="D90" i="18"/>
  <c r="K199" i="8" l="1"/>
  <c r="K197" i="8"/>
  <c r="Z34" i="3"/>
  <c r="W34" i="3"/>
  <c r="AC44" i="6"/>
  <c r="Z10" i="3"/>
  <c r="W10" i="3"/>
  <c r="Y10" i="3" s="1"/>
  <c r="AC20" i="6"/>
  <c r="Z25" i="3"/>
  <c r="W25" i="3"/>
  <c r="AC35" i="6"/>
  <c r="W32" i="3"/>
  <c r="Z32" i="3"/>
  <c r="AC42" i="6"/>
  <c r="W14" i="3"/>
  <c r="AC24" i="6"/>
  <c r="Z14" i="3"/>
  <c r="W22" i="3"/>
  <c r="Z22" i="3"/>
  <c r="AC32" i="6"/>
  <c r="D36" i="11"/>
  <c r="C36" i="11"/>
  <c r="F43" i="8"/>
  <c r="H43" i="8" s="1"/>
  <c r="D32" i="11"/>
  <c r="C32" i="11"/>
  <c r="D197" i="8"/>
  <c r="F197" i="8" s="1"/>
  <c r="F47" i="8"/>
  <c r="H47" i="8" s="1"/>
  <c r="F40" i="8"/>
  <c r="H40" i="8" s="1"/>
  <c r="D185" i="8"/>
  <c r="F185" i="8" s="1"/>
  <c r="F66" i="8"/>
  <c r="D182" i="8"/>
  <c r="F182" i="8" s="1"/>
  <c r="AO32" i="8"/>
  <c r="AX22" i="8"/>
  <c r="U12" i="23"/>
  <c r="V12" i="23" s="1"/>
  <c r="T12" i="23"/>
  <c r="R12" i="23"/>
  <c r="Q12" i="23"/>
  <c r="O12" i="23"/>
  <c r="S12" i="23"/>
  <c r="AG23" i="3"/>
  <c r="Q23" i="3" s="1"/>
  <c r="AG25" i="3"/>
  <c r="Q25" i="3" s="1"/>
  <c r="AA25" i="3" s="1"/>
  <c r="AG12" i="3"/>
  <c r="Q12" i="3" s="1"/>
  <c r="R12" i="3" s="1"/>
  <c r="AX18" i="8"/>
  <c r="AO28" i="8"/>
  <c r="W13" i="3"/>
  <c r="Z13" i="3"/>
  <c r="Y18" i="3"/>
  <c r="H74" i="18"/>
  <c r="AG5" i="3"/>
  <c r="Q5" i="3" s="1"/>
  <c r="AA5" i="3" s="1"/>
  <c r="W6" i="3"/>
  <c r="AC16" i="6"/>
  <c r="Z6" i="3"/>
  <c r="AG32" i="3"/>
  <c r="Q32" i="3" s="1"/>
  <c r="R32" i="3"/>
  <c r="S32" i="3" s="1"/>
  <c r="S18" i="3"/>
  <c r="R18" i="3"/>
  <c r="AG18" i="3"/>
  <c r="Q18" i="3" s="1"/>
  <c r="S20" i="3"/>
  <c r="R20" i="3"/>
  <c r="AG20" i="3"/>
  <c r="Q20" i="3" s="1"/>
  <c r="F84" i="18"/>
  <c r="M9" i="18"/>
  <c r="F87" i="18" s="1"/>
  <c r="B18" i="11"/>
  <c r="V27" i="11" s="1"/>
  <c r="V29" i="11" s="1"/>
  <c r="D34" i="11"/>
  <c r="C34" i="11"/>
  <c r="E34" i="11" s="1"/>
  <c r="G34" i="11" s="1"/>
  <c r="E125" i="8"/>
  <c r="E128" i="8"/>
  <c r="E119" i="8"/>
  <c r="I268" i="8"/>
  <c r="E126" i="8"/>
  <c r="I267" i="8"/>
  <c r="E127" i="8"/>
  <c r="B119" i="8"/>
  <c r="I269" i="8"/>
  <c r="E129" i="8"/>
  <c r="F12" i="8"/>
  <c r="F67" i="8"/>
  <c r="K41" i="8"/>
  <c r="F89" i="18"/>
  <c r="D39" i="11"/>
  <c r="C39" i="11"/>
  <c r="E39" i="11" s="1"/>
  <c r="G39" i="11" s="1"/>
  <c r="F68" i="8"/>
  <c r="AX20" i="8"/>
  <c r="AO30" i="8"/>
  <c r="AX16" i="8"/>
  <c r="AO26" i="8"/>
  <c r="AO33" i="8"/>
  <c r="AX23" i="8"/>
  <c r="AX15" i="8"/>
  <c r="AO25" i="8"/>
  <c r="Z19" i="3"/>
  <c r="W19" i="3"/>
  <c r="Y19" i="3" s="1"/>
  <c r="W30" i="3"/>
  <c r="Z30" i="3"/>
  <c r="AX14" i="8"/>
  <c r="AO24" i="8"/>
  <c r="V23" i="3"/>
  <c r="V12" i="3"/>
  <c r="W24" i="3"/>
  <c r="Y24" i="3" s="1"/>
  <c r="Z24" i="3"/>
  <c r="L10" i="23"/>
  <c r="L7" i="23"/>
  <c r="L5" i="23"/>
  <c r="L11" i="23"/>
  <c r="L6" i="23"/>
  <c r="AG24" i="3"/>
  <c r="Q24" i="3" s="1"/>
  <c r="AA24" i="3" s="1"/>
  <c r="R33" i="3"/>
  <c r="AG33" i="3"/>
  <c r="Q33" i="3" s="1"/>
  <c r="AA33" i="3" s="1"/>
  <c r="AG16" i="3"/>
  <c r="Q16" i="3" s="1"/>
  <c r="AA16" i="3" s="1"/>
  <c r="R34" i="3"/>
  <c r="AG34" i="3"/>
  <c r="Q34" i="3" s="1"/>
  <c r="AA34" i="3" s="1"/>
  <c r="R28" i="3"/>
  <c r="AG28" i="3"/>
  <c r="Q28" i="3" s="1"/>
  <c r="D199" i="8"/>
  <c r="F199" i="8" s="1"/>
  <c r="AX24" i="8"/>
  <c r="AO34" i="8"/>
  <c r="Y32" i="3"/>
  <c r="V17" i="3"/>
  <c r="Y14" i="3"/>
  <c r="Z21" i="3"/>
  <c r="W21" i="3"/>
  <c r="Y21" i="3" s="1"/>
  <c r="L8" i="23"/>
  <c r="L9" i="23"/>
  <c r="Z18" i="3"/>
  <c r="W18" i="3"/>
  <c r="S26" i="3"/>
  <c r="R26" i="3"/>
  <c r="AG26" i="3"/>
  <c r="Q26" i="3" s="1"/>
  <c r="Z26" i="3"/>
  <c r="W26" i="3"/>
  <c r="Y26" i="3" s="1"/>
  <c r="AB16" i="11"/>
  <c r="Z14" i="11"/>
  <c r="Z18" i="11"/>
  <c r="F267" i="8"/>
  <c r="C224" i="8"/>
  <c r="D224" i="8" s="1"/>
  <c r="C89" i="8"/>
  <c r="Z17" i="11"/>
  <c r="F269" i="8"/>
  <c r="E99" i="8"/>
  <c r="C86" i="8"/>
  <c r="H54" i="8"/>
  <c r="AB7" i="8"/>
  <c r="E269" i="8"/>
  <c r="H257" i="8"/>
  <c r="E100" i="8"/>
  <c r="H55" i="8"/>
  <c r="Z16" i="11"/>
  <c r="AA16" i="11" s="1"/>
  <c r="AC16" i="11" s="1"/>
  <c r="AD16" i="11" s="1"/>
  <c r="F271" i="8"/>
  <c r="Z15" i="11"/>
  <c r="E271" i="8"/>
  <c r="E267" i="8"/>
  <c r="H259" i="8"/>
  <c r="E98" i="8"/>
  <c r="H58" i="8"/>
  <c r="K45" i="8"/>
  <c r="H258" i="8"/>
  <c r="C226" i="8"/>
  <c r="D226" i="8" s="1"/>
  <c r="E95" i="8"/>
  <c r="F95" i="8" s="1"/>
  <c r="C84" i="8"/>
  <c r="H56" i="8"/>
  <c r="F270" i="8"/>
  <c r="F268" i="8"/>
  <c r="H261" i="8"/>
  <c r="C221" i="8"/>
  <c r="D221" i="8" s="1"/>
  <c r="E96" i="8"/>
  <c r="C88" i="8"/>
  <c r="H53" i="8"/>
  <c r="E270" i="8"/>
  <c r="E268" i="8"/>
  <c r="C223" i="8"/>
  <c r="D223" i="8" s="1"/>
  <c r="H256" i="8"/>
  <c r="H57" i="8"/>
  <c r="D54" i="8"/>
  <c r="F54" i="8" s="1"/>
  <c r="AB15" i="8"/>
  <c r="C78" i="8" s="1"/>
  <c r="C85" i="8"/>
  <c r="H260" i="8"/>
  <c r="C222" i="8"/>
  <c r="D222" i="8" s="1"/>
  <c r="E101" i="8"/>
  <c r="F101" i="8" s="1"/>
  <c r="C87" i="8"/>
  <c r="H59" i="8"/>
  <c r="C225" i="8"/>
  <c r="D225" i="8" s="1"/>
  <c r="E97" i="8"/>
  <c r="AB5" i="8"/>
  <c r="AG6" i="3"/>
  <c r="Q6" i="3" s="1"/>
  <c r="AA6" i="3" s="1"/>
  <c r="AG22" i="3"/>
  <c r="Q22" i="3" s="1"/>
  <c r="AA22" i="3" s="1"/>
  <c r="R11" i="3"/>
  <c r="AG11" i="3"/>
  <c r="Q11" i="3" s="1"/>
  <c r="AX13" i="8"/>
  <c r="AO23" i="8"/>
  <c r="Y34" i="3"/>
  <c r="Y22" i="3"/>
  <c r="W31" i="3"/>
  <c r="Y31" i="3" s="1"/>
  <c r="Z31" i="3"/>
  <c r="AG8" i="3"/>
  <c r="Q8" i="3" s="1"/>
  <c r="R8" i="3"/>
  <c r="S8" i="3"/>
  <c r="V30" i="11"/>
  <c r="AG9" i="3"/>
  <c r="Q9" i="3" s="1"/>
  <c r="AA9" i="3" s="1"/>
  <c r="AG30" i="3"/>
  <c r="Q30" i="3" s="1"/>
  <c r="AA30" i="3" s="1"/>
  <c r="S19" i="3"/>
  <c r="R19" i="3"/>
  <c r="AG19" i="3"/>
  <c r="Q19" i="3" s="1"/>
  <c r="AA19" i="3" s="1"/>
  <c r="AX19" i="8"/>
  <c r="AO29" i="8"/>
  <c r="C33" i="11"/>
  <c r="D33" i="11"/>
  <c r="AV14" i="8"/>
  <c r="H151" i="8"/>
  <c r="F86" i="18"/>
  <c r="C35" i="11"/>
  <c r="D35" i="11"/>
  <c r="I117" i="8"/>
  <c r="I118" i="8" s="1"/>
  <c r="AB14" i="8"/>
  <c r="W29" i="3"/>
  <c r="Y29" i="3" s="1"/>
  <c r="Z29" i="3"/>
  <c r="AC39" i="6"/>
  <c r="G270" i="8"/>
  <c r="C109" i="8"/>
  <c r="G271" i="8"/>
  <c r="Y30" i="3"/>
  <c r="N178" i="8"/>
  <c r="N180" i="8"/>
  <c r="AP23" i="8"/>
  <c r="V28" i="3"/>
  <c r="AG31" i="3"/>
  <c r="Q31" i="3" s="1"/>
  <c r="R31" i="3"/>
  <c r="AG13" i="3"/>
  <c r="Q13" i="3" s="1"/>
  <c r="AA13" i="3" s="1"/>
  <c r="R13" i="3"/>
  <c r="AG27" i="3"/>
  <c r="Q27" i="3" s="1"/>
  <c r="AA27" i="3" s="1"/>
  <c r="Z8" i="3"/>
  <c r="W8" i="3"/>
  <c r="Y8" i="3" s="1"/>
  <c r="F46" i="8"/>
  <c r="Z27" i="3"/>
  <c r="W27" i="3"/>
  <c r="Y27" i="3" s="1"/>
  <c r="F82" i="18"/>
  <c r="C31" i="11"/>
  <c r="E31" i="11" s="1"/>
  <c r="G31" i="11" s="1"/>
  <c r="D31" i="11"/>
  <c r="C37" i="11"/>
  <c r="E37" i="11" s="1"/>
  <c r="G37" i="11" s="1"/>
  <c r="D37" i="11"/>
  <c r="I270" i="8"/>
  <c r="D195" i="8"/>
  <c r="F195" i="8" s="1"/>
  <c r="D178" i="8"/>
  <c r="F178" i="8" s="1"/>
  <c r="F64" i="8"/>
  <c r="K184" i="8"/>
  <c r="N177" i="8" s="1"/>
  <c r="Z11" i="3"/>
  <c r="W11" i="3"/>
  <c r="Y11" i="3" s="1"/>
  <c r="V20" i="3"/>
  <c r="AO27" i="8"/>
  <c r="AX17" i="8"/>
  <c r="AC23" i="6"/>
  <c r="B60" i="6"/>
  <c r="AC37" i="6"/>
  <c r="Y25" i="3"/>
  <c r="B63" i="6"/>
  <c r="Y13" i="3"/>
  <c r="D215" i="8"/>
  <c r="B215" i="8"/>
  <c r="AC21" i="6"/>
  <c r="AG10" i="3"/>
  <c r="Q10" i="3" s="1"/>
  <c r="AA10" i="3" s="1"/>
  <c r="AG21" i="3"/>
  <c r="Q21" i="3" s="1"/>
  <c r="AA21" i="3" s="1"/>
  <c r="R21" i="3"/>
  <c r="K40" i="8"/>
  <c r="C38" i="11"/>
  <c r="D38" i="11"/>
  <c r="F90" i="18"/>
  <c r="F91" i="18"/>
  <c r="F81" i="18"/>
  <c r="F65" i="8"/>
  <c r="Y6" i="3"/>
  <c r="F257" i="8"/>
  <c r="C108" i="8"/>
  <c r="F256" i="8"/>
  <c r="B27" i="8"/>
  <c r="F258" i="8"/>
  <c r="F261" i="8"/>
  <c r="F260" i="8"/>
  <c r="G269" i="8"/>
  <c r="AC40" i="6"/>
  <c r="F259" i="8"/>
  <c r="G268" i="8"/>
  <c r="G267" i="8"/>
  <c r="C107" i="8"/>
  <c r="B17" i="11"/>
  <c r="AB10" i="8"/>
  <c r="G42" i="18"/>
  <c r="J41" i="18"/>
  <c r="A17" i="18"/>
  <c r="AG15" i="3"/>
  <c r="Q15" i="3" s="1"/>
  <c r="AA15" i="3" s="1"/>
  <c r="R15" i="3"/>
  <c r="AG7" i="3"/>
  <c r="Q7" i="3" s="1"/>
  <c r="AA7" i="3" s="1"/>
  <c r="R7" i="3"/>
  <c r="S7" i="3"/>
  <c r="R17" i="3"/>
  <c r="AG17" i="3"/>
  <c r="Q17" i="3" s="1"/>
  <c r="S17" i="3"/>
  <c r="AG14" i="3"/>
  <c r="Q14" i="3" s="1"/>
  <c r="AA14" i="3" s="1"/>
  <c r="AG29" i="3"/>
  <c r="Q29" i="3" s="1"/>
  <c r="H74" i="8" l="1"/>
  <c r="H75" i="8"/>
  <c r="I258" i="8"/>
  <c r="AA258" i="8" s="1"/>
  <c r="E74" i="8"/>
  <c r="K57" i="8"/>
  <c r="K53" i="8"/>
  <c r="H76" i="8"/>
  <c r="E78" i="8"/>
  <c r="F77" i="8"/>
  <c r="K54" i="8"/>
  <c r="I259" i="8"/>
  <c r="AA259" i="8" s="1"/>
  <c r="D75" i="8"/>
  <c r="G76" i="8"/>
  <c r="B78" i="8"/>
  <c r="E75" i="8"/>
  <c r="AB16" i="8"/>
  <c r="I119" i="8" s="1"/>
  <c r="C77" i="8"/>
  <c r="AL12" i="3"/>
  <c r="F22" i="6"/>
  <c r="AE12" i="3"/>
  <c r="S12" i="3"/>
  <c r="O9" i="23"/>
  <c r="T9" i="23"/>
  <c r="U9" i="23" s="1"/>
  <c r="S9" i="23"/>
  <c r="R9" i="23"/>
  <c r="Q9" i="23"/>
  <c r="Z17" i="3"/>
  <c r="W17" i="3"/>
  <c r="Y17" i="3" s="1"/>
  <c r="AC27" i="6"/>
  <c r="F44" i="6"/>
  <c r="AL34" i="3"/>
  <c r="AB34" i="3"/>
  <c r="AE34" i="3"/>
  <c r="AL20" i="3"/>
  <c r="F30" i="6"/>
  <c r="AE20" i="3"/>
  <c r="F28" i="6"/>
  <c r="AB18" i="3"/>
  <c r="AL18" i="3"/>
  <c r="AE18" i="3"/>
  <c r="E32" i="11"/>
  <c r="G32" i="11" s="1"/>
  <c r="F29" i="6"/>
  <c r="AB19" i="3"/>
  <c r="AL19" i="3"/>
  <c r="AE19" i="3"/>
  <c r="R9" i="3"/>
  <c r="F36" i="6"/>
  <c r="AE26" i="3"/>
  <c r="AB26" i="3"/>
  <c r="AL26" i="3"/>
  <c r="R8" i="23"/>
  <c r="Q8" i="23"/>
  <c r="S8" i="23"/>
  <c r="O8" i="23"/>
  <c r="T8" i="23"/>
  <c r="U8" i="23" s="1"/>
  <c r="H77" i="8"/>
  <c r="F38" i="6"/>
  <c r="AL28" i="3"/>
  <c r="AB28" i="3"/>
  <c r="AE28" i="3"/>
  <c r="S34" i="3"/>
  <c r="F43" i="6"/>
  <c r="AB33" i="3"/>
  <c r="AL33" i="3"/>
  <c r="AE33" i="3"/>
  <c r="H89" i="18"/>
  <c r="H87" i="18"/>
  <c r="H90" i="18"/>
  <c r="AE21" i="3"/>
  <c r="AL21" i="3"/>
  <c r="AB21" i="3"/>
  <c r="F31" i="6"/>
  <c r="H31" i="11"/>
  <c r="I31" i="11"/>
  <c r="K31" i="11"/>
  <c r="F41" i="6"/>
  <c r="AE31" i="3"/>
  <c r="AL31" i="3"/>
  <c r="AB31" i="3"/>
  <c r="E33" i="11"/>
  <c r="G33" i="11" s="1"/>
  <c r="H84" i="18"/>
  <c r="B75" i="8"/>
  <c r="R10" i="3"/>
  <c r="AB11" i="3"/>
  <c r="F21" i="6"/>
  <c r="AL11" i="3"/>
  <c r="AE11" i="3"/>
  <c r="G224" i="8"/>
  <c r="E224" i="8"/>
  <c r="F224" i="8" s="1"/>
  <c r="E35" i="11"/>
  <c r="G35" i="11" s="1"/>
  <c r="V31" i="11"/>
  <c r="F18" i="6"/>
  <c r="AL8" i="3"/>
  <c r="AB8" i="3"/>
  <c r="AE8" i="3"/>
  <c r="S11" i="3"/>
  <c r="F97" i="8"/>
  <c r="I260" i="8"/>
  <c r="AA260" i="8" s="1"/>
  <c r="F96" i="8"/>
  <c r="G226" i="8"/>
  <c r="E226" i="8"/>
  <c r="F226" i="8" s="1"/>
  <c r="F98" i="8"/>
  <c r="F100" i="8"/>
  <c r="F99" i="8"/>
  <c r="E77" i="8"/>
  <c r="S28" i="3"/>
  <c r="O6" i="23"/>
  <c r="Q6" i="23" s="1"/>
  <c r="R6" i="23"/>
  <c r="U6" i="23"/>
  <c r="T6" i="23"/>
  <c r="S6" i="23"/>
  <c r="E76" i="8"/>
  <c r="R5" i="3"/>
  <c r="R25" i="3"/>
  <c r="G222" i="8"/>
  <c r="E222" i="8"/>
  <c r="F222" i="8" s="1"/>
  <c r="D78" i="8"/>
  <c r="R16" i="3"/>
  <c r="O11" i="23"/>
  <c r="R11" i="23"/>
  <c r="T11" i="23"/>
  <c r="U11" i="23" s="1"/>
  <c r="S11" i="23"/>
  <c r="Z12" i="3"/>
  <c r="W12" i="3"/>
  <c r="Y12" i="3" s="1"/>
  <c r="AB12" i="3" s="1"/>
  <c r="AC22" i="6"/>
  <c r="C76" i="8"/>
  <c r="G77" i="8"/>
  <c r="F42" i="6"/>
  <c r="AE32" i="3"/>
  <c r="AL32" i="3"/>
  <c r="AB32" i="3"/>
  <c r="D76" i="8"/>
  <c r="S31" i="3"/>
  <c r="G43" i="18"/>
  <c r="H65" i="18"/>
  <c r="B41" i="18"/>
  <c r="H78" i="8"/>
  <c r="Z28" i="3"/>
  <c r="W28" i="3"/>
  <c r="Y28" i="3" s="1"/>
  <c r="AC38" i="6"/>
  <c r="D278" i="8"/>
  <c r="E278" i="8" s="1"/>
  <c r="G89" i="8"/>
  <c r="AA8" i="3"/>
  <c r="E225" i="8"/>
  <c r="F225" i="8" s="1"/>
  <c r="G225" i="8"/>
  <c r="I256" i="8"/>
  <c r="AA256" i="8" s="1"/>
  <c r="E221" i="8"/>
  <c r="F221" i="8" s="1"/>
  <c r="G221" i="8"/>
  <c r="I257" i="8"/>
  <c r="AA257" i="8" s="1"/>
  <c r="R14" i="3"/>
  <c r="AA17" i="3"/>
  <c r="F88" i="18"/>
  <c r="F83" i="18"/>
  <c r="F76" i="8"/>
  <c r="R27" i="3"/>
  <c r="F85" i="18"/>
  <c r="G74" i="8"/>
  <c r="R6" i="3"/>
  <c r="F78" i="8"/>
  <c r="D68" i="8"/>
  <c r="E68" i="8" s="1"/>
  <c r="G68" i="8" s="1"/>
  <c r="H68" i="8" s="1"/>
  <c r="D64" i="8"/>
  <c r="E64" i="8" s="1"/>
  <c r="G64" i="8" s="1"/>
  <c r="H64" i="8" s="1"/>
  <c r="D65" i="8"/>
  <c r="E65" i="8" s="1"/>
  <c r="G65" i="8" s="1"/>
  <c r="H65" i="8" s="1"/>
  <c r="D67" i="8"/>
  <c r="E67" i="8" s="1"/>
  <c r="G67" i="8" s="1"/>
  <c r="H67" i="8" s="1"/>
  <c r="D66" i="8"/>
  <c r="E66" i="8" s="1"/>
  <c r="G66" i="8" s="1"/>
  <c r="H66" i="8" s="1"/>
  <c r="G223" i="8"/>
  <c r="E223" i="8"/>
  <c r="F223" i="8" s="1"/>
  <c r="I261" i="8"/>
  <c r="AA261" i="8" s="1"/>
  <c r="AA17" i="11"/>
  <c r="S33" i="3"/>
  <c r="R24" i="3"/>
  <c r="S5" i="23"/>
  <c r="R5" i="23"/>
  <c r="Q5" i="23"/>
  <c r="T5" i="23"/>
  <c r="O5" i="23"/>
  <c r="U5" i="23"/>
  <c r="B76" i="8"/>
  <c r="Z20" i="3"/>
  <c r="W20" i="3"/>
  <c r="Y20" i="3" s="1"/>
  <c r="AB20" i="3" s="1"/>
  <c r="AC30" i="6"/>
  <c r="H46" i="8"/>
  <c r="K46" i="8"/>
  <c r="S21" i="3"/>
  <c r="F23" i="6"/>
  <c r="AE13" i="3"/>
  <c r="AL13" i="3"/>
  <c r="AB13" i="3"/>
  <c r="AE15" i="3"/>
  <c r="AL15" i="3"/>
  <c r="F25" i="6"/>
  <c r="AB15" i="3"/>
  <c r="H82" i="18"/>
  <c r="S13" i="3"/>
  <c r="AA29" i="3"/>
  <c r="F17" i="6"/>
  <c r="AL7" i="3"/>
  <c r="AB7" i="3"/>
  <c r="AE7" i="3"/>
  <c r="P35" i="11"/>
  <c r="P34" i="11"/>
  <c r="P36" i="11"/>
  <c r="P37" i="11"/>
  <c r="P32" i="11"/>
  <c r="P31" i="11"/>
  <c r="P33" i="11"/>
  <c r="P38" i="11"/>
  <c r="P39" i="11"/>
  <c r="B311" i="8"/>
  <c r="B304" i="8"/>
  <c r="J147" i="8"/>
  <c r="B309" i="8"/>
  <c r="B307" i="8"/>
  <c r="J150" i="8"/>
  <c r="I55" i="8"/>
  <c r="J55" i="8" s="1"/>
  <c r="B305" i="8"/>
  <c r="J144" i="8"/>
  <c r="E84" i="8"/>
  <c r="F84" i="8" s="1"/>
  <c r="I56" i="8"/>
  <c r="J56" i="8" s="1"/>
  <c r="B312" i="8"/>
  <c r="B308" i="8"/>
  <c r="J148" i="8"/>
  <c r="K107" i="8"/>
  <c r="E88" i="8"/>
  <c r="F88" i="8" s="1"/>
  <c r="E86" i="8"/>
  <c r="F86" i="8" s="1"/>
  <c r="I53" i="8"/>
  <c r="J53" i="8" s="1"/>
  <c r="I7" i="8"/>
  <c r="J146" i="8"/>
  <c r="B310" i="8"/>
  <c r="B306" i="8"/>
  <c r="J149" i="8"/>
  <c r="E89" i="8"/>
  <c r="F89" i="8" s="1"/>
  <c r="I54" i="8"/>
  <c r="J54" i="8" s="1"/>
  <c r="E85" i="8"/>
  <c r="F85" i="8" s="1"/>
  <c r="J151" i="8"/>
  <c r="E87" i="8"/>
  <c r="F87" i="8" s="1"/>
  <c r="J145" i="8"/>
  <c r="I57" i="8"/>
  <c r="J57" i="8" s="1"/>
  <c r="F16" i="8"/>
  <c r="D77" i="8"/>
  <c r="H81" i="18"/>
  <c r="K37" i="11"/>
  <c r="H37" i="11"/>
  <c r="I37" i="11"/>
  <c r="V36" i="11"/>
  <c r="X36" i="11" s="1"/>
  <c r="C74" i="8"/>
  <c r="H86" i="18"/>
  <c r="R30" i="3"/>
  <c r="G75" i="8"/>
  <c r="R22" i="3"/>
  <c r="G159" i="8"/>
  <c r="G157" i="8"/>
  <c r="G160" i="8"/>
  <c r="AB6" i="8"/>
  <c r="AB8" i="8" s="1"/>
  <c r="G158" i="8"/>
  <c r="B19" i="10"/>
  <c r="B20" i="10" s="1"/>
  <c r="AB23" i="8"/>
  <c r="F75" i="8"/>
  <c r="AA18" i="11"/>
  <c r="AA28" i="3"/>
  <c r="T7" i="23"/>
  <c r="U7" i="23" s="1"/>
  <c r="S7" i="23"/>
  <c r="R7" i="23"/>
  <c r="Q7" i="23"/>
  <c r="O7" i="23"/>
  <c r="I39" i="11"/>
  <c r="K39" i="11"/>
  <c r="H39" i="11"/>
  <c r="D74" i="8"/>
  <c r="V34" i="11"/>
  <c r="X34" i="11" s="1"/>
  <c r="H34" i="11"/>
  <c r="K34" i="11"/>
  <c r="I34" i="11"/>
  <c r="AA18" i="3"/>
  <c r="AA32" i="3"/>
  <c r="R23" i="3"/>
  <c r="E38" i="11"/>
  <c r="G38" i="11" s="1"/>
  <c r="AA31" i="3"/>
  <c r="S15" i="3"/>
  <c r="R29" i="3"/>
  <c r="F27" i="6"/>
  <c r="AE17" i="3"/>
  <c r="AB17" i="3"/>
  <c r="AL17" i="3"/>
  <c r="H91" i="18"/>
  <c r="B77" i="8"/>
  <c r="C75" i="8"/>
  <c r="AA11" i="3"/>
  <c r="K55" i="8"/>
  <c r="G78" i="8"/>
  <c r="B74" i="8"/>
  <c r="K56" i="8"/>
  <c r="AA15" i="11"/>
  <c r="AE16" i="11"/>
  <c r="AA14" i="11"/>
  <c r="AA26" i="3"/>
  <c r="F74" i="8"/>
  <c r="T10" i="23"/>
  <c r="S10" i="23"/>
  <c r="R10" i="23"/>
  <c r="U10" i="23"/>
  <c r="O10" i="23"/>
  <c r="W23" i="3"/>
  <c r="Y23" i="3" s="1"/>
  <c r="Z23" i="3"/>
  <c r="AC33" i="6"/>
  <c r="E36" i="11"/>
  <c r="G36" i="11" s="1"/>
  <c r="D277" i="8" l="1"/>
  <c r="E277" i="8" s="1"/>
  <c r="B287" i="8"/>
  <c r="G85" i="8"/>
  <c r="AB17" i="8"/>
  <c r="AB24" i="8"/>
  <c r="K96" i="8" s="1"/>
  <c r="K100" i="8" s="1"/>
  <c r="F22" i="8"/>
  <c r="D281" i="8"/>
  <c r="E281" i="8" s="1"/>
  <c r="G86" i="8"/>
  <c r="G87" i="8"/>
  <c r="G88" i="8"/>
  <c r="D280" i="8"/>
  <c r="E280" i="8" s="1"/>
  <c r="F14" i="8"/>
  <c r="K99" i="8"/>
  <c r="G84" i="8"/>
  <c r="G30" i="6"/>
  <c r="AC20" i="3"/>
  <c r="AN20" i="3"/>
  <c r="AF20" i="3"/>
  <c r="G22" i="6"/>
  <c r="AC12" i="3"/>
  <c r="AN12" i="3"/>
  <c r="AF12" i="3"/>
  <c r="F32" i="6"/>
  <c r="AE22" i="3"/>
  <c r="AL22" i="3"/>
  <c r="AB22" i="3"/>
  <c r="S22" i="3"/>
  <c r="AC15" i="11"/>
  <c r="AD15" i="11" s="1"/>
  <c r="AE15" i="11"/>
  <c r="AB15" i="11"/>
  <c r="C45" i="10"/>
  <c r="E45" i="10" s="1"/>
  <c r="C48" i="10"/>
  <c r="E48" i="10" s="1"/>
  <c r="C44" i="10"/>
  <c r="E44" i="10" s="1"/>
  <c r="C46" i="10"/>
  <c r="E46" i="10" s="1"/>
  <c r="C43" i="10"/>
  <c r="E43" i="10" s="1"/>
  <c r="C47" i="10"/>
  <c r="E47" i="10" s="1"/>
  <c r="B21" i="10"/>
  <c r="B22" i="10" s="1"/>
  <c r="I38" i="11"/>
  <c r="H38" i="11"/>
  <c r="K38" i="11"/>
  <c r="O37" i="11"/>
  <c r="Q37" i="11" s="1"/>
  <c r="S37" i="11" s="1"/>
  <c r="M37" i="11"/>
  <c r="AG25" i="6"/>
  <c r="AP15" i="3"/>
  <c r="AM15" i="3"/>
  <c r="AG23" i="6"/>
  <c r="AP13" i="3"/>
  <c r="AM13" i="3"/>
  <c r="F16" i="6"/>
  <c r="AE6" i="3"/>
  <c r="AL6" i="3"/>
  <c r="AB6" i="3"/>
  <c r="S6" i="3"/>
  <c r="M256" i="8"/>
  <c r="F20" i="6"/>
  <c r="AE10" i="3"/>
  <c r="AL10" i="3"/>
  <c r="AB10" i="3"/>
  <c r="S10" i="3"/>
  <c r="K33" i="11"/>
  <c r="I33" i="11"/>
  <c r="V33" i="11"/>
  <c r="X33" i="11" s="1"/>
  <c r="H33" i="11"/>
  <c r="F15" i="8"/>
  <c r="E287" i="8"/>
  <c r="AV23" i="8"/>
  <c r="B288" i="8"/>
  <c r="M31" i="11"/>
  <c r="N31" i="11" s="1"/>
  <c r="O31" i="11" s="1"/>
  <c r="Q31" i="11" s="1"/>
  <c r="AG43" i="6"/>
  <c r="AP33" i="3"/>
  <c r="AM33" i="3"/>
  <c r="G38" i="6"/>
  <c r="H38" i="6" s="1"/>
  <c r="AC28" i="3"/>
  <c r="AN28" i="3"/>
  <c r="AF28" i="3"/>
  <c r="H32" i="11"/>
  <c r="I32" i="11"/>
  <c r="K32" i="11"/>
  <c r="G44" i="6"/>
  <c r="H44" i="6" s="1"/>
  <c r="AF34" i="3"/>
  <c r="AN34" i="3"/>
  <c r="AC34" i="3"/>
  <c r="H36" i="11"/>
  <c r="I36" i="11"/>
  <c r="K36" i="11"/>
  <c r="Q10" i="23"/>
  <c r="V10" i="23" s="1"/>
  <c r="F39" i="6"/>
  <c r="AE29" i="3"/>
  <c r="AL29" i="3"/>
  <c r="AB29" i="3"/>
  <c r="S29" i="3"/>
  <c r="F33" i="6"/>
  <c r="AE23" i="3"/>
  <c r="AL23" i="3"/>
  <c r="AB23" i="3"/>
  <c r="S23" i="3"/>
  <c r="C268" i="8"/>
  <c r="B135" i="8"/>
  <c r="C270" i="8"/>
  <c r="C269" i="8"/>
  <c r="C271" i="8"/>
  <c r="C267" i="8"/>
  <c r="F9" i="8"/>
  <c r="B137" i="8"/>
  <c r="B136" i="8"/>
  <c r="B138" i="8"/>
  <c r="N37" i="11"/>
  <c r="AN7" i="3"/>
  <c r="AF7" i="3"/>
  <c r="G17" i="6"/>
  <c r="AC7" i="3"/>
  <c r="I66" i="8"/>
  <c r="AP5" i="8"/>
  <c r="H85" i="18"/>
  <c r="G42" i="6"/>
  <c r="AN32" i="3"/>
  <c r="AF32" i="3"/>
  <c r="AC32" i="3"/>
  <c r="G18" i="6"/>
  <c r="AF8" i="3"/>
  <c r="AC8" i="3"/>
  <c r="AN8" i="3"/>
  <c r="AN31" i="3"/>
  <c r="AF31" i="3"/>
  <c r="G41" i="6"/>
  <c r="AC31" i="3"/>
  <c r="G43" i="6"/>
  <c r="AN33" i="3"/>
  <c r="AF33" i="3"/>
  <c r="AC33" i="3"/>
  <c r="AG38" i="6"/>
  <c r="AP28" i="3"/>
  <c r="AM28" i="3"/>
  <c r="H30" i="6"/>
  <c r="AG44" i="6"/>
  <c r="AP34" i="3"/>
  <c r="AM34" i="3"/>
  <c r="B70" i="6"/>
  <c r="B34" i="2"/>
  <c r="F24" i="6"/>
  <c r="AE14" i="3"/>
  <c r="AL14" i="3"/>
  <c r="AB14" i="3"/>
  <c r="S14" i="3"/>
  <c r="AG42" i="6"/>
  <c r="AP32" i="3"/>
  <c r="AM32" i="3"/>
  <c r="F35" i="6"/>
  <c r="AL25" i="3"/>
  <c r="AB25" i="3"/>
  <c r="AE25" i="3"/>
  <c r="S25" i="3"/>
  <c r="AG18" i="6"/>
  <c r="AP8" i="3"/>
  <c r="AM8" i="3"/>
  <c r="K35" i="11"/>
  <c r="H35" i="11"/>
  <c r="V35" i="11"/>
  <c r="X35" i="11" s="1"/>
  <c r="I35" i="11"/>
  <c r="AG21" i="6"/>
  <c r="AP11" i="3"/>
  <c r="AM11" i="3"/>
  <c r="AA23" i="3"/>
  <c r="AG41" i="6"/>
  <c r="AP31" i="3"/>
  <c r="AM31" i="3"/>
  <c r="F19" i="6"/>
  <c r="AL9" i="3"/>
  <c r="AE9" i="3"/>
  <c r="AB9" i="3"/>
  <c r="S9" i="3"/>
  <c r="AP18" i="3"/>
  <c r="AG28" i="6"/>
  <c r="AM18" i="3"/>
  <c r="AG30" i="6"/>
  <c r="AP20" i="3"/>
  <c r="AM20" i="3"/>
  <c r="F34" i="6"/>
  <c r="AE24" i="3"/>
  <c r="AB24" i="3"/>
  <c r="AL24" i="3"/>
  <c r="S24" i="3"/>
  <c r="AP6" i="8"/>
  <c r="I67" i="8"/>
  <c r="AG17" i="6"/>
  <c r="AP7" i="3"/>
  <c r="AM7" i="3"/>
  <c r="I65" i="8"/>
  <c r="AP4" i="8"/>
  <c r="B42" i="18"/>
  <c r="H55" i="18"/>
  <c r="H59" i="18"/>
  <c r="H62" i="18" s="1"/>
  <c r="H58" i="18"/>
  <c r="F45" i="18"/>
  <c r="V11" i="23"/>
  <c r="F15" i="6"/>
  <c r="AE5" i="3"/>
  <c r="AL5" i="3"/>
  <c r="AB5" i="3"/>
  <c r="S5" i="3"/>
  <c r="V6" i="23"/>
  <c r="H18" i="6"/>
  <c r="AA12" i="3"/>
  <c r="AC21" i="3"/>
  <c r="G31" i="6"/>
  <c r="H31" i="6" s="1"/>
  <c r="AF21" i="3"/>
  <c r="AN21" i="3"/>
  <c r="H43" i="6"/>
  <c r="G28" i="6"/>
  <c r="H28" i="6" s="1"/>
  <c r="AF18" i="3"/>
  <c r="AC18" i="3"/>
  <c r="AN18" i="3"/>
  <c r="H22" i="6"/>
  <c r="AE30" i="3"/>
  <c r="AL30" i="3"/>
  <c r="AB30" i="3"/>
  <c r="F40" i="6"/>
  <c r="S30" i="3"/>
  <c r="N39" i="11"/>
  <c r="AB9" i="8"/>
  <c r="AB11" i="8" s="1"/>
  <c r="H159" i="8" s="1"/>
  <c r="I159" i="8" s="1"/>
  <c r="K42" i="8"/>
  <c r="H17" i="6"/>
  <c r="Q11" i="23"/>
  <c r="AG31" i="6"/>
  <c r="AP21" i="3"/>
  <c r="AM21" i="3"/>
  <c r="AG36" i="6"/>
  <c r="AP26" i="3"/>
  <c r="AM26" i="3"/>
  <c r="AG29" i="6"/>
  <c r="AP19" i="3"/>
  <c r="AM19" i="3"/>
  <c r="AC14" i="11"/>
  <c r="AD14" i="11" s="1"/>
  <c r="AE14" i="11"/>
  <c r="AB14" i="11"/>
  <c r="AB27" i="3"/>
  <c r="AE27" i="3"/>
  <c r="F37" i="6"/>
  <c r="AL27" i="3"/>
  <c r="S27" i="3"/>
  <c r="AP17" i="3"/>
  <c r="AG27" i="6"/>
  <c r="AM17" i="3"/>
  <c r="G27" i="6"/>
  <c r="H27" i="6" s="1"/>
  <c r="AF17" i="3"/>
  <c r="AN17" i="3"/>
  <c r="AC17" i="3"/>
  <c r="AC17" i="11"/>
  <c r="AD17" i="11" s="1"/>
  <c r="AB17" i="11"/>
  <c r="AE17" i="11"/>
  <c r="I64" i="8"/>
  <c r="AP3" i="8"/>
  <c r="H83" i="18"/>
  <c r="AC18" i="11"/>
  <c r="AD18" i="11" s="1"/>
  <c r="AE18" i="11"/>
  <c r="AB18" i="11"/>
  <c r="AN15" i="3"/>
  <c r="AF15" i="3"/>
  <c r="G25" i="6"/>
  <c r="H25" i="6" s="1"/>
  <c r="AC15" i="3"/>
  <c r="V5" i="23"/>
  <c r="H42" i="6"/>
  <c r="F26" i="6"/>
  <c r="AB16" i="3"/>
  <c r="AL16" i="3"/>
  <c r="AE16" i="3"/>
  <c r="S16" i="3"/>
  <c r="AN11" i="3"/>
  <c r="G21" i="6"/>
  <c r="H21" i="6" s="1"/>
  <c r="AC11" i="3"/>
  <c r="AF11" i="3"/>
  <c r="H41" i="6"/>
  <c r="AP12" i="3"/>
  <c r="AG22" i="6"/>
  <c r="AM12" i="3"/>
  <c r="AA20" i="3"/>
  <c r="O39" i="11"/>
  <c r="Q39" i="11" s="1"/>
  <c r="S39" i="11" s="1"/>
  <c r="R39" i="11"/>
  <c r="M39" i="11"/>
  <c r="AP7" i="8"/>
  <c r="I68" i="8"/>
  <c r="H88" i="18"/>
  <c r="D279" i="8"/>
  <c r="E279" i="8" s="1"/>
  <c r="K98" i="8"/>
  <c r="G36" i="6"/>
  <c r="H36" i="6" s="1"/>
  <c r="AF26" i="3"/>
  <c r="AN26" i="3"/>
  <c r="AC26" i="3"/>
  <c r="G29" i="6"/>
  <c r="H29" i="6" s="1"/>
  <c r="AC19" i="3"/>
  <c r="AN19" i="3"/>
  <c r="AF19" i="3"/>
  <c r="M34" i="11"/>
  <c r="N34" i="11" s="1"/>
  <c r="O34" i="11" s="1"/>
  <c r="Q34" i="11" s="1"/>
  <c r="V7" i="23"/>
  <c r="K43" i="8"/>
  <c r="G23" i="6"/>
  <c r="H23" i="6" s="1"/>
  <c r="AC13" i="3"/>
  <c r="AF13" i="3"/>
  <c r="AN13" i="3"/>
  <c r="V8" i="23"/>
  <c r="V9" i="23"/>
  <c r="AB25" i="8" l="1"/>
  <c r="K97" i="8" s="1"/>
  <c r="L67" i="8"/>
  <c r="J27" i="6"/>
  <c r="I27" i="6"/>
  <c r="S34" i="11"/>
  <c r="R34" i="11"/>
  <c r="J31" i="6"/>
  <c r="I31" i="6"/>
  <c r="J23" i="6"/>
  <c r="I23" i="6"/>
  <c r="J29" i="6"/>
  <c r="I29" i="6"/>
  <c r="J28" i="6"/>
  <c r="I28" i="6"/>
  <c r="J44" i="6"/>
  <c r="I44" i="6"/>
  <c r="J38" i="6"/>
  <c r="I38" i="6"/>
  <c r="J36" i="6"/>
  <c r="I36" i="6"/>
  <c r="J21" i="6"/>
  <c r="I21" i="6"/>
  <c r="J25" i="6"/>
  <c r="I25" i="6"/>
  <c r="S31" i="11"/>
  <c r="R31" i="11"/>
  <c r="G97" i="8"/>
  <c r="H97" i="8" s="1"/>
  <c r="AY5" i="8" s="1"/>
  <c r="H157" i="8"/>
  <c r="I157" i="8" s="1"/>
  <c r="H158" i="8"/>
  <c r="I158" i="8" s="1"/>
  <c r="AG34" i="6"/>
  <c r="AP24" i="3"/>
  <c r="AM24" i="3"/>
  <c r="AI30" i="6"/>
  <c r="AM30" i="6" s="1"/>
  <c r="G19" i="6"/>
  <c r="AF9" i="3"/>
  <c r="AC9" i="3"/>
  <c r="AN9" i="3"/>
  <c r="AH41" i="6"/>
  <c r="AL41" i="6" s="1"/>
  <c r="AO31" i="3"/>
  <c r="AH17" i="6"/>
  <c r="AO7" i="3"/>
  <c r="B289" i="8"/>
  <c r="E288" i="8"/>
  <c r="AV24" i="8"/>
  <c r="AG20" i="6"/>
  <c r="AP10" i="3"/>
  <c r="AM10" i="3"/>
  <c r="AI23" i="6"/>
  <c r="AM23" i="6" s="1"/>
  <c r="D62" i="6"/>
  <c r="D58" i="6"/>
  <c r="D61" i="6"/>
  <c r="J41" i="6"/>
  <c r="I41" i="6"/>
  <c r="AI29" i="6"/>
  <c r="AM29" i="6" s="1"/>
  <c r="AI44" i="6"/>
  <c r="AM44" i="6" s="1"/>
  <c r="G99" i="8"/>
  <c r="H99" i="8" s="1"/>
  <c r="AY7" i="8" s="1"/>
  <c r="AH29" i="6"/>
  <c r="AO19" i="3"/>
  <c r="H160" i="8"/>
  <c r="I160" i="8" s="1"/>
  <c r="AP16" i="3"/>
  <c r="AG26" i="6"/>
  <c r="AM16" i="3"/>
  <c r="AH27" i="6"/>
  <c r="AL27" i="6" s="1"/>
  <c r="AO17" i="3"/>
  <c r="J17" i="6"/>
  <c r="I17" i="6"/>
  <c r="D25" i="18"/>
  <c r="B43" i="18"/>
  <c r="B45" i="18" s="1"/>
  <c r="B44" i="18"/>
  <c r="M30" i="18"/>
  <c r="AI17" i="6"/>
  <c r="AM17" i="6" s="1"/>
  <c r="G34" i="6"/>
  <c r="AN24" i="3"/>
  <c r="AF24" i="3"/>
  <c r="AC24" i="3"/>
  <c r="AI41" i="6"/>
  <c r="AM41" i="6" s="1"/>
  <c r="M35" i="11"/>
  <c r="AI42" i="6"/>
  <c r="AM42" i="6" s="1"/>
  <c r="AG24" i="6"/>
  <c r="AP14" i="3"/>
  <c r="AM14" i="3"/>
  <c r="AL44" i="6"/>
  <c r="H33" i="6"/>
  <c r="AH44" i="6"/>
  <c r="AO34" i="3"/>
  <c r="AH38" i="6"/>
  <c r="AO28" i="3"/>
  <c r="AN6" i="3"/>
  <c r="AF6" i="3"/>
  <c r="G16" i="6"/>
  <c r="AC6" i="3"/>
  <c r="AL23" i="6"/>
  <c r="R37" i="11"/>
  <c r="J42" i="6"/>
  <c r="I42" i="6"/>
  <c r="AI31" i="6"/>
  <c r="AM31" i="6" s="1"/>
  <c r="AH23" i="6"/>
  <c r="AO13" i="3"/>
  <c r="AI22" i="6"/>
  <c r="AM22" i="6" s="1"/>
  <c r="AN16" i="3"/>
  <c r="AF16" i="3"/>
  <c r="AC16" i="3"/>
  <c r="G26" i="6"/>
  <c r="AG37" i="6"/>
  <c r="AP27" i="3"/>
  <c r="AM27" i="3"/>
  <c r="AI36" i="6"/>
  <c r="AM36" i="6" s="1"/>
  <c r="AL17" i="6"/>
  <c r="AG19" i="6"/>
  <c r="AP9" i="3"/>
  <c r="AM9" i="3"/>
  <c r="AG16" i="6"/>
  <c r="AP6" i="3"/>
  <c r="AM6" i="3"/>
  <c r="J30" i="6"/>
  <c r="I30" i="6"/>
  <c r="AH43" i="6"/>
  <c r="AO33" i="3"/>
  <c r="G32" i="6"/>
  <c r="AN22" i="3"/>
  <c r="AF22" i="3"/>
  <c r="AC22" i="3"/>
  <c r="B25" i="10"/>
  <c r="C311" i="8"/>
  <c r="C307" i="8"/>
  <c r="C293" i="8"/>
  <c r="D271" i="8"/>
  <c r="H271" i="8" s="1"/>
  <c r="D270" i="8"/>
  <c r="H270" i="8" s="1"/>
  <c r="D269" i="8"/>
  <c r="H269" i="8" s="1"/>
  <c r="D268" i="8"/>
  <c r="H268" i="8" s="1"/>
  <c r="D267" i="8"/>
  <c r="H267" i="8" s="1"/>
  <c r="D249" i="8"/>
  <c r="G249" i="8" s="1"/>
  <c r="C309" i="8"/>
  <c r="D250" i="8"/>
  <c r="G250" i="8" s="1"/>
  <c r="E248" i="8"/>
  <c r="G235" i="8"/>
  <c r="I235" i="8" s="1"/>
  <c r="B127" i="8"/>
  <c r="H107" i="8"/>
  <c r="C305" i="8"/>
  <c r="C297" i="8"/>
  <c r="E250" i="8"/>
  <c r="D248" i="8"/>
  <c r="G248" i="8" s="1"/>
  <c r="C135" i="8"/>
  <c r="D108" i="8"/>
  <c r="E108" i="8" s="1"/>
  <c r="AY29" i="8" s="1"/>
  <c r="AV8" i="8"/>
  <c r="C288" i="8"/>
  <c r="D288" i="8" s="1"/>
  <c r="C287" i="8"/>
  <c r="D287" i="8" s="1"/>
  <c r="F287" i="8" s="1"/>
  <c r="C250" i="8"/>
  <c r="C248" i="8"/>
  <c r="C136" i="8"/>
  <c r="G126" i="8"/>
  <c r="D109" i="8"/>
  <c r="E109" i="8" s="1"/>
  <c r="AY30" i="8" s="1"/>
  <c r="C298" i="8"/>
  <c r="C294" i="8"/>
  <c r="C312" i="8"/>
  <c r="C310" i="8"/>
  <c r="C308" i="8"/>
  <c r="C306" i="8"/>
  <c r="C304" i="8"/>
  <c r="C295" i="8"/>
  <c r="C290" i="8"/>
  <c r="E249" i="8"/>
  <c r="E247" i="8"/>
  <c r="C291" i="8"/>
  <c r="C289" i="8"/>
  <c r="B125" i="8"/>
  <c r="H109" i="8"/>
  <c r="C296" i="8"/>
  <c r="D247" i="8"/>
  <c r="G247" i="8" s="1"/>
  <c r="C137" i="8"/>
  <c r="B129" i="8"/>
  <c r="G109" i="8"/>
  <c r="AB20" i="8"/>
  <c r="AB21" i="8" s="1"/>
  <c r="AV4" i="8"/>
  <c r="C247" i="8"/>
  <c r="G233" i="8"/>
  <c r="I233" i="8" s="1"/>
  <c r="G128" i="8"/>
  <c r="F109" i="8"/>
  <c r="G107" i="8"/>
  <c r="F107" i="8"/>
  <c r="M57" i="8"/>
  <c r="C249" i="8"/>
  <c r="G236" i="8"/>
  <c r="I236" i="8" s="1"/>
  <c r="C138" i="8"/>
  <c r="F10" i="8"/>
  <c r="AV7" i="8"/>
  <c r="D107" i="8"/>
  <c r="E107" i="8" s="1"/>
  <c r="AY28" i="8" s="1"/>
  <c r="AV3" i="8"/>
  <c r="G240" i="8"/>
  <c r="I240" i="8" s="1"/>
  <c r="K137" i="8"/>
  <c r="AV9" i="8"/>
  <c r="AV5" i="8"/>
  <c r="G129" i="8"/>
  <c r="B126" i="8"/>
  <c r="G125" i="8"/>
  <c r="AV6" i="8"/>
  <c r="C292" i="8"/>
  <c r="B128" i="8"/>
  <c r="G127" i="8"/>
  <c r="F108" i="8"/>
  <c r="H108" i="8"/>
  <c r="G108" i="8"/>
  <c r="I8" i="8"/>
  <c r="G239" i="8"/>
  <c r="I239" i="8" s="1"/>
  <c r="G237" i="8"/>
  <c r="I237" i="8" s="1"/>
  <c r="G241" i="8"/>
  <c r="I241" i="8" s="1"/>
  <c r="G238" i="8"/>
  <c r="I238" i="8" s="1"/>
  <c r="G232" i="8"/>
  <c r="I232" i="8" s="1"/>
  <c r="G234" i="8"/>
  <c r="I234" i="8" s="1"/>
  <c r="AB12" i="8"/>
  <c r="H224" i="8"/>
  <c r="AB18" i="8"/>
  <c r="H221" i="8"/>
  <c r="G95" i="8"/>
  <c r="H95" i="8" s="1"/>
  <c r="AY3" i="8" s="1"/>
  <c r="H223" i="8"/>
  <c r="H226" i="8"/>
  <c r="G101" i="8"/>
  <c r="H101" i="8" s="1"/>
  <c r="AY9" i="8" s="1"/>
  <c r="H225" i="8"/>
  <c r="H222" i="8"/>
  <c r="H24" i="6"/>
  <c r="AH25" i="6"/>
  <c r="AO15" i="3"/>
  <c r="M33" i="11"/>
  <c r="AI25" i="6"/>
  <c r="AM25" i="6" s="1"/>
  <c r="AG32" i="6"/>
  <c r="AP22" i="3"/>
  <c r="AM22" i="3"/>
  <c r="AH22" i="6"/>
  <c r="AL22" i="6" s="1"/>
  <c r="AO12" i="3"/>
  <c r="AH30" i="6"/>
  <c r="AL30" i="6" s="1"/>
  <c r="AO20" i="3"/>
  <c r="AH21" i="6"/>
  <c r="AO11" i="3"/>
  <c r="H26" i="6"/>
  <c r="H37" i="6"/>
  <c r="J22" i="6"/>
  <c r="I22" i="6"/>
  <c r="J18" i="6"/>
  <c r="I18" i="6"/>
  <c r="H34" i="6"/>
  <c r="AN25" i="3"/>
  <c r="AF25" i="3"/>
  <c r="G35" i="6"/>
  <c r="AC25" i="3"/>
  <c r="AH42" i="6"/>
  <c r="AL42" i="6" s="1"/>
  <c r="AO32" i="3"/>
  <c r="G39" i="6"/>
  <c r="AC29" i="3"/>
  <c r="AF29" i="3"/>
  <c r="AN29" i="3"/>
  <c r="M36" i="11"/>
  <c r="N36" i="11" s="1"/>
  <c r="O36" i="11" s="1"/>
  <c r="Q36" i="11" s="1"/>
  <c r="G37" i="6"/>
  <c r="AC27" i="3"/>
  <c r="AN27" i="3"/>
  <c r="AF27" i="3"/>
  <c r="H40" i="6"/>
  <c r="AH31" i="6"/>
  <c r="AO21" i="3"/>
  <c r="AI28" i="6"/>
  <c r="AM28" i="6" s="1"/>
  <c r="D10" i="6"/>
  <c r="B35" i="2"/>
  <c r="AI38" i="6"/>
  <c r="AM38" i="6" s="1"/>
  <c r="AH18" i="6"/>
  <c r="AL18" i="6" s="1"/>
  <c r="AO8" i="3"/>
  <c r="AN23" i="3"/>
  <c r="AF23" i="3"/>
  <c r="AC23" i="3"/>
  <c r="G33" i="6"/>
  <c r="AG39" i="6"/>
  <c r="AP29" i="3"/>
  <c r="AM29" i="3"/>
  <c r="N33" i="11"/>
  <c r="O33" i="11" s="1"/>
  <c r="Q33" i="11" s="1"/>
  <c r="G100" i="8"/>
  <c r="H100" i="8" s="1"/>
  <c r="AY8" i="8" s="1"/>
  <c r="H16" i="6"/>
  <c r="AL25" i="6"/>
  <c r="AI21" i="6"/>
  <c r="AM21" i="6" s="1"/>
  <c r="AI18" i="6"/>
  <c r="AM18" i="6" s="1"/>
  <c r="H35" i="6"/>
  <c r="AL38" i="6"/>
  <c r="AG33" i="6"/>
  <c r="AP23" i="3"/>
  <c r="AM23" i="3"/>
  <c r="M32" i="11"/>
  <c r="N32" i="11" s="1"/>
  <c r="O32" i="11" s="1"/>
  <c r="Q32" i="11" s="1"/>
  <c r="AI43" i="6"/>
  <c r="AM43" i="6" s="1"/>
  <c r="M38" i="11"/>
  <c r="N38" i="11" s="1"/>
  <c r="O38" i="11" s="1"/>
  <c r="Q38" i="11" s="1"/>
  <c r="H32" i="6"/>
  <c r="J43" i="6"/>
  <c r="I43" i="6"/>
  <c r="H19" i="6"/>
  <c r="N35" i="11"/>
  <c r="O35" i="11" s="1"/>
  <c r="Q35" i="11" s="1"/>
  <c r="AP25" i="3"/>
  <c r="AG35" i="6"/>
  <c r="AM25" i="3"/>
  <c r="G40" i="6"/>
  <c r="AN30" i="3"/>
  <c r="AF30" i="3"/>
  <c r="AC30" i="3"/>
  <c r="G15" i="6"/>
  <c r="H15" i="6" s="1"/>
  <c r="AF5" i="3"/>
  <c r="AC5" i="3"/>
  <c r="AN5" i="3"/>
  <c r="AH36" i="6"/>
  <c r="AL36" i="6" s="1"/>
  <c r="AO26" i="3"/>
  <c r="AI27" i="6"/>
  <c r="AM27" i="6" s="1"/>
  <c r="AL29" i="6"/>
  <c r="AL31" i="6"/>
  <c r="G96" i="8"/>
  <c r="H96" i="8" s="1"/>
  <c r="AY4" i="8" s="1"/>
  <c r="AG40" i="6"/>
  <c r="AP30" i="3"/>
  <c r="AM30" i="3"/>
  <c r="AH28" i="6"/>
  <c r="AL28" i="6" s="1"/>
  <c r="AO18" i="3"/>
  <c r="AG15" i="6"/>
  <c r="AP5" i="3"/>
  <c r="AM5" i="3"/>
  <c r="AL21" i="6"/>
  <c r="G24" i="6"/>
  <c r="AN14" i="3"/>
  <c r="AF14" i="3"/>
  <c r="AC14" i="3"/>
  <c r="H39" i="6"/>
  <c r="AL43" i="6"/>
  <c r="G98" i="8"/>
  <c r="H98" i="8" s="1"/>
  <c r="AY6" i="8" s="1"/>
  <c r="G20" i="6"/>
  <c r="H20" i="6" s="1"/>
  <c r="AF10" i="3"/>
  <c r="AN10" i="3"/>
  <c r="AC10" i="3"/>
  <c r="M257" i="8"/>
  <c r="M260" i="8" s="1"/>
  <c r="M258" i="8"/>
  <c r="M259" i="8" s="1"/>
  <c r="B23" i="10"/>
  <c r="B27" i="10"/>
  <c r="F26" i="8" s="1"/>
  <c r="F288" i="8" l="1"/>
  <c r="BA288" i="8" s="1"/>
  <c r="B47" i="18"/>
  <c r="B46" i="18"/>
  <c r="B48" i="18" s="1"/>
  <c r="S32" i="11"/>
  <c r="R32" i="11"/>
  <c r="J20" i="6"/>
  <c r="I20" i="6"/>
  <c r="S36" i="11"/>
  <c r="R36" i="11"/>
  <c r="J15" i="6"/>
  <c r="I15" i="6"/>
  <c r="S33" i="11"/>
  <c r="R33" i="11"/>
  <c r="S35" i="11"/>
  <c r="R35" i="11"/>
  <c r="S38" i="11"/>
  <c r="R38" i="11"/>
  <c r="AI39" i="6"/>
  <c r="AM39" i="6" s="1"/>
  <c r="AT14" i="8"/>
  <c r="C126" i="8"/>
  <c r="E137" i="8"/>
  <c r="D137" i="8"/>
  <c r="F137" i="8"/>
  <c r="H137" i="8" s="1"/>
  <c r="G137" i="8"/>
  <c r="AH19" i="6"/>
  <c r="AO9" i="3"/>
  <c r="AI34" i="6"/>
  <c r="AM34" i="6" s="1"/>
  <c r="AI15" i="6"/>
  <c r="AM15" i="6" s="1"/>
  <c r="J26" i="6"/>
  <c r="I26" i="6"/>
  <c r="AI32" i="6"/>
  <c r="AM32" i="6" s="1"/>
  <c r="AI40" i="6"/>
  <c r="AM40" i="6" s="1"/>
  <c r="D8" i="6"/>
  <c r="B8" i="6"/>
  <c r="AL40" i="6"/>
  <c r="AH40" i="6"/>
  <c r="AO30" i="3"/>
  <c r="J19" i="6"/>
  <c r="I19" i="6"/>
  <c r="J32" i="6"/>
  <c r="I32" i="6"/>
  <c r="J40" i="6"/>
  <c r="Q40" i="6" s="1"/>
  <c r="I40" i="6"/>
  <c r="L232" i="8"/>
  <c r="C127" i="8"/>
  <c r="AT15" i="8"/>
  <c r="AI16" i="6"/>
  <c r="AM16" i="6" s="1"/>
  <c r="AK21" i="6"/>
  <c r="AI19" i="6"/>
  <c r="AM19" i="6" s="1"/>
  <c r="AL34" i="6"/>
  <c r="S36" i="6"/>
  <c r="S44" i="6"/>
  <c r="X44" i="6"/>
  <c r="F138" i="8"/>
  <c r="H138" i="8" s="1"/>
  <c r="E138" i="8"/>
  <c r="G138" i="8"/>
  <c r="D138" i="8"/>
  <c r="AL19" i="6"/>
  <c r="AH26" i="6"/>
  <c r="AL26" i="6" s="1"/>
  <c r="AO16" i="3"/>
  <c r="J33" i="6"/>
  <c r="I33" i="6"/>
  <c r="AH34" i="6"/>
  <c r="AO24" i="3"/>
  <c r="S41" i="6"/>
  <c r="X41" i="6"/>
  <c r="B290" i="8"/>
  <c r="E289" i="8"/>
  <c r="AV25" i="8"/>
  <c r="D289" i="8"/>
  <c r="AH15" i="6"/>
  <c r="AO5" i="3"/>
  <c r="AL15" i="6"/>
  <c r="S43" i="6"/>
  <c r="X43" i="6"/>
  <c r="J16" i="6"/>
  <c r="I16" i="6"/>
  <c r="S22" i="6"/>
  <c r="AT16" i="8"/>
  <c r="C128" i="8"/>
  <c r="E304" i="8"/>
  <c r="D304" i="8"/>
  <c r="F304" i="8"/>
  <c r="G135" i="8"/>
  <c r="F135" i="8"/>
  <c r="H135" i="8" s="1"/>
  <c r="E135" i="8"/>
  <c r="D135" i="8"/>
  <c r="X42" i="6"/>
  <c r="S42" i="6"/>
  <c r="M57" i="18"/>
  <c r="S29" i="6"/>
  <c r="X29" i="6"/>
  <c r="B74" i="18"/>
  <c r="H73" i="18" s="1"/>
  <c r="G89" i="18"/>
  <c r="I89" i="18" s="1"/>
  <c r="G84" i="18"/>
  <c r="I84" i="18" s="1"/>
  <c r="G81" i="18"/>
  <c r="I81" i="18" s="1"/>
  <c r="G82" i="18"/>
  <c r="I82" i="18" s="1"/>
  <c r="G86" i="18"/>
  <c r="I86" i="18" s="1"/>
  <c r="G87" i="18"/>
  <c r="I87" i="18" s="1"/>
  <c r="G90" i="18"/>
  <c r="I90" i="18" s="1"/>
  <c r="G91" i="18"/>
  <c r="I91" i="18" s="1"/>
  <c r="G83" i="18"/>
  <c r="I83" i="18" s="1"/>
  <c r="G85" i="18"/>
  <c r="I85" i="18" s="1"/>
  <c r="G88" i="18"/>
  <c r="I88" i="18" s="1"/>
  <c r="AH39" i="6"/>
  <c r="AL39" i="6" s="1"/>
  <c r="AO29" i="3"/>
  <c r="AH35" i="6"/>
  <c r="AO25" i="3"/>
  <c r="F24" i="8"/>
  <c r="B26" i="10"/>
  <c r="F25" i="8" s="1"/>
  <c r="AI33" i="6"/>
  <c r="AM33" i="6" s="1"/>
  <c r="AH37" i="6"/>
  <c r="AL37" i="6" s="1"/>
  <c r="AO27" i="3"/>
  <c r="J34" i="6"/>
  <c r="I34" i="6"/>
  <c r="J37" i="6"/>
  <c r="I37" i="6"/>
  <c r="AT13" i="8"/>
  <c r="C125" i="8"/>
  <c r="D306" i="8"/>
  <c r="E306" i="8"/>
  <c r="F306" i="8"/>
  <c r="D136" i="8"/>
  <c r="F136" i="8"/>
  <c r="H136" i="8" s="1"/>
  <c r="E136" i="8"/>
  <c r="G136" i="8"/>
  <c r="B24" i="10"/>
  <c r="AH32" i="6"/>
  <c r="AO22" i="3"/>
  <c r="AI37" i="6"/>
  <c r="AM37" i="6" s="1"/>
  <c r="AK24" i="6"/>
  <c r="AI24" i="6"/>
  <c r="AM24" i="6" s="1"/>
  <c r="AI20" i="6"/>
  <c r="AM20" i="6" s="1"/>
  <c r="AH16" i="6"/>
  <c r="AL16" i="6" s="1"/>
  <c r="AO6" i="3"/>
  <c r="AL20" i="6"/>
  <c r="S21" i="6"/>
  <c r="S27" i="6"/>
  <c r="X27" i="6"/>
  <c r="J24" i="6"/>
  <c r="Q29" i="6" s="1"/>
  <c r="I24" i="6"/>
  <c r="G309" i="8"/>
  <c r="G305" i="8"/>
  <c r="G310" i="8"/>
  <c r="G307" i="8"/>
  <c r="G304" i="8"/>
  <c r="G312" i="8"/>
  <c r="K109" i="8"/>
  <c r="L109" i="8" s="1"/>
  <c r="K108" i="8"/>
  <c r="L108" i="8" s="1"/>
  <c r="G308" i="8"/>
  <c r="G306" i="8"/>
  <c r="G311" i="8"/>
  <c r="AP13" i="8"/>
  <c r="AP14" i="8"/>
  <c r="AP18" i="8"/>
  <c r="AP17" i="8"/>
  <c r="AP16" i="8"/>
  <c r="AP15" i="8"/>
  <c r="AP19" i="8"/>
  <c r="AB19" i="8"/>
  <c r="F17" i="8"/>
  <c r="I12" i="8"/>
  <c r="K110" i="8"/>
  <c r="B29" i="10"/>
  <c r="F19" i="8"/>
  <c r="E308" i="8"/>
  <c r="D308" i="8"/>
  <c r="F308" i="8"/>
  <c r="D309" i="8"/>
  <c r="E309" i="8"/>
  <c r="F309" i="8"/>
  <c r="B9" i="6"/>
  <c r="AH33" i="6"/>
  <c r="AO23" i="3"/>
  <c r="AI26" i="6"/>
  <c r="AM26" i="6" s="1"/>
  <c r="S28" i="6"/>
  <c r="X28" i="6"/>
  <c r="X31" i="6"/>
  <c r="S31" i="6"/>
  <c r="AH24" i="6"/>
  <c r="AL24" i="6" s="1"/>
  <c r="AO14" i="3"/>
  <c r="AL35" i="6"/>
  <c r="AL33" i="6"/>
  <c r="J35" i="6"/>
  <c r="I35" i="6"/>
  <c r="J39" i="6"/>
  <c r="I39" i="6"/>
  <c r="AI35" i="6"/>
  <c r="AM35" i="6" s="1"/>
  <c r="S18" i="6"/>
  <c r="AL32" i="6"/>
  <c r="I10" i="8"/>
  <c r="I9" i="8"/>
  <c r="I11" i="8"/>
  <c r="E310" i="8"/>
  <c r="D310" i="8"/>
  <c r="F310" i="8"/>
  <c r="E307" i="8"/>
  <c r="D307" i="8"/>
  <c r="F307" i="8"/>
  <c r="X30" i="6"/>
  <c r="S30" i="6"/>
  <c r="AH20" i="6"/>
  <c r="AO10" i="3"/>
  <c r="Q18" i="6"/>
  <c r="F11" i="8"/>
  <c r="AT17" i="8"/>
  <c r="C129" i="8"/>
  <c r="E312" i="8"/>
  <c r="D312" i="8"/>
  <c r="F312" i="8"/>
  <c r="AZ287" i="8"/>
  <c r="BA287" i="8"/>
  <c r="G287" i="8"/>
  <c r="D305" i="8"/>
  <c r="E305" i="8"/>
  <c r="F305" i="8"/>
  <c r="D311" i="8"/>
  <c r="E311" i="8"/>
  <c r="F311" i="8"/>
  <c r="S17" i="6"/>
  <c r="S25" i="6"/>
  <c r="S38" i="6"/>
  <c r="Q28" i="6"/>
  <c r="S23" i="6"/>
  <c r="X23" i="6"/>
  <c r="AZ288" i="8" l="1"/>
  <c r="F289" i="8"/>
  <c r="AK15" i="6"/>
  <c r="AK39" i="6"/>
  <c r="E63" i="6"/>
  <c r="F63" i="6" s="1"/>
  <c r="E56" i="6"/>
  <c r="H56" i="6" s="1"/>
  <c r="E52" i="6"/>
  <c r="H52" i="6" s="1"/>
  <c r="B72" i="6"/>
  <c r="E55" i="6"/>
  <c r="H55" i="6" s="1"/>
  <c r="E57" i="6"/>
  <c r="H57" i="6" s="1"/>
  <c r="E60" i="6"/>
  <c r="H60" i="6" s="1"/>
  <c r="E53" i="6"/>
  <c r="H53" i="6" s="1"/>
  <c r="E51" i="6"/>
  <c r="H51" i="6" s="1"/>
  <c r="E54" i="6"/>
  <c r="H54" i="6" s="1"/>
  <c r="AK25" i="6"/>
  <c r="AK31" i="6"/>
  <c r="AK29" i="6"/>
  <c r="S19" i="6"/>
  <c r="X26" i="6"/>
  <c r="S26" i="6"/>
  <c r="AZ289" i="8"/>
  <c r="BA289" i="8"/>
  <c r="AK36" i="6"/>
  <c r="AK42" i="6"/>
  <c r="D126" i="8"/>
  <c r="AS14" i="8" s="1"/>
  <c r="F126" i="8"/>
  <c r="S39" i="6"/>
  <c r="S24" i="6"/>
  <c r="AK27" i="6"/>
  <c r="Q39" i="6"/>
  <c r="Q24" i="6"/>
  <c r="AK22" i="6"/>
  <c r="S20" i="6"/>
  <c r="B52" i="18"/>
  <c r="M32" i="18"/>
  <c r="M48" i="18"/>
  <c r="M49" i="18" s="1"/>
  <c r="D27" i="18"/>
  <c r="B50" i="18"/>
  <c r="B57" i="18" s="1"/>
  <c r="B60" i="18" s="1"/>
  <c r="M45" i="18"/>
  <c r="M50" i="18"/>
  <c r="S37" i="6"/>
  <c r="AK37" i="6"/>
  <c r="Q37" i="6"/>
  <c r="AK33" i="6"/>
  <c r="H63" i="6"/>
  <c r="E62" i="6"/>
  <c r="F62" i="6" s="1"/>
  <c r="E58" i="6"/>
  <c r="H62" i="6"/>
  <c r="E61" i="6"/>
  <c r="AK38" i="6"/>
  <c r="AK19" i="6"/>
  <c r="Q19" i="6"/>
  <c r="AK28" i="6"/>
  <c r="Q27" i="6"/>
  <c r="AK30" i="6"/>
  <c r="AK34" i="6"/>
  <c r="Q31" i="6"/>
  <c r="S35" i="6"/>
  <c r="X35" i="6"/>
  <c r="AK44" i="6"/>
  <c r="B28" i="10"/>
  <c r="I13" i="8"/>
  <c r="F18" i="8"/>
  <c r="F21" i="8"/>
  <c r="D5" i="6"/>
  <c r="B5" i="6"/>
  <c r="B291" i="8"/>
  <c r="E290" i="8"/>
  <c r="D290" i="8"/>
  <c r="AV26" i="8"/>
  <c r="AK16" i="6"/>
  <c r="AK40" i="6"/>
  <c r="Q26" i="6"/>
  <c r="S40" i="6"/>
  <c r="X40" i="6"/>
  <c r="D129" i="8"/>
  <c r="AS17" i="8" s="1"/>
  <c r="F129" i="8"/>
  <c r="AK43" i="6"/>
  <c r="AK17" i="6"/>
  <c r="Q34" i="6"/>
  <c r="S16" i="6"/>
  <c r="O42" i="6"/>
  <c r="O38" i="6"/>
  <c r="O34" i="6"/>
  <c r="O30" i="6"/>
  <c r="O26" i="6"/>
  <c r="P40" i="6"/>
  <c r="O39" i="6"/>
  <c r="P42" i="6"/>
  <c r="O44" i="6"/>
  <c r="O41" i="6"/>
  <c r="P35" i="6"/>
  <c r="P32" i="6"/>
  <c r="O31" i="6"/>
  <c r="O25" i="6"/>
  <c r="O21" i="6"/>
  <c r="O17" i="6"/>
  <c r="S15" i="6"/>
  <c r="P37" i="6"/>
  <c r="O35" i="6"/>
  <c r="P33" i="6"/>
  <c r="O32" i="6"/>
  <c r="P26" i="6"/>
  <c r="P20" i="6"/>
  <c r="P16" i="6"/>
  <c r="O40" i="6"/>
  <c r="O37" i="6"/>
  <c r="O33" i="6"/>
  <c r="P27" i="6"/>
  <c r="O20" i="6"/>
  <c r="O16" i="6"/>
  <c r="P44" i="6"/>
  <c r="P41" i="6"/>
  <c r="P39" i="6"/>
  <c r="P31" i="6"/>
  <c r="P25" i="6"/>
  <c r="O24" i="6"/>
  <c r="O36" i="6"/>
  <c r="P34" i="6"/>
  <c r="P30" i="6"/>
  <c r="P22" i="6"/>
  <c r="O22" i="6"/>
  <c r="P38" i="6"/>
  <c r="P29" i="6"/>
  <c r="P21" i="6"/>
  <c r="O29" i="6"/>
  <c r="P23" i="6"/>
  <c r="P19" i="6"/>
  <c r="P18" i="6"/>
  <c r="P36" i="6"/>
  <c r="O27" i="6"/>
  <c r="P24" i="6"/>
  <c r="O23" i="6"/>
  <c r="P17" i="6"/>
  <c r="P43" i="6"/>
  <c r="O19" i="6"/>
  <c r="O43" i="6"/>
  <c r="P15" i="6"/>
  <c r="P28" i="6"/>
  <c r="O28" i="6"/>
  <c r="O15" i="6"/>
  <c r="O18" i="6"/>
  <c r="Q17" i="6"/>
  <c r="Q38" i="6"/>
  <c r="Q42" i="6"/>
  <c r="Q30" i="6"/>
  <c r="Q22" i="6"/>
  <c r="Q43" i="6"/>
  <c r="Q44" i="6"/>
  <c r="Q36" i="6"/>
  <c r="Q25" i="6"/>
  <c r="Q23" i="6"/>
  <c r="Q20" i="6"/>
  <c r="D26" i="18"/>
  <c r="M31" i="18"/>
  <c r="AK18" i="6"/>
  <c r="Q35" i="6"/>
  <c r="AK41" i="6"/>
  <c r="AK20" i="6"/>
  <c r="D45" i="10"/>
  <c r="D48" i="10"/>
  <c r="D46" i="10"/>
  <c r="D44" i="10"/>
  <c r="D47" i="10"/>
  <c r="D43" i="10"/>
  <c r="B30" i="10"/>
  <c r="D125" i="8"/>
  <c r="AS13" i="8" s="1"/>
  <c r="X34" i="6"/>
  <c r="S34" i="6"/>
  <c r="Q16" i="6"/>
  <c r="AK23" i="6"/>
  <c r="S33" i="6"/>
  <c r="Q32" i="6"/>
  <c r="H287" i="8"/>
  <c r="AS23" i="8"/>
  <c r="G288" i="8"/>
  <c r="AK35" i="6"/>
  <c r="AK26" i="6"/>
  <c r="Q41" i="6"/>
  <c r="D128" i="8"/>
  <c r="AS16" i="8" s="1"/>
  <c r="Q33" i="6"/>
  <c r="D127" i="8"/>
  <c r="AS15" i="8" s="1"/>
  <c r="F127" i="8"/>
  <c r="S32" i="6"/>
  <c r="X32" i="6"/>
  <c r="AK32" i="6"/>
  <c r="D6" i="6"/>
  <c r="B6" i="6"/>
  <c r="A11" i="6" s="1"/>
  <c r="Q21" i="6"/>
  <c r="Q15" i="6"/>
  <c r="H58" i="6" l="1"/>
  <c r="F58" i="6"/>
  <c r="B55" i="18"/>
  <c r="B61" i="18" s="1"/>
  <c r="M36" i="18"/>
  <c r="G46" i="10"/>
  <c r="F46" i="10"/>
  <c r="B292" i="8"/>
  <c r="D291" i="8"/>
  <c r="E291" i="8"/>
  <c r="AV27" i="8"/>
  <c r="D55" i="6"/>
  <c r="D60" i="6"/>
  <c r="D57" i="6"/>
  <c r="D53" i="6"/>
  <c r="D63" i="6"/>
  <c r="D51" i="6"/>
  <c r="B71" i="6"/>
  <c r="D54" i="6"/>
  <c r="D52" i="6"/>
  <c r="D56" i="6"/>
  <c r="G44" i="10"/>
  <c r="F44" i="10"/>
  <c r="T43" i="6"/>
  <c r="T42" i="6"/>
  <c r="T34" i="6"/>
  <c r="T28" i="6"/>
  <c r="T38" i="6"/>
  <c r="T29" i="6"/>
  <c r="T23" i="6"/>
  <c r="T22" i="6"/>
  <c r="T18" i="6"/>
  <c r="T36" i="6"/>
  <c r="T30" i="6"/>
  <c r="T40" i="6"/>
  <c r="T41" i="6"/>
  <c r="T37" i="6"/>
  <c r="T33" i="6"/>
  <c r="T31" i="6"/>
  <c r="T26" i="6"/>
  <c r="T20" i="6"/>
  <c r="T19" i="6"/>
  <c r="T17" i="6"/>
  <c r="T16" i="6"/>
  <c r="T25" i="6"/>
  <c r="T32" i="6"/>
  <c r="T27" i="6"/>
  <c r="T24" i="6"/>
  <c r="T15" i="6"/>
  <c r="T44" i="6"/>
  <c r="T35" i="6"/>
  <c r="T21" i="6"/>
  <c r="T39" i="6"/>
  <c r="G48" i="10"/>
  <c r="F48" i="10"/>
  <c r="H61" i="6"/>
  <c r="F61" i="6"/>
  <c r="F125" i="8"/>
  <c r="G45" i="10"/>
  <c r="F45" i="10"/>
  <c r="B49" i="18"/>
  <c r="B56" i="18" s="1"/>
  <c r="I63" i="6"/>
  <c r="G63" i="6"/>
  <c r="F57" i="6"/>
  <c r="F60" i="6"/>
  <c r="F56" i="6"/>
  <c r="F52" i="6"/>
  <c r="F55" i="6"/>
  <c r="F53" i="6"/>
  <c r="F54" i="6"/>
  <c r="F51" i="6"/>
  <c r="B74" i="6"/>
  <c r="G62" i="6"/>
  <c r="I62" i="6"/>
  <c r="D9" i="6"/>
  <c r="J59" i="18"/>
  <c r="M53" i="18"/>
  <c r="M55" i="18" s="1"/>
  <c r="M37" i="18"/>
  <c r="D32" i="18"/>
  <c r="G43" i="10"/>
  <c r="F43" i="10"/>
  <c r="F128" i="8"/>
  <c r="AS24" i="8"/>
  <c r="H288" i="8"/>
  <c r="G289" i="8"/>
  <c r="G47" i="10"/>
  <c r="F47" i="10"/>
  <c r="F290" i="8"/>
  <c r="B73" i="6"/>
  <c r="F291" i="8" l="1"/>
  <c r="BA291" i="8" s="1"/>
  <c r="I55" i="6"/>
  <c r="G55" i="6"/>
  <c r="AF15" i="6"/>
  <c r="AE15" i="6"/>
  <c r="AD15" i="6"/>
  <c r="AF20" i="6"/>
  <c r="AE20" i="6"/>
  <c r="AD20" i="6"/>
  <c r="AE36" i="6"/>
  <c r="AF36" i="6"/>
  <c r="AD36" i="6"/>
  <c r="AF42" i="6"/>
  <c r="AD42" i="6"/>
  <c r="AE42" i="6"/>
  <c r="I52" i="6"/>
  <c r="G52" i="6"/>
  <c r="AF24" i="6"/>
  <c r="AE24" i="6"/>
  <c r="AD24" i="6"/>
  <c r="AF26" i="6"/>
  <c r="AE26" i="6"/>
  <c r="AD26" i="6"/>
  <c r="AD18" i="6"/>
  <c r="AF18" i="6"/>
  <c r="AE18" i="6"/>
  <c r="AD43" i="6"/>
  <c r="AE43" i="6"/>
  <c r="AF43" i="6"/>
  <c r="D292" i="8"/>
  <c r="B293" i="8"/>
  <c r="AV28" i="8"/>
  <c r="E292" i="8"/>
  <c r="AD27" i="6"/>
  <c r="AE27" i="6"/>
  <c r="AF27" i="6"/>
  <c r="AD31" i="6"/>
  <c r="AF31" i="6"/>
  <c r="AE31" i="6"/>
  <c r="AF22" i="6"/>
  <c r="AD22" i="6"/>
  <c r="AE22" i="6"/>
  <c r="M56" i="18"/>
  <c r="B67" i="18"/>
  <c r="H72" i="18" s="1"/>
  <c r="AD32" i="6"/>
  <c r="AE32" i="6"/>
  <c r="AF32" i="6"/>
  <c r="AF33" i="6"/>
  <c r="AE33" i="6"/>
  <c r="AD33" i="6"/>
  <c r="AD23" i="6"/>
  <c r="AE23" i="6"/>
  <c r="AF23" i="6"/>
  <c r="I56" i="6"/>
  <c r="G56" i="6"/>
  <c r="I54" i="6"/>
  <c r="G54" i="6"/>
  <c r="AD41" i="6"/>
  <c r="AF41" i="6"/>
  <c r="AE41" i="6"/>
  <c r="I58" i="6"/>
  <c r="G58" i="6"/>
  <c r="I51" i="6"/>
  <c r="G51" i="6"/>
  <c r="AD39" i="6"/>
  <c r="AF39" i="6"/>
  <c r="AE39" i="6"/>
  <c r="AF25" i="6"/>
  <c r="AE25" i="6"/>
  <c r="AD25" i="6"/>
  <c r="AF37" i="6"/>
  <c r="AE37" i="6"/>
  <c r="AD37" i="6"/>
  <c r="AE29" i="6"/>
  <c r="AD29" i="6"/>
  <c r="AF29" i="6"/>
  <c r="I60" i="6"/>
  <c r="G60" i="6"/>
  <c r="AF21" i="6"/>
  <c r="AE21" i="6"/>
  <c r="AD21" i="6"/>
  <c r="AF16" i="6"/>
  <c r="AE16" i="6"/>
  <c r="AD16" i="6"/>
  <c r="AF38" i="6"/>
  <c r="AD38" i="6"/>
  <c r="AE38" i="6"/>
  <c r="BA290" i="8"/>
  <c r="AZ290" i="8"/>
  <c r="G290" i="8"/>
  <c r="H289" i="8"/>
  <c r="AS25" i="8"/>
  <c r="I53" i="6"/>
  <c r="G53" i="6"/>
  <c r="AD35" i="6"/>
  <c r="AE35" i="6"/>
  <c r="AF35" i="6"/>
  <c r="AF17" i="6"/>
  <c r="AE17" i="6"/>
  <c r="AD17" i="6"/>
  <c r="AE40" i="6"/>
  <c r="AD40" i="6"/>
  <c r="AF40" i="6"/>
  <c r="AD28" i="6"/>
  <c r="AE28" i="6"/>
  <c r="AF28" i="6"/>
  <c r="I57" i="6"/>
  <c r="G57" i="6"/>
  <c r="I61" i="6"/>
  <c r="G61" i="6"/>
  <c r="AF44" i="6"/>
  <c r="AE44" i="6"/>
  <c r="AD44" i="6"/>
  <c r="AF19" i="6"/>
  <c r="AE19" i="6"/>
  <c r="AD19" i="6"/>
  <c r="AF30" i="6"/>
  <c r="AE30" i="6"/>
  <c r="AD30" i="6"/>
  <c r="AF34" i="6"/>
  <c r="AE34" i="6"/>
  <c r="AD34" i="6"/>
  <c r="F292" i="8" l="1"/>
  <c r="BA292" i="8" s="1"/>
  <c r="AZ291" i="8"/>
  <c r="B70" i="18"/>
  <c r="B71" i="18" s="1"/>
  <c r="H290" i="8"/>
  <c r="G291" i="8"/>
  <c r="AS26" i="8"/>
  <c r="B75" i="18"/>
  <c r="B73" i="18"/>
  <c r="B72" i="18"/>
  <c r="H60" i="18"/>
  <c r="H61" i="18" s="1"/>
  <c r="H69" i="18"/>
  <c r="B294" i="8"/>
  <c r="D293" i="8"/>
  <c r="E293" i="8"/>
  <c r="AV29" i="8"/>
  <c r="AZ292" i="8"/>
  <c r="C69" i="6"/>
  <c r="C70" i="6"/>
  <c r="C72" i="6"/>
  <c r="E59" i="6"/>
  <c r="D59" i="6"/>
  <c r="C71" i="6"/>
  <c r="B76" i="18" l="1"/>
  <c r="H70" i="18"/>
  <c r="H75" i="18"/>
  <c r="C73" i="6"/>
  <c r="D73" i="6" s="1"/>
  <c r="D70" i="6"/>
  <c r="D69" i="6"/>
  <c r="F293" i="8"/>
  <c r="D71" i="6"/>
  <c r="E294" i="8"/>
  <c r="D294" i="8"/>
  <c r="AV30" i="8"/>
  <c r="B295" i="8"/>
  <c r="H291" i="8"/>
  <c r="G292" i="8"/>
  <c r="AS27" i="8"/>
  <c r="H59" i="6"/>
  <c r="F59" i="6"/>
  <c r="D72" i="6"/>
  <c r="C74" i="6"/>
  <c r="D74" i="6" s="1"/>
  <c r="H63" i="18"/>
  <c r="H64" i="18" s="1"/>
  <c r="H71" i="18"/>
  <c r="F294" i="8" l="1"/>
  <c r="AZ293" i="8"/>
  <c r="BA293" i="8"/>
  <c r="I59" i="6"/>
  <c r="G59" i="6"/>
  <c r="G293" i="8"/>
  <c r="H292" i="8"/>
  <c r="AS28" i="8"/>
  <c r="E295" i="8"/>
  <c r="B296" i="8"/>
  <c r="D295" i="8"/>
  <c r="AV31" i="8"/>
  <c r="F295" i="8" l="1"/>
  <c r="B10" i="6"/>
  <c r="B297" i="8"/>
  <c r="E296" i="8"/>
  <c r="D296" i="8"/>
  <c r="AV32" i="8"/>
  <c r="BA294" i="8"/>
  <c r="AZ294" i="8"/>
  <c r="G294" i="8"/>
  <c r="H293" i="8"/>
  <c r="AS29" i="8"/>
  <c r="F296" i="8" l="1"/>
  <c r="B298" i="8"/>
  <c r="E297" i="8"/>
  <c r="D297" i="8"/>
  <c r="AV33" i="8"/>
  <c r="G295" i="8"/>
  <c r="AS30" i="8"/>
  <c r="H294" i="8"/>
  <c r="AZ295" i="8"/>
  <c r="BA295" i="8"/>
  <c r="F297" i="8" l="1"/>
  <c r="H295" i="8"/>
  <c r="G296" i="8"/>
  <c r="AS31" i="8"/>
  <c r="BA297" i="8"/>
  <c r="AZ297" i="8"/>
  <c r="E298" i="8"/>
  <c r="D298" i="8"/>
  <c r="AV34" i="8"/>
  <c r="AZ296" i="8"/>
  <c r="BA296" i="8"/>
  <c r="F298" i="8" l="1"/>
  <c r="G297" i="8"/>
  <c r="H296" i="8"/>
  <c r="AS32" i="8"/>
  <c r="G298" i="8" l="1"/>
  <c r="H297" i="8"/>
  <c r="AS33" i="8"/>
  <c r="BA298" i="8"/>
  <c r="K290" i="8" s="1"/>
  <c r="AZ298" i="8"/>
  <c r="K289" i="8" s="1"/>
  <c r="K288" i="8" l="1"/>
  <c r="H298" i="8"/>
  <c r="F20" i="8" s="1"/>
  <c r="AS34" i="8"/>
  <c r="K291" i="8"/>
</calcChain>
</file>

<file path=xl/sharedStrings.xml><?xml version="1.0" encoding="utf-8"?>
<sst xmlns="http://schemas.openxmlformats.org/spreadsheetml/2006/main" count="2046" uniqueCount="1370">
  <si>
    <t>NivrāaCare — Global Unit Economics Inputs</t>
  </si>
  <si>
    <t>Input</t>
  </si>
  <si>
    <t>Value</t>
  </si>
  <si>
    <t>Unit</t>
  </si>
  <si>
    <t>Source / Note</t>
  </si>
  <si>
    <t>₹ / hour</t>
  </si>
  <si>
    <t>Angel cost per hour</t>
  </si>
  <si>
    <t>₹ / Angel hour</t>
  </si>
  <si>
    <t>Founder working assumption: ₹700 ÷ 4 hours</t>
  </si>
  <si>
    <t xml:space="preserve">When we are keeping 3 Angels on payroll, then we do not have to pay them on per hour basis, so I have made per hour cost as ZERO.Angel payment 14K Per month </t>
  </si>
  <si>
    <t>GST on care service</t>
  </si>
  <si>
    <t>%</t>
  </si>
  <si>
    <t>Illustrative assumption; confirm with CA</t>
  </si>
  <si>
    <t>Payment platform fee</t>
  </si>
  <si>
    <t>% of customer collection</t>
  </si>
  <si>
    <t>Editable payment gateway assumption</t>
  </si>
  <si>
    <t>Payment platform fixed fee</t>
  </si>
  <si>
    <t>₹ / transaction</t>
  </si>
  <si>
    <t>Editable</t>
  </si>
  <si>
    <t>Ops / support allocation</t>
  </si>
  <si>
    <t>₹ / journey</t>
  </si>
  <si>
    <t>Founder working assumption</t>
  </si>
  <si>
    <t>Insurance / risk reserve</t>
  </si>
  <si>
    <t>WhatsApp / SMS / communication</t>
  </si>
  <si>
    <t>BGV + training allocation</t>
  </si>
  <si>
    <t>Refund / service recovery reserve</t>
  </si>
  <si>
    <t>Average third-party cab actual</t>
  </si>
  <si>
    <t>Founder working assumption for Case 2</t>
  </si>
  <si>
    <t>Transport coordination fee</t>
  </si>
  <si>
    <t>GST on transport coordination fee</t>
  </si>
  <si>
    <t>Set to applicable rate after CA confirmation</t>
  </si>
  <si>
    <t>Transport ops / booking support</t>
  </si>
  <si>
    <t>New customer acquisition cost (sensitivity only)</t>
  </si>
  <si>
    <t>₹ / new family</t>
  </si>
  <si>
    <t>Illustrative founder assumption for repeat-rate sensitivity</t>
  </si>
  <si>
    <t>Base package hours (sensitivity only)</t>
  </si>
  <si>
    <t>hours</t>
  </si>
  <si>
    <t>Used only in additional-hour sensitivity</t>
  </si>
  <si>
    <t>Service</t>
  </si>
  <si>
    <t>Category</t>
  </si>
  <si>
    <t>Hours</t>
  </si>
  <si>
    <t>Rate Multiplier</t>
  </si>
  <si>
    <t>Fixed Premium / Fee</t>
  </si>
  <si>
    <t>No. of Angels</t>
  </si>
  <si>
    <t>Angel Cost/Hr Override</t>
  </si>
  <si>
    <t>Cab Cost Override</t>
  </si>
  <si>
    <t>Coord. Fee Override</t>
  </si>
  <si>
    <t>Net Service Revenue</t>
  </si>
  <si>
    <t>Effective Angel Cost/Hr</t>
  </si>
  <si>
    <t>Angel Cost</t>
  </si>
  <si>
    <t>Payment Platform Cost</t>
  </si>
  <si>
    <t>Other Variable Care Cost</t>
  </si>
  <si>
    <t>Effective 3P Cab Cost</t>
  </si>
  <si>
    <t>Effective Coordination Fee</t>
  </si>
  <si>
    <t>Customer Transport Charge</t>
  </si>
  <si>
    <t>Transport Payment Cost</t>
  </si>
  <si>
    <t>Transport Ops Cost</t>
  </si>
  <si>
    <t>CASE 2 Total Customer Outflow</t>
  </si>
  <si>
    <t>CASE 2 Profit Uplift</t>
  </si>
  <si>
    <t>Hospital Visit</t>
  </si>
  <si>
    <t>Medical Visit</t>
  </si>
  <si>
    <t>Clinic Visit</t>
  </si>
  <si>
    <t>Diagnostic Center Visit</t>
  </si>
  <si>
    <t>Health Check-up Concierge</t>
  </si>
  <si>
    <t>Hospital Admission Concierge</t>
  </si>
  <si>
    <t>Hospital Support</t>
  </si>
  <si>
    <t>Hospital Discharge Concierge</t>
  </si>
  <si>
    <t>Overnight Hospital Concierge</t>
  </si>
  <si>
    <t>Multi-Day Hospital Concierge (per 12h shift)</t>
  </si>
  <si>
    <t>Day Surgery / Procedure Concierge</t>
  </si>
  <si>
    <t>Procedure &amp; Treatment</t>
  </si>
  <si>
    <t>Pre-Surgery Concierge</t>
  </si>
  <si>
    <t>Post-Surgery Follow-up</t>
  </si>
  <si>
    <t>Dialysis Visit Concierge</t>
  </si>
  <si>
    <t>Recurring Treatment</t>
  </si>
  <si>
    <t>Chemotherapy Visit Concierge</t>
  </si>
  <si>
    <t>Radiation Therapy Concierge</t>
  </si>
  <si>
    <t>Physiotherapy / Rehab Visit</t>
  </si>
  <si>
    <t>Chronic Care Follow-up</t>
  </si>
  <si>
    <t>Continuing Care</t>
  </si>
  <si>
    <t>NRI Parent Medical Concierge</t>
  </si>
  <si>
    <t>Second Opinion Concierge</t>
  </si>
  <si>
    <t>Medical Coordination</t>
  </si>
  <si>
    <t>Teleconsultation Concierge</t>
  </si>
  <si>
    <t>Medical Records Concierge</t>
  </si>
  <si>
    <t>Insurance / TPA Desk Concierge</t>
  </si>
  <si>
    <t>Hospital Transfer Concierge</t>
  </si>
  <si>
    <t>Rehab / Nursing Facility Transfer</t>
  </si>
  <si>
    <t>24×7 Urgent Care Coordination</t>
  </si>
  <si>
    <t>Urgent Coordination</t>
  </si>
  <si>
    <t>Doctor-at-Home Coordination</t>
  </si>
  <si>
    <t>Nurse-at-Home Coordination</t>
  </si>
  <si>
    <t>Pharmacy / Prescription Coordination</t>
  </si>
  <si>
    <t>Family Medical Update Concierge</t>
  </si>
  <si>
    <t>Active Angels</t>
  </si>
  <si>
    <t>Operating days / month</t>
  </si>
  <si>
    <t>Target Angel utilization</t>
  </si>
  <si>
    <t>Case 2 transport mix</t>
  </si>
  <si>
    <t>Cancellation rate</t>
  </si>
  <si>
    <t>No-show / refund rate</t>
  </si>
  <si>
    <t>Weighted avg service hours</t>
  </si>
  <si>
    <t>Fixed Cost</t>
  </si>
  <si>
    <t>Customer Support</t>
  </si>
  <si>
    <t>Marketing</t>
  </si>
  <si>
    <t>Completed Journeys</t>
  </si>
  <si>
    <t>Net Operating Revenue</t>
  </si>
  <si>
    <t>Break-even journeys / month</t>
  </si>
  <si>
    <t>Break-even journeys / day</t>
  </si>
  <si>
    <t>Metric</t>
  </si>
  <si>
    <t>Journeys / month</t>
  </si>
  <si>
    <t>Contribution</t>
  </si>
  <si>
    <t>Operating Profit</t>
  </si>
  <si>
    <t>Month</t>
  </si>
  <si>
    <t>Angel Utilization</t>
  </si>
  <si>
    <t>Angels Required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</si>
  <si>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</si>
  <si>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</si>
  <si>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</si>
  <si>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</si>
  <si>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</si>
  <si>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</si>
  <si>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</si>
  <si>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</si>
  <si>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</si>
  <si>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</si>
  <si>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</si>
  <si>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</si>
  <si>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CFO Insights — Dynamic</t>
  </si>
  <si>
    <t>Recommended transport mix</t>
  </si>
  <si>
    <t>Current break-even volume</t>
  </si>
  <si>
    <t>Biggest profit lever</t>
  </si>
  <si>
    <t>Biggest unit-economics risk</t>
  </si>
  <si>
    <t>Customer Price</t>
  </si>
  <si>
    <t>Revenue / Angel Hr</t>
  </si>
  <si>
    <t>Case 1 Contribution</t>
  </si>
  <si>
    <t>Case 2 Contribution</t>
  </si>
  <si>
    <t>Blended Contribution / Journey</t>
  </si>
  <si>
    <t>Contribution Margin</t>
  </si>
  <si>
    <t>Contribution / Angel Hr</t>
  </si>
  <si>
    <t>Repeat Potential (1-5)</t>
  </si>
  <si>
    <t>Operational Complexity (1-5)</t>
  </si>
  <si>
    <t>Transport Dependency (1-5)</t>
  </si>
  <si>
    <t>Strategic Weight (0.5-1.5)</t>
  </si>
  <si>
    <t>Capacity Efficiency Score</t>
  </si>
  <si>
    <t>Recommended Priority</t>
  </si>
  <si>
    <t>Current Mix %</t>
  </si>
  <si>
    <t>Optimization Score</t>
  </si>
  <si>
    <t>Recurring Service?</t>
  </si>
  <si>
    <t>Fixed Premium</t>
  </si>
  <si>
    <t>Recurring Profit/Hr</t>
  </si>
  <si>
    <t>Price Sensitivity Weight</t>
  </si>
  <si>
    <t>Angel Hr Weight</t>
  </si>
  <si>
    <t>Min Booking Test Price</t>
  </si>
  <si>
    <t>Addl-Hour Test Price</t>
  </si>
  <si>
    <t>Current Collection/Journey</t>
  </si>
  <si>
    <t>Optimized Collection Weight</t>
  </si>
  <si>
    <t>Optimized Contribution Weight</t>
  </si>
  <si>
    <t>Optimized Hours Weight</t>
  </si>
  <si>
    <t>No</t>
  </si>
  <si>
    <t>Yes</t>
  </si>
  <si>
    <t>Profit Optimization Levers — One-Variable Sensitivity (All Else Equal)</t>
  </si>
  <si>
    <t>Lever</t>
  </si>
  <si>
    <t>Current Value</t>
  </si>
  <si>
    <t>Test Value</t>
  </si>
  <si>
    <t>Monthly Revenue</t>
  </si>
  <si>
    <t>Profit / Angel</t>
  </si>
  <si>
    <t>Break-even Journeys</t>
  </si>
  <si>
    <t>Δ Operating Profit</t>
  </si>
  <si>
    <t>Base price / hour</t>
  </si>
  <si>
    <t>Angel cost / hour</t>
  </si>
  <si>
    <t>Minimum booking hours</t>
  </si>
  <si>
    <t>Cab cost</t>
  </si>
  <si>
    <t>Angel utilization</t>
  </si>
  <si>
    <t>Service mix</t>
  </si>
  <si>
    <t>Current Mix</t>
  </si>
  <si>
    <t>Optimized Mix</t>
  </si>
  <si>
    <t>Repeat booking rate</t>
  </si>
  <si>
    <t>Customer leads / day</t>
  </si>
  <si>
    <t>Fixed monthly cost</t>
  </si>
  <si>
    <t>Whitefield Portfolio — Current Mix vs Profit-Optimized Mix</t>
  </si>
  <si>
    <t>Current / Default Mix</t>
  </si>
  <si>
    <t>Profit-Optimized Mix</t>
  </si>
  <si>
    <t>Improvement</t>
  </si>
  <si>
    <t>Monthly journeys</t>
  </si>
  <si>
    <t>Customer collections</t>
  </si>
  <si>
    <t>Monthly contribution</t>
  </si>
  <si>
    <t>Contribution / Angel hour</t>
  </si>
  <si>
    <t>Monthly operating profit</t>
  </si>
  <si>
    <t>Profit Maximizer note: the optimized mix is intentionally weighted heavily toward contribution per Angel hour, while retaining 20% of the current portfolio mix so the model does not collapse into a single service. Founder judgement inputs remain editable.</t>
  </si>
  <si>
    <t>Completed journeys / month</t>
  </si>
  <si>
    <t>Journeys / day</t>
  </si>
  <si>
    <t>Required monthly contribution</t>
  </si>
  <si>
    <t>Recommended operating model</t>
  </si>
  <si>
    <t>Ultra-Lean Pilot</t>
  </si>
  <si>
    <t>Lean MVP</t>
  </si>
  <si>
    <t>Required journeys / day</t>
  </si>
  <si>
    <t>Contribution / journey</t>
  </si>
  <si>
    <t>Sustainable fixed cost at selected target</t>
  </si>
  <si>
    <t>Strategy</t>
  </si>
  <si>
    <t>Journeys / Day</t>
  </si>
  <si>
    <t>Contribution / Journey</t>
  </si>
  <si>
    <t>Monthly Profit</t>
  </si>
  <si>
    <t>Monthly Operating Profit</t>
  </si>
  <si>
    <t>Break-even Journeys / Month</t>
  </si>
  <si>
    <t>Break-even Journeys / Day</t>
  </si>
  <si>
    <t>Monthly Fixed Cost</t>
  </si>
  <si>
    <t>Utilization</t>
  </si>
  <si>
    <t>Excess Angel equivalents</t>
  </si>
  <si>
    <t>Recurring Service</t>
  </si>
  <si>
    <t>Customers</t>
  </si>
  <si>
    <t>Journeys / Customer / Month</t>
  </si>
  <si>
    <t>Monthly Journeys</t>
  </si>
  <si>
    <t>Monthly Contribution</t>
  </si>
  <si>
    <t>Ending Cash</t>
  </si>
  <si>
    <t>TOTAL</t>
  </si>
  <si>
    <t>Avg journeys / customer / month</t>
  </si>
  <si>
    <t>Contribution before fixed overhead</t>
  </si>
  <si>
    <t>Monthly Profit / (Loss)</t>
  </si>
  <si>
    <t>Opening cash available</t>
  </si>
  <si>
    <t>First profitable month</t>
  </si>
  <si>
    <t>Monthly journey growth</t>
  </si>
  <si>
    <t>Role / Capacity</t>
  </si>
  <si>
    <t>Editable Trigger</t>
  </si>
  <si>
    <t>Monthly Cost Impact</t>
  </si>
  <si>
    <t>Status</t>
  </si>
  <si>
    <t>Operations Coordinator</t>
  </si>
  <si>
    <t>Model</t>
  </si>
  <si>
    <t>Break-even / Month</t>
  </si>
  <si>
    <t>Break-even / Day</t>
  </si>
  <si>
    <t>Hourly Price</t>
  </si>
  <si>
    <t>Conversion</t>
  </si>
  <si>
    <t>FOUNDER INPUT / SELECTOR</t>
  </si>
  <si>
    <t>VALUE</t>
  </si>
  <si>
    <t>NOTE</t>
  </si>
  <si>
    <t>FOUNDER DASHBOARD — CURRENT SELECTED GROWTH STRATEGY</t>
  </si>
  <si>
    <t>SELECTED PRICING HELPER</t>
  </si>
  <si>
    <t>Target monthly operating profit</t>
  </si>
  <si>
    <t>Select break-even through ₹1Cr/month</t>
  </si>
  <si>
    <t>TARGET-PROFIT REQUIREMENT</t>
  </si>
  <si>
    <t>Avg care bill</t>
  </si>
  <si>
    <t>Leads per day</t>
  </si>
  <si>
    <t>Founder planning assumption</t>
  </si>
  <si>
    <t>Target operating profit</t>
  </si>
  <si>
    <t>Net care revenue</t>
  </si>
  <si>
    <t>Whitefield operating assumption</t>
  </si>
  <si>
    <t>Angel cost / journey</t>
  </si>
  <si>
    <t>Current planning assumption</t>
  </si>
  <si>
    <t>Required journeys / month</t>
  </si>
  <si>
    <t>Other variable cost / journey</t>
  </si>
  <si>
    <t>Working hours / Angel / day</t>
  </si>
  <si>
    <t>Capacity assumption</t>
  </si>
  <si>
    <t>Average customer bill</t>
  </si>
  <si>
    <t>Care contribution / journey</t>
  </si>
  <si>
    <t>Productive service + required journey capacity</t>
  </si>
  <si>
    <t>Required Angels</t>
  </si>
  <si>
    <t>Blended transport contribution</t>
  </si>
  <si>
    <t>Average actual journey duration</t>
  </si>
  <si>
    <t>Linked to current Whitefield service mix</t>
  </si>
  <si>
    <t>Required leads / day</t>
  </si>
  <si>
    <t>Total blended contribution / journey</t>
  </si>
  <si>
    <t>True CAC</t>
  </si>
  <si>
    <t>Sustainable fixed-cost ceiling</t>
  </si>
  <si>
    <t>Lifetime Journeys</t>
  </si>
  <si>
    <t>Safe CAC</t>
  </si>
  <si>
    <t>Cumulative Contribution</t>
  </si>
  <si>
    <t>Repeat journey share</t>
  </si>
  <si>
    <t>Profit gap at current selected pricing</t>
  </si>
  <si>
    <t>Current selected conversion</t>
  </si>
  <si>
    <t>Average journeys / customer / month</t>
  </si>
  <si>
    <t>Includes repeat behavior; editable</t>
  </si>
  <si>
    <t>Demand journeys / month</t>
  </si>
  <si>
    <t>Capacity journeys / month</t>
  </si>
  <si>
    <t>Selected fixed cost</t>
  </si>
  <si>
    <t>Completed journeys / day</t>
  </si>
  <si>
    <t>Average service premium</t>
  </si>
  <si>
    <t>Urgent / overnight / premium mix allowance</t>
  </si>
  <si>
    <t>Cash runway</t>
  </si>
  <si>
    <t>Angel payout / service hour</t>
  </si>
  <si>
    <t>Linked to current Global Inputs</t>
  </si>
  <si>
    <t>Profitability status</t>
  </si>
  <si>
    <t>Per-journey non-Angel variable cost</t>
  </si>
  <si>
    <t>Ops + risk + comms + BGV/training + recovery reserve</t>
  </si>
  <si>
    <t>Illustrative; confirm with CA</t>
  </si>
  <si>
    <t>Average total customer outflow</t>
  </si>
  <si>
    <t>Current gateway assumption</t>
  </si>
  <si>
    <t>Angels required for demand</t>
  </si>
  <si>
    <t>% of journeys where NivrāaCare coordinates transport</t>
  </si>
  <si>
    <t>Transport contribution / Case 2 journey</t>
  </si>
  <si>
    <t>Derived from current transport assumptions</t>
  </si>
  <si>
    <t>Selected monthly fixed cost</t>
  </si>
  <si>
    <t>Operating Model</t>
  </si>
  <si>
    <t>Paid marketing CAC</t>
  </si>
  <si>
    <t>Planning assumption per new family</t>
  </si>
  <si>
    <t>First-journey subsidy / discount</t>
  </si>
  <si>
    <t>Treat as CAC</t>
  </si>
  <si>
    <t>Referral reward</t>
  </si>
  <si>
    <t>Scale / Full Team</t>
  </si>
  <si>
    <t>Safe CAC as % of expected LTV</t>
  </si>
  <si>
    <t>Founder risk-control assumption</t>
  </si>
  <si>
    <t>Runway input</t>
  </si>
  <si>
    <t>Additional founder capital</t>
  </si>
  <si>
    <t>One-time launch / setup costs</t>
  </si>
  <si>
    <t>Runway assumption</t>
  </si>
  <si>
    <t>Actual Journey Duration (hrs)</t>
  </si>
  <si>
    <t>Customer Care Bill</t>
  </si>
  <si>
    <t>Net Care Revenue</t>
  </si>
  <si>
    <t>Other Variable Cost</t>
  </si>
  <si>
    <t>Blended Contribution</t>
  </si>
  <si>
    <t>Contribution / Angel Hour</t>
  </si>
  <si>
    <t>TRUE COST / PRICE FLOOR</t>
  </si>
  <si>
    <t>First-hour delivery cost</t>
  </si>
  <si>
    <t>Incremental additional-hour delivery cost</t>
  </si>
  <si>
    <t>Avg delivery cost / hour at selected duration</t>
  </si>
  <si>
    <t>Absolute customer price floor / hr (no contribution)</t>
  </si>
  <si>
    <t>Recommended safe contribution / Angel hr</t>
  </si>
  <si>
    <t>Sustainable hourly price at safe contribution</t>
  </si>
  <si>
    <t>Minimum economically viable duration</t>
  </si>
  <si>
    <t>PRICE DECISION</t>
  </si>
  <si>
    <t>INTERPRETATION</t>
  </si>
  <si>
    <t>5. Price Elasticity Decision Table — Monthly Operating Profit Heatmap</t>
  </si>
  <si>
    <t>Hourly Price / Conversion</t>
  </si>
  <si>
    <t>7. Angel Pay Strategy — Protect Quality, Improve Effective Cost Through Utilization</t>
  </si>
  <si>
    <t>Angel Payout / Service Hr</t>
  </si>
  <si>
    <t>Hourly Price Needed for ₹150 Contrib / Angel Hr</t>
  </si>
  <si>
    <t>Monthly Profit at Current Demand</t>
  </si>
  <si>
    <t>Payout Model</t>
  </si>
  <si>
    <t>Base Commitment</t>
  </si>
  <si>
    <t>Utilization Assumption</t>
  </si>
  <si>
    <t>Effective Cost / Productive Hr</t>
  </si>
  <si>
    <t>Founder Note</t>
  </si>
  <si>
    <t>Pure hourly gig</t>
  </si>
  <si>
    <t>Pay only productive service hours</t>
  </si>
  <si>
    <t>Guaranteed 4-hour block</t>
  </si>
  <si>
    <t>Reliability higher; effective cost rises if block underused</t>
  </si>
  <si>
    <t>Recurring-customer assignment</t>
  </si>
  <si>
    <t>Illustrative recurring block economics</t>
  </si>
  <si>
    <t>Half-day shift</t>
  </si>
  <si>
    <t>4-hour shift; utilization is critical</t>
  </si>
  <si>
    <t>Full-day shift</t>
  </si>
  <si>
    <t>8-hour shift; only for proven density</t>
  </si>
  <si>
    <t>8. Angel Utilization Engine — Capacity, Idle Time &amp; Overstaffing</t>
  </si>
  <si>
    <t>Available Angel Hrs</t>
  </si>
  <si>
    <t>Productive Hrs</t>
  </si>
  <si>
    <t>Idle Hrs</t>
  </si>
  <si>
    <t>Capacity Journeys</t>
  </si>
  <si>
    <t>OVERSTAFFING DETECTOR</t>
  </si>
  <si>
    <t>Angels currently planned</t>
  </si>
  <si>
    <t>Angels required at current selected demand</t>
  </si>
  <si>
    <t>Current utilization</t>
  </si>
  <si>
    <t>Current journeys / Angel / day</t>
  </si>
  <si>
    <t>Capacity warning</t>
  </si>
  <si>
    <t>9. Fixed Cost Strategy — Ultra-Lean → Lean MVP → Scale / Full Team</t>
  </si>
  <si>
    <t>Journey Range</t>
  </si>
  <si>
    <t>Fixed Cost / Month</t>
  </si>
  <si>
    <t>Profit @ 5/day</t>
  </si>
  <si>
    <t>Profit @ 10/day</t>
  </si>
  <si>
    <t>Profit @ 15/day</t>
  </si>
  <si>
    <t>FIXED-COST CEILING</t>
  </si>
  <si>
    <t>CURRENT / RESULT</t>
  </si>
  <si>
    <t>GAP</t>
  </si>
  <si>
    <t>ACTION</t>
  </si>
  <si>
    <t>0–50</t>
  </si>
  <si>
    <t>Current selected fixed cost</t>
  </si>
  <si>
    <t>Current operating assumption</t>
  </si>
  <si>
    <t>51–150</t>
  </si>
  <si>
    <t>Sustainable fixed cost at current demand</t>
  </si>
  <si>
    <t>Maximum at break-even</t>
  </si>
  <si>
    <t>151+</t>
  </si>
  <si>
    <t>Must be ≤ this to hit target without more volume</t>
  </si>
  <si>
    <t>Excess overhead vs break-even</t>
  </si>
  <si>
    <t>Reduce cost or grow contribution</t>
  </si>
  <si>
    <t>11. Customer Acquisition Engine — Treat Discounts as CAC, Not Invisible Loss</t>
  </si>
  <si>
    <t>CAC Component</t>
  </si>
  <si>
    <t>Amount</t>
  </si>
  <si>
    <t>Classification</t>
  </si>
  <si>
    <t>Included in True CAC?</t>
  </si>
  <si>
    <t>Current Result</t>
  </si>
  <si>
    <t>Lead Funnel KPI</t>
  </si>
  <si>
    <t>Formula Driver</t>
  </si>
  <si>
    <t>Target / Comment</t>
  </si>
  <si>
    <t>Monthly leads</t>
  </si>
  <si>
    <t>Leads/day × operating days</t>
  </si>
  <si>
    <t>Grow density before geography</t>
  </si>
  <si>
    <t>First-journey subsidy</t>
  </si>
  <si>
    <t>Acquisition subsidy</t>
  </si>
  <si>
    <t>A discount is still acquisition spend</t>
  </si>
  <si>
    <t>Selected conversion</t>
  </si>
  <si>
    <t>Linked to price-conversion curve</t>
  </si>
  <si>
    <t>Editable assumptions determine this</t>
  </si>
  <si>
    <t>Referral CAC</t>
  </si>
  <si>
    <t>New paying customers / month</t>
  </si>
  <si>
    <t>Leads × conversion</t>
  </si>
  <si>
    <t>Before repeat frequency</t>
  </si>
  <si>
    <t>TRUE CAC</t>
  </si>
  <si>
    <t>Total</t>
  </si>
  <si>
    <t>Monthly completed journeys</t>
  </si>
  <si>
    <t>Demand capped by Angel capacity</t>
  </si>
  <si>
    <t>Core scale metric</t>
  </si>
  <si>
    <t>Average journeys / customer</t>
  </si>
  <si>
    <t>Repeat behavior</t>
  </si>
  <si>
    <t>Increase with trust / recurring care</t>
  </si>
  <si>
    <t>12. Maximum Affordable CAC — Based on Cumulative Customer Contribution</t>
  </si>
  <si>
    <t>Break-even CAC Ceiling</t>
  </si>
  <si>
    <t>Safe CAC Ceiling</t>
  </si>
  <si>
    <t>Current True CAC</t>
  </si>
  <si>
    <t>CAC Status</t>
  </si>
  <si>
    <t>Payback Journeys</t>
  </si>
  <si>
    <t>13. Repeat Customer Engine — The Difference Between a Transaction and a Family Relationship</t>
  </si>
  <si>
    <t>Monthly Revenue / Customer</t>
  </si>
  <si>
    <t>Monthly Contribution / Customer</t>
  </si>
  <si>
    <t>3-Month LTV</t>
  </si>
  <si>
    <t>6-Month LTV</t>
  </si>
  <si>
    <t>12-Month LTV</t>
  </si>
  <si>
    <t>CAC Payback (Months)</t>
  </si>
  <si>
    <t>12M LTV / CAC</t>
  </si>
  <si>
    <t>REPEAT KPI</t>
  </si>
  <si>
    <t>TARGET</t>
  </si>
  <si>
    <t>WHY</t>
  </si>
  <si>
    <t>Current repeat journey share</t>
  </si>
  <si>
    <t>Higher repeat reduces acquisition dependence</t>
  </si>
  <si>
    <t>Measure actual behavior after launch</t>
  </si>
  <si>
    <t>Contribution / repeat customer / month</t>
  </si>
  <si>
    <t>14. Recurring Medical Services — Build Predictable Monthly Contribution</t>
  </si>
  <si>
    <t>Service Hours</t>
  </si>
  <si>
    <t>Selected-Model Customer Bill</t>
  </si>
  <si>
    <t>Fixed Cost Coverage</t>
  </si>
  <si>
    <t>15. Membership Economics — Should NivrāaCare Launch Membership Yet?</t>
  </si>
  <si>
    <t>Monthly Membership Fee</t>
  </si>
  <si>
    <t>Members</t>
  </si>
  <si>
    <t>Hourly Discount</t>
  </si>
  <si>
    <t>Journey Fee Discount</t>
  </si>
  <si>
    <t>Usage Uplift</t>
  </si>
  <si>
    <t>Membership Revenue</t>
  </si>
  <si>
    <t>Discount Cost</t>
  </si>
  <si>
    <t>Net Membership Contribution</t>
  </si>
  <si>
    <t>Recommendation</t>
  </si>
  <si>
    <t>16. Simple Customer-Facing Service Tiers — Keep the Catalogue Easy to Buy</t>
  </si>
  <si>
    <t>Tier</t>
  </si>
  <si>
    <t>Customer Use Case</t>
  </si>
  <si>
    <t>Illustrative 3-Hour Bill</t>
  </si>
  <si>
    <t>Illustrative 4-Hour Bill</t>
  </si>
  <si>
    <t>Positioning</t>
  </si>
  <si>
    <t>Mapped Services</t>
  </si>
  <si>
    <t>BASIC</t>
  </si>
  <si>
    <t>Clinic / diagnostics</t>
  </si>
  <si>
    <t>Entry / simple coordination</t>
  </si>
  <si>
    <t>Clinic, diagnostics, records</t>
  </si>
  <si>
    <t>CARE</t>
  </si>
  <si>
    <t>Hospital visit</t>
  </si>
  <si>
    <t>Core medical concierge</t>
  </si>
  <si>
    <t>Hospital / specialist / health check</t>
  </si>
  <si>
    <t>PLUS</t>
  </si>
  <si>
    <t>Higher coordination / longer visit</t>
  </si>
  <si>
    <t>Complex journey</t>
  </si>
  <si>
    <t>Admission, discharge, procedures</t>
  </si>
  <si>
    <t>PRIORITY</t>
  </si>
  <si>
    <t>Urgent / weekend / short notice</t>
  </si>
  <si>
    <t>Premium access</t>
  </si>
  <si>
    <t>Urgent / short-notice journeys</t>
  </si>
  <si>
    <t>RECURRING CARE</t>
  </si>
  <si>
    <t>Dialysis / chemo / physio</t>
  </si>
  <si>
    <t>Repeat-friendly</t>
  </si>
  <si>
    <t>Dialysis, chemo, radiation, physio</t>
  </si>
  <si>
    <t>NRI FAMILY</t>
  </si>
  <si>
    <t>Higher-touch parent coordination</t>
  </si>
  <si>
    <t>High-touch family coordination</t>
  </si>
  <si>
    <t>NRI parent, chronic / follow-up</t>
  </si>
  <si>
    <t>17. Service Profitability — Contribution per Angel Hour × Repeat Potential</t>
  </si>
  <si>
    <t>Selected-Model Selling Price</t>
  </si>
  <si>
    <t>Repeat Potential</t>
  </si>
  <si>
    <t>Demand Mix %</t>
  </si>
  <si>
    <t>Operational Complexity</t>
  </si>
  <si>
    <t>Profitability Index</t>
  </si>
  <si>
    <t>SERVICE SIGNAL</t>
  </si>
  <si>
    <t>Best profitability index</t>
  </si>
  <si>
    <t>Highest contribution / Angel hr</t>
  </si>
  <si>
    <t>Best recurring-service signal</t>
  </si>
  <si>
    <t>Lowest contribution / Angel hr</t>
  </si>
  <si>
    <t>Founder principle</t>
  </si>
  <si>
    <t>Push contribution per Angel hour + repeatability; do not optimize only headline price.</t>
  </si>
  <si>
    <t>18. Transport Strategy — Asset-Light Coordination Economics</t>
  </si>
  <si>
    <t>Customer Pays Cab To</t>
  </si>
  <si>
    <t>NivrāaCare Collection</t>
  </si>
  <si>
    <t>Cab Cost Paid by NivrāaCare</t>
  </si>
  <si>
    <t>Gateway Leakage</t>
  </si>
  <si>
    <t>Transport Ops</t>
  </si>
  <si>
    <t>Transport Contribution</t>
  </si>
  <si>
    <t>Operational Burden</t>
  </si>
  <si>
    <t>A — NivrāaCare collects cab + fee</t>
  </si>
  <si>
    <t>NivrāaCare</t>
  </si>
  <si>
    <t>Higher</t>
  </si>
  <si>
    <t>B — Customer pays cab provider direct</t>
  </si>
  <si>
    <t>Cab provider</t>
  </si>
  <si>
    <t>Lower</t>
  </si>
  <si>
    <t>Recommended MVP Transport Model</t>
  </si>
  <si>
    <t>Contribution Uplift vs Model A</t>
  </si>
  <si>
    <t>19. Whitefield Density Model — Geography as an Economic Advantage</t>
  </si>
  <si>
    <t>Customers / Day</t>
  </si>
  <si>
    <t>Avg Travel Minutes / Journey</t>
  </si>
  <si>
    <t>Service Hours / Journey</t>
  </si>
  <si>
    <t>Total Angel Hrs Needed / Day</t>
  </si>
  <si>
    <t>Journeys / Angel / Day</t>
  </si>
  <si>
    <t>Effective Utilization</t>
  </si>
  <si>
    <t>Contribution / Total Angel Hour</t>
  </si>
  <si>
    <t>20. Customer Acquisition Channels — Optimize Contribution After CAC, Not Cheap Leads</t>
  </si>
  <si>
    <t>Channel</t>
  </si>
  <si>
    <t>Monthly Leads</t>
  </si>
  <si>
    <t>CAC / New Family</t>
  </si>
  <si>
    <t>Repeat Share</t>
  </si>
  <si>
    <t>New Customers</t>
  </si>
  <si>
    <t>Monthly Contribution Before CAC</t>
  </si>
  <si>
    <t>Acquisition Spend</t>
  </si>
  <si>
    <t>Contribution After CAC</t>
  </si>
  <si>
    <t>CHANNEL SIGNAL</t>
  </si>
  <si>
    <t>Apartment communities</t>
  </si>
  <si>
    <t>Best contribution-after-CAC channel</t>
  </si>
  <si>
    <t>Planning assumptions only — validate with actual cohort data.</t>
  </si>
  <si>
    <t>Hospitals / clinics</t>
  </si>
  <si>
    <t>Lowest CAC channel</t>
  </si>
  <si>
    <t>Low CAC is useful only if contribution and retention are healthy.</t>
  </si>
  <si>
    <t>Diagnostic centers</t>
  </si>
  <si>
    <t>Highest conversion channel</t>
  </si>
  <si>
    <t>Conversion must be measured by channel.</t>
  </si>
  <si>
    <t>Nursing schools / Angel ecosystem</t>
  </si>
  <si>
    <t>Highest repeat-share channel</t>
  </si>
  <si>
    <t>Repeat behavior is a core growth-quality metric.</t>
  </si>
  <si>
    <t>WhatsApp referrals</t>
  </si>
  <si>
    <t>Google search</t>
  </si>
  <si>
    <t>Meta ads</t>
  </si>
  <si>
    <t>NRI communities</t>
  </si>
  <si>
    <t>Corporate employee programs</t>
  </si>
  <si>
    <t>Resident welfare associations</t>
  </si>
  <si>
    <t>21. Customer Referral Engine — Compare Referral CAC with Paid Acquisition</t>
  </si>
  <si>
    <t>Referral Credit</t>
  </si>
  <si>
    <t>Contribution After Referral — 1 Journey</t>
  </si>
  <si>
    <t>Contribution After Referral — 4 Journeys</t>
  </si>
  <si>
    <t>Vs Paid CAC</t>
  </si>
  <si>
    <t>Signal</t>
  </si>
  <si>
    <t>22–23. Target Profit + Lowest-Risk Combination — Price, Volume, Repeat &amp; Cost Together</t>
  </si>
  <si>
    <t>Hourly Rate</t>
  </si>
  <si>
    <t>Journey Fee</t>
  </si>
  <si>
    <t>Avg Journeys / Customer</t>
  </si>
  <si>
    <t>Risk / Complexity</t>
  </si>
  <si>
    <t>RISK-ADJUSTED RECOMMENDATION</t>
  </si>
  <si>
    <t>Low-price / high-volume</t>
  </si>
  <si>
    <t>Recommended lowest-risk strategy</t>
  </si>
  <si>
    <t>Moderate-price / moderate-volume</t>
  </si>
  <si>
    <t>Projected monthly profit</t>
  </si>
  <si>
    <t>Premium / lower-volume</t>
  </si>
  <si>
    <t>Lean-cost strategy</t>
  </si>
  <si>
    <t>Recurring-care strategy</t>
  </si>
  <si>
    <t>Selected target profit gap</t>
  </si>
  <si>
    <t>Hybrid strategy</t>
  </si>
  <si>
    <t>24. 25 → 50 → 100 → 250 → 500 Journey Roadmap</t>
  </si>
  <si>
    <t>Approx Customers</t>
  </si>
  <si>
    <t>Customer Revenue</t>
  </si>
  <si>
    <t>CAC Spend</t>
  </si>
  <si>
    <t>What Must Be Proven</t>
  </si>
  <si>
    <t>Willingness to pay + service quality + actual journey cost</t>
  </si>
  <si>
    <t>Repeatability + first referral behavior</t>
  </si>
  <si>
    <t>Whitefield density + repeat demand + Angel utilization</t>
  </si>
  <si>
    <t>Lean scale economics + structured ops + controlled CAC</t>
  </si>
  <si>
    <t>Cluster expansion readiness + repeatable unit economics</t>
  </si>
  <si>
    <t>25. Hiring Triggers — The Workbook Says HIRE or WAIT</t>
  </si>
  <si>
    <t>Trigger Type</t>
  </si>
  <si>
    <t>Current Metric</t>
  </si>
  <si>
    <t>HIRE / WAIT</t>
  </si>
  <si>
    <t>New Angel Capacity</t>
  </si>
  <si>
    <t>Operations Manager</t>
  </si>
  <si>
    <t>Technology Team</t>
  </si>
  <si>
    <t>26. Cash Runway — Journey Growth, Fixed-Cost Step-Ups &amp; Self-Sustainability</t>
  </si>
  <si>
    <t>Operating Profit / (Loss)</t>
  </si>
  <si>
    <t>RUNWAY KPI</t>
  </si>
  <si>
    <t>UNIT</t>
  </si>
  <si>
    <t>Starting deployable cash</t>
  </si>
  <si>
    <t>₹</t>
  </si>
  <si>
    <t>Opening cash + founder capital - setup</t>
  </si>
  <si>
    <t>Month-12 ending cash</t>
  </si>
  <si>
    <t>Cash after 12 months</t>
  </si>
  <si>
    <t>Month #</t>
  </si>
  <si>
    <t>If exact match not found, target status may appear first</t>
  </si>
  <si>
    <t>First target-profit month</t>
  </si>
  <si>
    <t>Depends on selected target profit</t>
  </si>
  <si>
    <t>Additional capital required</t>
  </si>
  <si>
    <t>Minimum additional cash to avoid negative balance</t>
  </si>
  <si>
    <t>Profit Target Ladder — Break-even → ₹1L → ₹3L → ₹5L → ₹10L → ₹50L → ₹1Cr Monthly Profit</t>
  </si>
  <si>
    <t>Monthly Profit Target</t>
  </si>
  <si>
    <t>Required Monthly Contribution</t>
  </si>
  <si>
    <t>Required Journeys / Month</t>
  </si>
  <si>
    <t>Required Journeys / Day</t>
  </si>
  <si>
    <t>Required Leads / Day</t>
  </si>
  <si>
    <t>Fixed-Cost Ceiling at Current Volume</t>
  </si>
  <si>
    <t>MODEL NOTE — Pricing, conversion, CAC, repeat-rate, channel, membership and density assumptions are founder planning hypotheses, not verified market facts. The workbook deliberately does not force ₹299/hour to win: the recommended price changes only when the editable conversion assumptions justify the lower price. Validate GST, invoicing and transport principal/agent treatment with CA/legal counsel.</t>
  </si>
  <si>
    <t>1</t>
  </si>
  <si>
    <t>2</t>
  </si>
  <si>
    <t>Angels</t>
  </si>
  <si>
    <t>Customer</t>
  </si>
  <si>
    <t>Service Selector Source</t>
  </si>
  <si>
    <t>Hour Options</t>
  </si>
  <si>
    <t>Hospital Visit — Concierge at Hospital</t>
  </si>
  <si>
    <t>Selected Hours</t>
  </si>
  <si>
    <t>Contribution Before Fixed Costs</t>
  </si>
  <si>
    <t>Case 1</t>
  </si>
  <si>
    <t>Case 2</t>
  </si>
  <si>
    <t>Pass-through Cab Amount</t>
  </si>
  <si>
    <t>Contribution / Service Hour</t>
  </si>
  <si>
    <t>Medical Tourism — Concierge Package (24 HR Basis)</t>
  </si>
  <si>
    <t>Target Fully Loaded Angel Cost / Hr</t>
  </si>
  <si>
    <t>Transport Coordination Fee</t>
  </si>
  <si>
    <t>Net care revenue + net transport coordination revenue.</t>
  </si>
  <si>
    <t>Ops / Support Allocation</t>
  </si>
  <si>
    <t>Insurance / Risk Reserve</t>
  </si>
  <si>
    <t>BGV + Training Allocation</t>
  </si>
  <si>
    <t>Per-journey BGV/training allocation.</t>
  </si>
  <si>
    <t>Incremental Angel Cost</t>
  </si>
  <si>
    <t>Total Variable Delivery Cost</t>
  </si>
  <si>
    <t>Calculation</t>
  </si>
  <si>
    <t>Billable Hours</t>
  </si>
  <si>
    <t>Legacy 4-hour threshold</t>
  </si>
  <si>
    <t>Base Hourly Rate</t>
  </si>
  <si>
    <t>Care Coordination Fee</t>
  </si>
  <si>
    <t>Change only blue numbers. Change any input and service profitability updates automatically. NC loyalty assumptions are controlled separately in the 'NC Credits' sheet.</t>
  </si>
  <si>
    <t>Governance</t>
  </si>
  <si>
    <t>Base customer charge per concierge hour</t>
  </si>
  <si>
    <t>Linked to Global Pricing Config — active master base hourly rate</t>
  </si>
  <si>
    <t>Founder Assumption</t>
  </si>
  <si>
    <t>Market Test / CA Confirmation</t>
  </si>
  <si>
    <t>Market Test</t>
  </si>
  <si>
    <t>Legacy extended-hour price (inactive)</t>
  </si>
  <si>
    <t>Historical assumption only. Not used in current MVP pricing engine.</t>
  </si>
  <si>
    <t>Minimum booking hours (MVP1)</t>
  </si>
  <si>
    <t>Linked to MVP1 Pricing &amp; SKU</t>
  </si>
  <si>
    <t>PAYROLL ANGEL ECONOMICS</t>
  </si>
  <si>
    <t>Active payroll Angels</t>
  </si>
  <si>
    <t>Initial payroll team assumption</t>
  </si>
  <si>
    <t>Monthly salary / Angel</t>
  </si>
  <si>
    <t>₹ / Angel / month</t>
  </si>
  <si>
    <t>Based on founder working plan</t>
  </si>
  <si>
    <t>Angel working days / month</t>
  </si>
  <si>
    <t>days</t>
  </si>
  <si>
    <t>Scheduled hours / Angel / day</t>
  </si>
  <si>
    <t>Target productive utilization</t>
  </si>
  <si>
    <t>Planning utilization target</t>
  </si>
  <si>
    <t>Monthly Angel payroll</t>
  </si>
  <si>
    <t>₹ / month</t>
  </si>
  <si>
    <t>Derived Formula</t>
  </si>
  <si>
    <t>Active payroll Angels × salary / Angel</t>
  </si>
  <si>
    <t>Available Angel hours / month</t>
  </si>
  <si>
    <t>hours / month</t>
  </si>
  <si>
    <t>Angels × days × scheduled hours</t>
  </si>
  <si>
    <t>Target productive Angel hours / month</t>
  </si>
  <si>
    <t>Available hours × target utilization</t>
  </si>
  <si>
    <t>Target fully loaded Angel cost / productive hour</t>
  </si>
  <si>
    <t>₹ / productive hour</t>
  </si>
  <si>
    <t>Payroll ÷ target productive hours</t>
  </si>
  <si>
    <t>Current productive Angel hours / month</t>
  </si>
  <si>
    <t>Current completed journeys × weighted avg duration</t>
  </si>
  <si>
    <t>Current fully loaded Angel cost / productive hour</t>
  </si>
  <si>
    <t>Payroll ÷ current productive hours</t>
  </si>
  <si>
    <t>NivrāaCare — Dynamic Service Unit Economics | Incremental vs Fully Loaded Contribution</t>
  </si>
  <si>
    <t>Edit BLUE input cells (hours, service multiplier, fixed premium, Angel count, and optional overrides). MVP-1 pricing is controlled from 'MVP1 Pricing &amp; SKU'; expected NC loyalty cost is controlled from 'NC Credits'. Overnight / very-long-duration rows are marked manual.</t>
  </si>
  <si>
    <t>Effective Service Rate / Hr</t>
  </si>
  <si>
    <t>Customer Service Price
(Incl GST; ₹299 × multiplier × billable hours + ₹199 fee)</t>
  </si>
  <si>
    <t>CASE 1 Variable Delivery Cost</t>
  </si>
  <si>
    <t>CASE 1 Contribution Before Fixed Costs</t>
  </si>
  <si>
    <t>CASE 1 Contribution Margin</t>
  </si>
  <si>
    <t>Net Transport Coordination Contribution</t>
  </si>
  <si>
    <t>CASE 2 Total Direct Cash Cost</t>
  </si>
  <si>
    <t>CASE 2 Contribution Before Fixed Costs</t>
  </si>
  <si>
    <t>CASE 2 Contribution Margin</t>
  </si>
  <si>
    <t>Contribution / Service Hour C1</t>
  </si>
  <si>
    <t>Contribution / Service Hour C2</t>
  </si>
  <si>
    <t>Expected NC Loyalty Cost</t>
  </si>
  <si>
    <t>Pricing Mode</t>
  </si>
  <si>
    <t>Incremental Angel Cost / Hr</t>
  </si>
  <si>
    <t>Target Fully Loaded Angel Cost</t>
  </si>
  <si>
    <t>CASE 1 Fully Loaded Contribution</t>
  </si>
  <si>
    <t>CASE 1 Fully Loaded Margin</t>
  </si>
  <si>
    <t>CASE 2 Fully Loaded Contribution</t>
  </si>
  <si>
    <t>CASE 2 Fully Loaded Margin</t>
  </si>
  <si>
    <t>Fully Loaded Contribution / Angel Hr</t>
  </si>
  <si>
    <t>Recurring / Strategic Potential</t>
  </si>
  <si>
    <t>Multiplier Reason</t>
  </si>
  <si>
    <t>Full journey: home → facility → return / safe handover</t>
  </si>
  <si>
    <t>Hospital-only support; reduced travel and handover responsibility</t>
  </si>
  <si>
    <t>Shorter, lower-complexity outpatient journey</t>
  </si>
  <si>
    <t>Generally simpler navigation / diagnostic-only workflow</t>
  </si>
  <si>
    <t>Structured preventive-care journey; moderate coordination</t>
  </si>
  <si>
    <t>Higher coordination, documentation and handoff complexity</t>
  </si>
  <si>
    <t>Higher coordination and post-discharge handover responsibility</t>
  </si>
  <si>
    <t>Long-duration service; manual pricing should supersede multiplier</t>
  </si>
  <si>
    <t>Long-duration service; manual shift pricing</t>
  </si>
  <si>
    <t>Procedure-day complexity and extended coordination</t>
  </si>
  <si>
    <t>Preparation, records and multi-party coordination</t>
  </si>
  <si>
    <t>Standard follow-up journey with moderate coordination</t>
  </si>
  <si>
    <t>Recurring-service pricing; predictable workflow</t>
  </si>
  <si>
    <t>Recurring but higher emotional / coordination intensity</t>
  </si>
  <si>
    <t>Recurring treatment with relatively standardized workflow</t>
  </si>
  <si>
    <t>Recurring, lower-complexity visit</t>
  </si>
  <si>
    <t>Recurring care; predictable repeat workflow</t>
  </si>
  <si>
    <t>Premium family coordination, updates and trust layer</t>
  </si>
  <si>
    <t>Coordination-heavy but limited physical journey complexity</t>
  </si>
  <si>
    <t>Remote / low travel intensity</t>
  </si>
  <si>
    <t>Administrative coordination; limited physical accompaniment</t>
  </si>
  <si>
    <t>Administrative coordination with moderate complexity</t>
  </si>
  <si>
    <t>Higher coordination and transfer responsibility</t>
  </si>
  <si>
    <t>Transfer coordination with moderate risk and handover</t>
  </si>
  <si>
    <t>Urgent coordination premium; higher operational readiness</t>
  </si>
  <si>
    <t>Coordination service; limited accompaniment</t>
  </si>
  <si>
    <t>Future / manual packaged pricing; not standard MVP hourly logic</t>
  </si>
  <si>
    <t>Low-complexity administrative / fulfilment coordination</t>
  </si>
  <si>
    <t>Communication-focused support; no full physical journey</t>
  </si>
  <si>
    <t>NivrāaCare — Profit Maximizer &amp; CFO Decision Support | Fully Loaded View</t>
  </si>
  <si>
    <t>Ranks modeled economics after payroll allocation while preserving recurring potential and operational complexity. Manual-priced overnight / 24h services are excluded from automatic 'highest' insights.</t>
  </si>
  <si>
    <t>Highest modeled eligible contribution / journey</t>
  </si>
  <si>
    <t>Fully loaded blended contribution</t>
  </si>
  <si>
    <t>Highest modeled eligible contribution / Angel hour</t>
  </si>
  <si>
    <t>Highest recurring strategic potential</t>
  </si>
  <si>
    <t>Potential score</t>
  </si>
  <si>
    <t>Lowest fully loaded margin service</t>
  </si>
  <si>
    <t>Fully loaded margin</t>
  </si>
  <si>
    <t>Service Profitability &amp; Capacity Ranking — Incremental + Fully Loaded Views</t>
  </si>
  <si>
    <t>Model Score</t>
  </si>
  <si>
    <t>Optimized Mix %</t>
  </si>
  <si>
    <t>Case 1 Fully Loaded Contribution</t>
  </si>
  <si>
    <t>Case 2 Fully Loaded Contribution</t>
  </si>
  <si>
    <t>Portfolio</t>
  </si>
  <si>
    <t>Auto-Rank Blended Contribution</t>
  </si>
  <si>
    <t>Auto-Rank Contribution / Angel Hr</t>
  </si>
  <si>
    <t>Portfolio multiplier factor</t>
  </si>
  <si>
    <t>NivrāaCare — Growth, Pricing &amp; Profitability Strategy | Founder CFO Decision Engine</t>
  </si>
  <si>
    <t>Objective: optimize Price → Conversion → Customers → Repeat Usage → Monthly Journeys → Angel Utilization → Contribution → Fixed-Cost Coverage → EBITDA → Cash Runway.</t>
  </si>
  <si>
    <t>Selected base hourly rate</t>
  </si>
  <si>
    <t>Journey / coordination fee</t>
  </si>
  <si>
    <t>MVP-1 first 4 hours; central pricing input</t>
  </si>
  <si>
    <t>Care journey activation / coordination fee</t>
  </si>
  <si>
    <t>Minimum billable hours</t>
  </si>
  <si>
    <t>Customer billing minimum</t>
  </si>
  <si>
    <t>Legacy reference only; not used in active pricing.</t>
  </si>
  <si>
    <t>NivrāaCredit earn rate</t>
  </si>
  <si>
    <t>Expected NC cost / journey</t>
  </si>
  <si>
    <t>Monthly expected NC cost</t>
  </si>
  <si>
    <t>NC face value issued / month</t>
  </si>
  <si>
    <t>Lean MVP fixed cost incl. payroll Angel salaries</t>
  </si>
  <si>
    <t>Reference threshold only; all hours use the same base hourly rate × service multiplier.</t>
  </si>
  <si>
    <t>1–2. MVP-1 Base Hourly Pricing + Duration Economics</t>
  </si>
  <si>
    <t>Contribution %</t>
  </si>
  <si>
    <t>3. MVP-1 Pricing Comparison — Planning Sensitivity</t>
  </si>
  <si>
    <t>Scenario</t>
  </si>
  <si>
    <t>Additional-Hour Base Rate</t>
  </si>
  <si>
    <t>Conversion Assumption</t>
  </si>
  <si>
    <t>Avg Customer Care Bill</t>
  </si>
  <si>
    <t>Expected Monthly Profit / (Loss)</t>
  </si>
  <si>
    <t>MVP1 SELECTED SUMMARY</t>
  </si>
  <si>
    <t>₹249 all hours</t>
  </si>
  <si>
    <t>Base hourly rate</t>
  </si>
  <si>
    <t>₹299 all hours — CURRENT</t>
  </si>
  <si>
    <t>Base hourly rate — all hours</t>
  </si>
  <si>
    <t>₹349 all hours</t>
  </si>
  <si>
    <t>Journey fee</t>
  </si>
  <si>
    <t>₹399 all hours</t>
  </si>
  <si>
    <t>₹449 all hours</t>
  </si>
  <si>
    <t>4. Price vs Conversion — Base Hourly Rate Sensitivity</t>
  </si>
  <si>
    <t>Demand Journeys</t>
  </si>
  <si>
    <t>Profit Rank</t>
  </si>
  <si>
    <t>MVP1 selected base hourly rate</t>
  </si>
  <si>
    <t>MVP1 additional-hour base rate</t>
  </si>
  <si>
    <t>MVP1 journey fee</t>
  </si>
  <si>
    <t>Modeled best base hourly rate under current assumptions</t>
  </si>
  <si>
    <t>Interpretation</t>
  </si>
  <si>
    <t>Sensitivity only — do not change MVP-1 pricing until real conversion and repeat data is available.</t>
  </si>
  <si>
    <t>Paid CAC + subsidy + referral + NC promotional credits</t>
  </si>
  <si>
    <t>Welcome NC promotional value</t>
  </si>
  <si>
    <t>Loyalty acquisition</t>
  </si>
  <si>
    <t>Future; 0 at MVP launch</t>
  </si>
  <si>
    <t>Referral NC promotional value</t>
  </si>
  <si>
    <t>NivrāaCare — NivrāaCredits Loyalty Economics</t>
  </si>
  <si>
    <t>Founder-configurable loyalty model. Credits are earned on eligible NivrāaCare care-service spend, exclude transport/pass-through charges, and are issued only after successful journey completion.</t>
  </si>
  <si>
    <t>NC CREDIT PROGRAM ASSUMPTIONS — EDIT BLUE INPUTS</t>
  </si>
  <si>
    <t>Program enabled (1=ON, 0=OFF)</t>
  </si>
  <si>
    <t>toggle</t>
  </si>
  <si>
    <t>Set to 0 to switch NC economics off without deleting formulas.</t>
  </si>
  <si>
    <t>% of eligible spend</t>
  </si>
  <si>
    <t>₹ value per 1 NivrāaCredit</t>
  </si>
  <si>
    <t>₹ / NC</t>
  </si>
  <si>
    <t>Current planning rule: 1 NivrāaCredit = ₹1 redemption value.</t>
  </si>
  <si>
    <t>Expected redemption rate</t>
  </si>
  <si>
    <t>% of issued value</t>
  </si>
  <si>
    <t>Planning assumption for expected economic cost / breakage.</t>
  </si>
  <si>
    <t>Maximum redemption per booking</t>
  </si>
  <si>
    <t>% of eligible service value</t>
  </si>
  <si>
    <t>Protects contribution; customer cannot fully pay a journey with NC.</t>
  </si>
  <si>
    <t>Credit expiry</t>
  </si>
  <si>
    <t>Planning policy; legal/accounting wording to be finalized before launch.</t>
  </si>
  <si>
    <t>Welcome NC (future)</t>
  </si>
  <si>
    <t>NC / new family</t>
  </si>
  <si>
    <t>Default 0 for MVP. If activated, treated as CAC.</t>
  </si>
  <si>
    <t>Referral NC reward (future)</t>
  </si>
  <si>
    <t>NC / successful referral</t>
  </si>
  <si>
    <t>Eligible spend factor</t>
  </si>
  <si>
    <t>% of eligible care-service spend</t>
  </si>
  <si>
    <t>100% of eligible care-service amount; transport, cab reimbursement and third-party pass-through excluded.</t>
  </si>
  <si>
    <t>Earn trigger</t>
  </si>
  <si>
    <t>Completed journey only</t>
  </si>
  <si>
    <t>policy</t>
  </si>
  <si>
    <t>Issue NC only after successful journey completion / closure.</t>
  </si>
  <si>
    <t>Expected loyalty cost rate</t>
  </si>
  <si>
    <t>₹ expected cost / ₹ eligible net revenue</t>
  </si>
  <si>
    <t>Equivalent expected loyalty cost rate applied to net care revenue. Gross eligible spend × Earn Rate × Expected Redemption.</t>
  </si>
  <si>
    <t>Face-value issuance rate</t>
  </si>
  <si>
    <t>₹ face value / ₹ eligible net revenue</t>
  </si>
  <si>
    <t>Equivalent face-value issuance rate applied to net care revenue. Gross eligible spend × Earn Rate.</t>
  </si>
  <si>
    <t>CURRENT SELECTED MODEL IMPACT — LINKED TO GROWTH &amp; PRICING STRATEGY</t>
  </si>
  <si>
    <t>Average customer care bill (incl. GST)</t>
  </si>
  <si>
    <t>Selected pricing engine gross care bill.</t>
  </si>
  <si>
    <t>Eligible care-service spend (customer billing basis)</t>
  </si>
  <si>
    <t>Care-service customer billing amount used for Credit earning; transport/pass-through excluded.</t>
  </si>
  <si>
    <t>NC earned / journey</t>
  </si>
  <si>
    <t>NC</t>
  </si>
  <si>
    <t>Face-value credits issued after completed journey.</t>
  </si>
  <si>
    <t>Face value issued / journey</t>
  </si>
  <si>
    <t>NC earned × ₹ value per NC.</t>
  </si>
  <si>
    <t>Expected redeemed NC cost / journey</t>
  </si>
  <si>
    <t>Face value × expected redemption rate.</t>
  </si>
  <si>
    <t>Pre-NC blended contribution / journey</t>
  </si>
  <si>
    <t>Contribution before loyalty cost.</t>
  </si>
  <si>
    <t>Post-NC blended contribution / journey</t>
  </si>
  <si>
    <t>Contribution after expected NC cost.</t>
  </si>
  <si>
    <t>Expected redemption cost at current completed journeys.</t>
  </si>
  <si>
    <t>Monthly NC face value issued</t>
  </si>
  <si>
    <t>Nominal NC issued at current completed journeys.</t>
  </si>
  <si>
    <t>Monthly operating profit after NC</t>
  </si>
  <si>
    <t>Linked to the NC-adjusted growth model.</t>
  </si>
  <si>
    <t>Break-even journeys / day after NC</t>
  </si>
  <si>
    <t>journeys / day</t>
  </si>
  <si>
    <t>NC-adjusted break-even.</t>
  </si>
  <si>
    <t>Contribution reduction from NC</t>
  </si>
  <si>
    <t>Expected NC cost ÷ pre-NC contribution.</t>
  </si>
  <si>
    <t>CUSTOMER-FACING EXAMPLE — CURRENT CONFIGURATION</t>
  </si>
  <si>
    <t>Example eligible care-service spend</t>
  </si>
  <si>
    <t>Illustrative Hospital Visit care charge; transport excluded.</t>
  </si>
  <si>
    <t>NivrāaCredits earned</t>
  </si>
  <si>
    <t>Whole Credits only; round down.</t>
  </si>
  <si>
    <t>Maximum NivrāaCredits redeemable on a future eligible booking</t>
  </si>
  <si>
    <t>Based on max-redemption cap.</t>
  </si>
  <si>
    <t>Expected model cost of Credits earned</t>
  </si>
  <si>
    <t>Expected redemption value used in economics.</t>
  </si>
  <si>
    <t>Suggested customer message</t>
  </si>
  <si>
    <t>Earn NC on completed NivrāaCare journeys and use them on future eligible services.</t>
  </si>
  <si>
    <t>NIVRĀACREDIT EARN-RATE SENSITIVITY — CURRENT VOLUME &amp; PRICING</t>
  </si>
  <si>
    <t>Earn Rate</t>
  </si>
  <si>
    <t>Credits / ₹100</t>
  </si>
  <si>
    <t>Expected Cost / Journey</t>
  </si>
  <si>
    <t>Adj. Contribution / Journey</t>
  </si>
  <si>
    <t>Monthly Credit Cost</t>
  </si>
  <si>
    <t>Model note: this is an expected-cost planning model, not an accounting opinion. Confirm loyalty-credit revenue recognition, expiry, GST treatment and liability presentation with the company's CA before launch.</t>
  </si>
  <si>
    <t>NivrāaCare — MVP-1 Duration Pricing, SKU &amp; Unit Economics</t>
  </si>
  <si>
    <t>Founder pricing engine: ₹299/hour × service-specific multiplier × billable hours + ₹199 Care Coordination Fee; 2-hour minimum. Transport is separate. ₹269 is retained only as a legacy/inactive reference.</t>
  </si>
  <si>
    <t>MVP-1 PRICING &amp; ECONOMIC ASSUMPTIONS — EDIT BLUE INPUTS</t>
  </si>
  <si>
    <t>CFO CHECK — PAYROLL ANGELS</t>
  </si>
  <si>
    <t>CUSTOMER-FACING MVP-1 PRICING</t>
  </si>
  <si>
    <t>Founder MVP-1 pricing decision</t>
  </si>
  <si>
    <t>Simple hourly pricing
Base rate: ₹299/hour
× service-specific rate adjustment
Minimum booking: 2 hours
₹199 Care Coordination Fee
Transport charged separately
Additional hours continue at the same effective service rate.</t>
  </si>
  <si>
    <t>Legacy 4-hour threshold (inactive)</t>
  </si>
  <si>
    <t>Historical reference only. Current pricing uses one effective service rate across all billable hours.</t>
  </si>
  <si>
    <t>Historical ₹269 assumption. Not used in current MVP pricing engine.</t>
  </si>
  <si>
    <t>Journey / Care Coordination Fee</t>
  </si>
  <si>
    <t>Separate booking-level fee</t>
  </si>
  <si>
    <t>Linked to Global Inputs</t>
  </si>
  <si>
    <t>Linked to Global Inputs; illustrative until CA confirms</t>
  </si>
  <si>
    <t>Payment gateway fee</t>
  </si>
  <si>
    <t>% of collection</t>
  </si>
  <si>
    <t>PRICING COMPARISON — EDIT CONVERSION ASSUMPTIONS</t>
  </si>
  <si>
    <t>Ops + insurance + communication + BGV/training + recovery reserve</t>
  </si>
  <si>
    <t>Avg Customer Price</t>
  </si>
  <si>
    <t>Linked to NC Credits</t>
  </si>
  <si>
    <t>Expected NC redemption</t>
  </si>
  <si>
    <t>% of journeys</t>
  </si>
  <si>
    <t>Linked to Growth &amp; Pricing Strategy</t>
  </si>
  <si>
    <t>₹ / Case 2 journey</t>
  </si>
  <si>
    <t>Expected NC loyalty cost rate</t>
  </si>
  <si>
    <t>% of eligible net service revenue</t>
  </si>
  <si>
    <t>BASE HOURLY ECONOMIC SAFETY CHECK — 1.00x SERVICE</t>
  </si>
  <si>
    <t>LEGACY SKU LABELS — NOT USED BY PRICING API</t>
  </si>
  <si>
    <t>Base gross revenue / hour</t>
  </si>
  <si>
    <t>SKU</t>
  </si>
  <si>
    <t>Customer Label</t>
  </si>
  <si>
    <t>Duration</t>
  </si>
  <si>
    <t>Pricing Rule</t>
  </si>
  <si>
    <t>Base net revenue / hour</t>
  </si>
  <si>
    <t>NC-C2</t>
  </si>
  <si>
    <t>Standard Care</t>
  </si>
  <si>
    <t>2–4 hours</t>
  </si>
  <si>
    <t>₹299/hour × service multiplier + ₹199 journey fee</t>
  </si>
  <si>
    <t>LEGACY</t>
  </si>
  <si>
    <t>Incremental Angel cost / hour</t>
  </si>
  <si>
    <t>NC-C4+</t>
  </si>
  <si>
    <t>Extended Care</t>
  </si>
  <si>
    <t>&gt;4 hours</t>
  </si>
  <si>
    <t>Same effective hourly rate after hour 4: ₹299 × service multiplier; + ₹199 fee</t>
  </si>
  <si>
    <t>Target fully loaded Angel cost / hour</t>
  </si>
  <si>
    <t>NC-OD</t>
  </si>
  <si>
    <t>Overnight / Long Duration</t>
  </si>
  <si>
    <t>Overnight / very long</t>
  </si>
  <si>
    <t>Separate manual pricing — current hourly formula is not auto-quoted to customers</t>
  </si>
  <si>
    <t>Future / Manual Pricing</t>
  </si>
  <si>
    <t>Gateway cost / hour</t>
  </si>
  <si>
    <t>NC expected cost / hour</t>
  </si>
  <si>
    <t>Other incremental operating cost / hour</t>
  </si>
  <si>
    <t>LEGACY DURATION BREAKOUT — HISTORICAL REFERENCE ONLY</t>
  </si>
  <si>
    <t>Incremental Base-Hour Contribution</t>
  </si>
  <si>
    <t>Actual Duration (hrs)</t>
  </si>
  <si>
    <t>Legacy First 4h Ref</t>
  </si>
  <si>
    <t>Legacy Additional Hours Ref</t>
  </si>
  <si>
    <t>Hourly Service Revenue</t>
  </si>
  <si>
    <t>Gross Customer Service Price</t>
  </si>
  <si>
    <t>GST Embedded</t>
  </si>
  <si>
    <t>Gateway Cost</t>
  </si>
  <si>
    <t>NC Expected Cost</t>
  </si>
  <si>
    <t>Total Variable Cost</t>
  </si>
  <si>
    <t>Contribution Before Transport</t>
  </si>
  <si>
    <t>Fully Loaded Base-Hour Contribution</t>
  </si>
  <si>
    <t>Economic status — fully loaded</t>
  </si>
  <si>
    <t>CFO note</t>
  </si>
  <si>
    <t>₹299 is the master hourly rate. Service-specific economics depend on the multiplier; use the Pricing Engine multiplier safety table for low/high-multiplier services.</t>
  </si>
  <si>
    <t>4-hour price</t>
  </si>
  <si>
    <t>5-hour price</t>
  </si>
  <si>
    <t>6-hour price</t>
  </si>
  <si>
    <t>8-hour price</t>
  </si>
  <si>
    <t>Type</t>
  </si>
  <si>
    <t>Multiplier</t>
  </si>
  <si>
    <t>Default Duration</t>
  </si>
  <si>
    <t>Fully Loaded Contribution</t>
  </si>
  <si>
    <t>Recurring Potential</t>
  </si>
  <si>
    <t>Gross Customer Billings</t>
  </si>
  <si>
    <t>Source</t>
  </si>
  <si>
    <t>NivrāaCare — Dynamic Pricing Engine</t>
  </si>
  <si>
    <t>Select service, hours and transport. The engine calculates the customer quote, detailed price build-up and internal CFO economics from the master model.</t>
  </si>
  <si>
    <t>INPUT — QUOTE SETUP</t>
  </si>
  <si>
    <t>AUTOMATIC SERVICE &amp; PRICING LOOKUP</t>
  </si>
  <si>
    <t>MODEL LEGEND</t>
  </si>
  <si>
    <t>Quote ID</t>
  </si>
  <si>
    <t>NC-Q-0001</t>
  </si>
  <si>
    <t>Optional / editable</t>
  </si>
  <si>
    <t>Service Category</t>
  </si>
  <si>
    <t>Blue text / yellow fill</t>
  </si>
  <si>
    <t>Editable input</t>
  </si>
  <si>
    <t>Quote Date</t>
  </si>
  <si>
    <t>Auto-filled; editable if needed</t>
  </si>
  <si>
    <t>Green text</t>
  </si>
  <si>
    <t>Cross-sheet link</t>
  </si>
  <si>
    <t>Customer Name</t>
  </si>
  <si>
    <t>Optional</t>
  </si>
  <si>
    <t>Service Multiplier</t>
  </si>
  <si>
    <t>Black text</t>
  </si>
  <si>
    <t>Same-sheet formula</t>
  </si>
  <si>
    <t>Patient Name</t>
  </si>
  <si>
    <t>Default Cab Cost</t>
  </si>
  <si>
    <t>Created By</t>
  </si>
  <si>
    <t>Pricing Mode / SKU</t>
  </si>
  <si>
    <t>Expected NC Loyalty Cost Rate</t>
  </si>
  <si>
    <t>Select Service</t>
  </si>
  <si>
    <t>Choose from active service catalogue</t>
  </si>
  <si>
    <t>1.0 to 24.0 hours in 0.5-hour increments</t>
  </si>
  <si>
    <t>Transport Required?</t>
  </si>
  <si>
    <t>Choose who arranges transport</t>
  </si>
  <si>
    <t>Minimum Booking Hours</t>
  </si>
  <si>
    <t>Estimated Cab Fare</t>
  </si>
  <si>
    <t>Defaults to Global Inputs; can be overwritten</t>
  </si>
  <si>
    <t>Founder Price Override (₹)</t>
  </si>
  <si>
    <t>Leave blank to use calculated price</t>
  </si>
  <si>
    <t>Effective Service Rate</t>
  </si>
  <si>
    <t>Override Reason</t>
  </si>
  <si>
    <t>Launch offer / corporate agreement / service recovery / founder-approved discount</t>
  </si>
  <si>
    <t>NivrāaCredit Discount (₹)</t>
  </si>
  <si>
    <t>Rupee discount supplied by the app/backend after converting redeemed NivrāaCredits. 1 NivrāaCredit = current configured ₹ value.</t>
  </si>
  <si>
    <t>Care GST</t>
  </si>
  <si>
    <t>Default Cab Estimate</t>
  </si>
  <si>
    <t>Service Code</t>
  </si>
  <si>
    <t>NIVRĀACARE JOURNEY ESTIMATE</t>
  </si>
  <si>
    <t>PRINTABLE CUSTOMER QUOTE</t>
  </si>
  <si>
    <t>NivrāaCare Service Charge</t>
  </si>
  <si>
    <t>Patient</t>
  </si>
  <si>
    <t>Care Charge Before Credits</t>
  </si>
  <si>
    <t>NivrāaCredit Discount</t>
  </si>
  <si>
    <t>Care Charge After Credits</t>
  </si>
  <si>
    <t>Estimated Duration</t>
  </si>
  <si>
    <t>Third-Party Cab Estimate</t>
  </si>
  <si>
    <t>PRICE SUMMARY</t>
  </si>
  <si>
    <t>Transport Total</t>
  </si>
  <si>
    <t>Care Service Before Credits</t>
  </si>
  <si>
    <t>NivrāaCredit Discount Applied</t>
  </si>
  <si>
    <t>NIVRĀACREDITS EARNED</t>
  </si>
  <si>
    <t>Estimated Third-Party Cab</t>
  </si>
  <si>
    <t>Transport Coordination</t>
  </si>
  <si>
    <t>INTERNAL PRICING CALCULATION — NOT CUSTOMER FACING</t>
  </si>
  <si>
    <t>TOTAL PAYABLE</t>
  </si>
  <si>
    <t>Pricing Component</t>
  </si>
  <si>
    <t>Internal Explanation</t>
  </si>
  <si>
    <t>FOUNDER FORMULA</t>
  </si>
  <si>
    <t>NivrāaCredits Earned</t>
  </si>
  <si>
    <t>Booking input</t>
  </si>
  <si>
    <t>Actual requested journey duration.</t>
  </si>
  <si>
    <t>Billable Hours × Effective Service Rate</t>
  </si>
  <si>
    <t>Hourly service charge before the fixed coordination fee.</t>
  </si>
  <si>
    <t>Master pricing configuration</t>
  </si>
  <si>
    <t>Fixed once per journey.</t>
  </si>
  <si>
    <t>Standard Calculated Care Price</t>
  </si>
  <si>
    <t>Service Charge + Coordination Fee</t>
  </si>
  <si>
    <t>Standard price before override or Credit redemption.</t>
  </si>
  <si>
    <t>Approved override if present; otherwise standard price</t>
  </si>
  <si>
    <t>Price used before redeemed NivrāaCredits.</t>
  </si>
  <si>
    <t>Requested NivrāaCredit Discount</t>
  </si>
  <si>
    <t>Input from app/backend</t>
  </si>
  <si>
    <t>Requested rupee discount after app converts Credits to ₹.</t>
  </si>
  <si>
    <t>Pricing Status</t>
  </si>
  <si>
    <t>Maximum Allowed Credit Discount</t>
  </si>
  <si>
    <t>Care Price × Max Redemption %</t>
  </si>
  <si>
    <t>Founder-configurable redemption cap.</t>
  </si>
  <si>
    <t>NIVRĀACREDITS — CURRENT BILL</t>
  </si>
  <si>
    <t>MIN(Requested, Max Allowed, Care Price)</t>
  </si>
  <si>
    <t>Actual Credit discount used in billing.</t>
  </si>
  <si>
    <t>Eligible Credit-Earning Spend</t>
  </si>
  <si>
    <t>Final Care Charge After Credits</t>
  </si>
  <si>
    <t>Care Price Before Credits − Discount Applied</t>
  </si>
  <si>
    <t>Eligible care-service amount actually paid.</t>
  </si>
  <si>
    <t>Current NivrāaCredit Earn Rate</t>
  </si>
  <si>
    <t>Credit Discount Applied — API Output</t>
  </si>
  <si>
    <t>API response field</t>
  </si>
  <si>
    <t>Explicit API output.</t>
  </si>
  <si>
    <t>Credits Earned per ₹100</t>
  </si>
  <si>
    <t>Final Care Charge — API Output</t>
  </si>
  <si>
    <t>Final customer care amount after Credits.</t>
  </si>
  <si>
    <t>Raw Credits Earned</t>
  </si>
  <si>
    <t>GST Embedded in Final Care Charge</t>
  </si>
  <si>
    <t>Final Care Charge − Net Care Revenue</t>
  </si>
  <si>
    <t>Internal tax view.</t>
  </si>
  <si>
    <t>NivrāaCredits Earned on This Bill</t>
  </si>
  <si>
    <t>Final Care Charge ÷ (1 + GST)</t>
  </si>
  <si>
    <t>Internal revenue view.</t>
  </si>
  <si>
    <t>Loyalty Status</t>
  </si>
  <si>
    <t>Cab Estimate + Transport Coordination Fee</t>
  </si>
  <si>
    <t>Transport is separate from care pricing.</t>
  </si>
  <si>
    <t>Total Customer Payable</t>
  </si>
  <si>
    <t>Final Care Charge + Transport Total</t>
  </si>
  <si>
    <t>Final customer amount.</t>
  </si>
  <si>
    <t>INTERNAL LOYALTY ECONOMICS — NOT CUSTOMER FACING</t>
  </si>
  <si>
    <t>INTERNAL CFO VIEW — NOT CUSTOMER FACING</t>
  </si>
  <si>
    <t>Face Value of Credits Issued</t>
  </si>
  <si>
    <t>CFO Metric</t>
  </si>
  <si>
    <t>Amount / Rate</t>
  </si>
  <si>
    <t>Formula / Interpretation</t>
  </si>
  <si>
    <t>PRICE OVERRIDE &amp; DISCOUNT SAFETY</t>
  </si>
  <si>
    <t>Expected Redemption Rate</t>
  </si>
  <si>
    <t>Final care charge after Credits + transport customer collection.</t>
  </si>
  <si>
    <t>Standard Calculated Price</t>
  </si>
  <si>
    <t>Expected Loyalty Cost</t>
  </si>
  <si>
    <t>GST — Final Care Service</t>
  </si>
  <si>
    <t>GST embedded in final care charge after NivrāaCredit redemption.</t>
  </si>
  <si>
    <t>Override Price</t>
  </si>
  <si>
    <t>Loyalty Cost % of Net Care Revenue</t>
  </si>
  <si>
    <t>Net Care Revenue After Credits</t>
  </si>
  <si>
    <t>Care revenue after NivrāaCredit discount and GST removal.</t>
  </si>
  <si>
    <t>Discount / Premium</t>
  </si>
  <si>
    <t>Redemption Status</t>
  </si>
  <si>
    <t>Transport Coordination Revenue</t>
  </si>
  <si>
    <t>Coordination fee net of any applicable coordination-fee GST.</t>
  </si>
  <si>
    <t>Discount / Premium %</t>
  </si>
  <si>
    <t>Third-party cab reimbursement; not operating revenue.</t>
  </si>
  <si>
    <t>Contribution Before Override</t>
  </si>
  <si>
    <t>Contribution After Override + Credits</t>
  </si>
  <si>
    <t>Payment Gateway Cost</t>
  </si>
  <si>
    <t>Gateway fee on collected customer billings + fixed transaction fee.</t>
  </si>
  <si>
    <t>Contribution Impact vs Standard</t>
  </si>
  <si>
    <t>Per-journey operating/support allocation.</t>
  </si>
  <si>
    <t>Margin Before Override</t>
  </si>
  <si>
    <t>Per-journey risk reserve.</t>
  </si>
  <si>
    <t>Margin After Override + Credits</t>
  </si>
  <si>
    <t>Communication Cost</t>
  </si>
  <si>
    <t>WhatsApp/SMS/communication allocation.</t>
  </si>
  <si>
    <t>Margin Impact vs Standard</t>
  </si>
  <si>
    <t>Discount Safety</t>
  </si>
  <si>
    <t>Refund / Recovery Reserve</t>
  </si>
  <si>
    <t>Expected service recovery reserve.</t>
  </si>
  <si>
    <t>Expected Future NivrāaCredit Cost</t>
  </si>
  <si>
    <t>Credits earned on this bill × ₹ value per Credit × expected redemption rate.</t>
  </si>
  <si>
    <t>PRICING HEALTH CHECK</t>
  </si>
  <si>
    <t>Selected hours × Angels × incremental Angel cost/hour.</t>
  </si>
  <si>
    <t>Additional booking/coordination operations cost.</t>
  </si>
  <si>
    <t>Incremental Contribution / Hour</t>
  </si>
  <si>
    <t>Sum of all variable delivery costs.</t>
  </si>
  <si>
    <t>Fully Loaded Contribution / Hour</t>
  </si>
  <si>
    <t>Net operating revenue − variable delivery cost.</t>
  </si>
  <si>
    <t>Contribution before fixed costs ÷ net operating revenue.</t>
  </si>
  <si>
    <t>NC Credits Cost</t>
  </si>
  <si>
    <t>Contribution before fixed costs ÷ selected hours.</t>
  </si>
  <si>
    <t>Fully Loaded Angel Cost</t>
  </si>
  <si>
    <t>Fully Loaded Angel Payroll</t>
  </si>
  <si>
    <t>Selected hours × Angels × current payroll cost/productive hour.</t>
  </si>
  <si>
    <t>Transport Uplift</t>
  </si>
  <si>
    <t>Contribution before fixed costs − fully loaded Angel payroll allocation.</t>
  </si>
  <si>
    <t>Fully Loaded Contribution Margin</t>
  </si>
  <si>
    <t>Fully loaded contribution ÷ net operating revenue.</t>
  </si>
  <si>
    <t>SERVICE MULTIPLIER SAFETY ANALYSIS — 5-HOUR REFERENCE JOURNEY</t>
  </si>
  <si>
    <t>Shows how service multipliers change the effective customer rate and unit economics. Reference economics use a 5-hour patient-arranged-transport journey, 1 Angel, current variable-cost assumptions and current fully loaded Angel payroll cost.</t>
  </si>
  <si>
    <t>Effective Hourly Rate</t>
  </si>
  <si>
    <t>4h Care Price</t>
  </si>
  <si>
    <t>5h Care Price</t>
  </si>
  <si>
    <t>6h Care Price</t>
  </si>
  <si>
    <t>5h Contribution / Hr</t>
  </si>
  <si>
    <t>5h Fully Loaded Contribution / Hr</t>
  </si>
  <si>
    <t>Financial Status</t>
  </si>
  <si>
    <t>NivrāaCare — Global Pricing Config</t>
  </si>
  <si>
    <t>Canonical business configuration for the Pricing API. Change blue inputs here; operational pricing sheets link back to this source.</t>
  </si>
  <si>
    <t>Config Key</t>
  </si>
  <si>
    <t>Customer/Internal</t>
  </si>
  <si>
    <t>Current Purpose</t>
  </si>
  <si>
    <t>base_hourly_rate</t>
  </si>
  <si>
    <t>Internal</t>
  </si>
  <si>
    <t>Base rate before service multiplier</t>
  </si>
  <si>
    <t>Founder</t>
  </si>
  <si>
    <t>minimum_billable_hours</t>
  </si>
  <si>
    <t>Minimum chargeable journey duration</t>
  </si>
  <si>
    <t>care_coordination_fee</t>
  </si>
  <si>
    <t>Customer-safe output</t>
  </si>
  <si>
    <t>Fixed journey coordination fee</t>
  </si>
  <si>
    <t>care_gst_rate</t>
  </si>
  <si>
    <t>Care-service GST assumption; confirm with CA</t>
  </si>
  <si>
    <t>CA / Founder</t>
  </si>
  <si>
    <t>transport_coordination_fee</t>
  </si>
  <si>
    <t>Transport booking/coordination fee</t>
  </si>
  <si>
    <t>default_cab_estimate</t>
  </si>
  <si>
    <t>Internal default</t>
  </si>
  <si>
    <t>Editable quote default only</t>
  </si>
  <si>
    <t>credit_program_enabled</t>
  </si>
  <si>
    <t>1/0</t>
  </si>
  <si>
    <t>Master NivrāaCredits switch</t>
  </si>
  <si>
    <t>credit_earn_rate</t>
  </si>
  <si>
    <t>Internal config</t>
  </si>
  <si>
    <t>Founder-configurable loyalty earn rate</t>
  </si>
  <si>
    <t>credit_value_rupees</t>
  </si>
  <si>
    <t>₹ / Credit</t>
  </si>
  <si>
    <t>1 Credit redemption value</t>
  </si>
  <si>
    <t>credit_max_redemption_percentage</t>
  </si>
  <si>
    <t>% of eligible care price</t>
  </si>
  <si>
    <t>Maximum Credits usable on one booking</t>
  </si>
  <si>
    <t>credit_expiry_days</t>
  </si>
  <si>
    <t>Current planning expiry</t>
  </si>
  <si>
    <t>Founder / Legal</t>
  </si>
  <si>
    <t>credit_expected_redemption_rate</t>
  </si>
  <si>
    <t>Internal CFO</t>
  </si>
  <si>
    <t>Expected loyalty redemption / breakage</t>
  </si>
  <si>
    <t>CFO</t>
  </si>
  <si>
    <t>NivrāaCare — Service Master</t>
  </si>
  <si>
    <t>Stable API-facing service identifiers mapped to the existing Service Economics model. Human-readable service names may change; service_code should remain stable.</t>
  </si>
  <si>
    <t>service_code</t>
  </si>
  <si>
    <t>service_name</t>
  </si>
  <si>
    <t>category</t>
  </si>
  <si>
    <t>service_multiplier</t>
  </si>
  <si>
    <t>pricing_mode</t>
  </si>
  <si>
    <t>number_of_angels</t>
  </si>
  <si>
    <t>active_flag</t>
  </si>
  <si>
    <t>multiplier_reason</t>
  </si>
  <si>
    <t>HOSPITAL_VISIT</t>
  </si>
  <si>
    <t>HOSPITAL_ONLY</t>
  </si>
  <si>
    <t>CLINIC_VISIT</t>
  </si>
  <si>
    <t>DIAGNOSTIC</t>
  </si>
  <si>
    <t>HEALTH_CHECKUP</t>
  </si>
  <si>
    <t>ADMISSION</t>
  </si>
  <si>
    <t>DISCHARGE</t>
  </si>
  <si>
    <t>OVERNIGHT</t>
  </si>
  <si>
    <t>MULTI_DAY_12H</t>
  </si>
  <si>
    <t>DAY_PROCEDURE</t>
  </si>
  <si>
    <t>PRE_SURGERY</t>
  </si>
  <si>
    <t>POST_SURGERY</t>
  </si>
  <si>
    <t>DIALYSIS</t>
  </si>
  <si>
    <t>CHEMOTHERAPY</t>
  </si>
  <si>
    <t>RADIATION</t>
  </si>
  <si>
    <t>PHYSIO_REHAB</t>
  </si>
  <si>
    <t>CHRONIC_FOLLOWUP</t>
  </si>
  <si>
    <t>NRI_PARENT</t>
  </si>
  <si>
    <t>SECOND_OPINION</t>
  </si>
  <si>
    <t>TELECONSULT</t>
  </si>
  <si>
    <t>MEDICAL_RECORDS</t>
  </si>
  <si>
    <t>INSURANCE_TPA</t>
  </si>
  <si>
    <t>HOSPITAL_TRANSFER</t>
  </si>
  <si>
    <t>REHAB_TRANSFER</t>
  </si>
  <si>
    <t>URGENT_COORDINATION</t>
  </si>
  <si>
    <t>DOCTOR_HOME_COORD</t>
  </si>
  <si>
    <t>NURSE_HOME_COORD</t>
  </si>
  <si>
    <t>MEDICAL_TOURISM_24H</t>
  </si>
  <si>
    <t>PHARMACY_COORD</t>
  </si>
  <si>
    <t>FAMILY_UPDATE</t>
  </si>
  <si>
    <t>NivrāaCare — Pricing API Mapping</t>
  </si>
  <si>
    <t>Developer-facing contract for a Google-Sheets-backed pricing API. Booking facts come from the app; business configuration is retrieved centrally.</t>
  </si>
  <si>
    <t>Field Name</t>
  </si>
  <si>
    <t>Required?</t>
  </si>
  <si>
    <t>Example</t>
  </si>
  <si>
    <t>Description</t>
  </si>
  <si>
    <t>string</t>
  </si>
  <si>
    <t>API Request</t>
  </si>
  <si>
    <t>Customer-safe</t>
  </si>
  <si>
    <t>Stable service identifier.</t>
  </si>
  <si>
    <t>selected_hours</t>
  </si>
  <si>
    <t>decimal</t>
  </si>
  <si>
    <t>5</t>
  </si>
  <si>
    <t>Requested journey duration.</t>
  </si>
  <si>
    <t>transport_required</t>
  </si>
  <si>
    <t>boolean / enum</t>
  </si>
  <si>
    <t>true</t>
  </si>
  <si>
    <t>Whether NivrāaCare coordinates third-party transport.</t>
  </si>
  <si>
    <t>estimated_cab_fare</t>
  </si>
  <si>
    <t>Conditional</t>
  </si>
  <si>
    <t>500</t>
  </si>
  <si>
    <t>Required when transport is arranged; third-party estimate.</t>
  </si>
  <si>
    <t>nivraa_credit_discount_rupees</t>
  </si>
  <si>
    <t>20</t>
  </si>
  <si>
    <t>₹ value of Credits selected for redemption by the app.</t>
  </si>
  <si>
    <t>price_override_rupees</t>
  </si>
  <si>
    <t>Admin Request</t>
  </si>
  <si>
    <t>1500</t>
  </si>
  <si>
    <t>Founder/admin approved override.</t>
  </si>
  <si>
    <t>override_reason</t>
  </si>
  <si>
    <t>Launch offer</t>
  </si>
  <si>
    <t>Reason for override.</t>
  </si>
  <si>
    <t>quote_id</t>
  </si>
  <si>
    <t>Metadata</t>
  </si>
  <si>
    <t>Quote identifier.</t>
  </si>
  <si>
    <t>customer_id</t>
  </si>
  <si>
    <t>CUST-001</t>
  </si>
  <si>
    <t>Application customer ID.</t>
  </si>
  <si>
    <t>patient_id</t>
  </si>
  <si>
    <t>PAT-001</t>
  </si>
  <si>
    <t>Patient profile ID.</t>
  </si>
  <si>
    <t>created_by</t>
  </si>
  <si>
    <t>OPS-01</t>
  </si>
  <si>
    <t>Creator / system identifier.</t>
  </si>
  <si>
    <t>Global Pricing Config</t>
  </si>
  <si>
    <t>299</t>
  </si>
  <si>
    <t>Master hourly rate.</t>
  </si>
  <si>
    <t>Minimum billed duration.</t>
  </si>
  <si>
    <t>199</t>
  </si>
  <si>
    <t>Fixed journey fee.</t>
  </si>
  <si>
    <t>0.18</t>
  </si>
  <si>
    <t>Care GST assumption.</t>
  </si>
  <si>
    <t>149</t>
  </si>
  <si>
    <t>Transport coordination fee.</t>
  </si>
  <si>
    <t>boolean</t>
  </si>
  <si>
    <t>Master loyalty switch.</t>
  </si>
  <si>
    <t>0.05</t>
  </si>
  <si>
    <t>Current earn rate used to calculate Credits.</t>
  </si>
  <si>
    <t>Customer-safe rule</t>
  </si>
  <si>
    <t>₹ value of one NivrāaCredit.</t>
  </si>
  <si>
    <t>0.20</t>
  </si>
  <si>
    <t>Maximum Credits allowed on a booking.</t>
  </si>
  <si>
    <t>integer</t>
  </si>
  <si>
    <t>180</t>
  </si>
  <si>
    <t>Customer policy</t>
  </si>
  <si>
    <t>Current expiry rule.</t>
  </si>
  <si>
    <t>0.70</t>
  </si>
  <si>
    <t>Expected redemption / breakage assumption.</t>
  </si>
  <si>
    <t>Service Master</t>
  </si>
  <si>
    <t>1.00</t>
  </si>
  <si>
    <t>Service-specific pricing factor.</t>
  </si>
  <si>
    <t>AUTO</t>
  </si>
  <si>
    <t>AUTO or MANUAL.</t>
  </si>
  <si>
    <t>Operational staffing assumption.</t>
  </si>
  <si>
    <t>billable_hours</t>
  </si>
  <si>
    <t>Output</t>
  </si>
  <si>
    <t>MAX(selected_hours, minimum_billable_hours).</t>
  </si>
  <si>
    <t>effective_hourly_rate</t>
  </si>
  <si>
    <t>Base hourly rate × service multiplier.</t>
  </si>
  <si>
    <t>service_time_charge</t>
  </si>
  <si>
    <t>1495</t>
  </si>
  <si>
    <t>Billable hours × effective hourly rate.</t>
  </si>
  <si>
    <t>care_charge_before_credits</t>
  </si>
  <si>
    <t>1694</t>
  </si>
  <si>
    <t>Service time charge + coordination fee, after approved override if any.</t>
  </si>
  <si>
    <t>credit_discount_requested</t>
  </si>
  <si>
    <t>Requested Credit discount.</t>
  </si>
  <si>
    <t>credit_discount_max_allowed</t>
  </si>
  <si>
    <t>338.8</t>
  </si>
  <si>
    <t>Internal / optional</t>
  </si>
  <si>
    <t>Redemption cap.</t>
  </si>
  <si>
    <t>credit_discount_applied</t>
  </si>
  <si>
    <t>Actual Credit discount used.</t>
  </si>
  <si>
    <t>final_care_charge</t>
  </si>
  <si>
    <t>1674</t>
  </si>
  <si>
    <t>Care amount after Credits.</t>
  </si>
  <si>
    <t>cab_fare</t>
  </si>
  <si>
    <t>Third-party cab estimate.</t>
  </si>
  <si>
    <t>transport_total</t>
  </si>
  <si>
    <t>649</t>
  </si>
  <si>
    <t>Cab + transport coordination.</t>
  </si>
  <si>
    <t>total_customer_payable</t>
  </si>
  <si>
    <t>2323</t>
  </si>
  <si>
    <t>Final care charge + transport.</t>
  </si>
  <si>
    <t>eligible_credit_earning_spend</t>
  </si>
  <si>
    <t>Internal / customer explanation</t>
  </si>
  <si>
    <t>Final care charge only; transport excluded.</t>
  </si>
  <si>
    <t>nivraa_credits_earned</t>
  </si>
  <si>
    <t>83</t>
  </si>
  <si>
    <t>Whole Credits earned; rounded down.</t>
  </si>
  <si>
    <t>pricing_status</t>
  </si>
  <si>
    <t>VALID</t>
  </si>
  <si>
    <t>VALID / MANUAL PRICING REQUIRED / CREDIT DISCOUNT CAPPED.</t>
  </si>
  <si>
    <t>gst_amount</t>
  </si>
  <si>
    <t>Internal Output</t>
  </si>
  <si>
    <t>255</t>
  </si>
  <si>
    <t>GST embedded in final care charge.</t>
  </si>
  <si>
    <t>net_care_revenue</t>
  </si>
  <si>
    <t>1419</t>
  </si>
  <si>
    <t>Care revenue after GST removal.</t>
  </si>
  <si>
    <t>credit_face_value_issued</t>
  </si>
  <si>
    <t>Face value of Credits issued.</t>
  </si>
  <si>
    <t>expected_credit_redemption_cost</t>
  </si>
  <si>
    <t>58.1</t>
  </si>
  <si>
    <t>Expected future loyalty cost.</t>
  </si>
  <si>
    <t>variable_delivery_cost</t>
  </si>
  <si>
    <t>-</t>
  </si>
  <si>
    <t>Current journey variable delivery cost.</t>
  </si>
  <si>
    <t>incremental_contribution</t>
  </si>
  <si>
    <t>Contribution before fixed costs.</t>
  </si>
  <si>
    <t>fully_loaded_angel_cost</t>
  </si>
  <si>
    <t>Payroll allocation to productive Angel hours.</t>
  </si>
  <si>
    <t>fully_loaded_contribution</t>
  </si>
  <si>
    <t>Contribution after fully loaded Angel payroll.</t>
  </si>
  <si>
    <t>PRICING API — CORE CALCULATION LOGIC</t>
  </si>
  <si>
    <t>service = lookup(service_code)</t>
  </si>
  <si>
    <t>billable_hours = MAX(selected_hours, minimum_billable_hours)</t>
  </si>
  <si>
    <t>effective_hourly_rate = base_hourly_rate × service_multiplier</t>
  </si>
  <si>
    <t>service_time_charge = billable_hours × effective_hourly_rate</t>
  </si>
  <si>
    <t>standard_care_charge = service_time_charge + care_coordination_fee</t>
  </si>
  <si>
    <t>care_charge_before_credits = approved price_override if present else standard_care_charge</t>
  </si>
  <si>
    <t>credit_discount_max_allowed = care_charge_before_credits × credit_max_redemption_percentage</t>
  </si>
  <si>
    <t>credit_discount_applied = MIN(requested_credit_discount, max_allowed, care_charge_before_credits)</t>
  </si>
  <si>
    <t>final_care_charge = MAX(care_charge_before_credits − credit_discount_applied, 0)</t>
  </si>
  <si>
    <t>transport_total = transport_required ? estimated_cab_fare + transport_coordination_fee : 0</t>
  </si>
  <si>
    <t>total_customer_payable = final_care_charge + transport_total</t>
  </si>
  <si>
    <t>eligible_credit_earning_spend = final_care_charge</t>
  </si>
  <si>
    <t>credits_earned = FLOOR(eligible_credit_earning_spend × credit_earn_rate / credit_value_rupees)</t>
  </si>
  <si>
    <t>SAMPLE REQUEST — HOSPITAL VISIT, 5 HOURS, ₹20 CREDIT REDEMPTION</t>
  </si>
  <si>
    <t>SAMPLE RESPONSE</t>
  </si>
  <si>
    <t>NivrāaCare — Pricing API Test Cases</t>
  </si>
  <si>
    <t>Reference tests for developer implementation. Actual values calculate from Global Pricing Config + Service Master, so pricing changes automatically flow through the test suite.</t>
  </si>
  <si>
    <t>Case</t>
  </si>
  <si>
    <t>Transport Required</t>
  </si>
  <si>
    <t>Cab Fare</t>
  </si>
  <si>
    <t>Credit Discount Requested</t>
  </si>
  <si>
    <t>Price Override</t>
  </si>
  <si>
    <t>Expected Final Care</t>
  </si>
  <si>
    <t>Expected Transport</t>
  </si>
  <si>
    <t>Expected Total</t>
  </si>
  <si>
    <t>Expected Credits</t>
  </si>
  <si>
    <t>Actual Care</t>
  </si>
  <si>
    <t>Actual Transport</t>
  </si>
  <si>
    <t>Actual Total</t>
  </si>
  <si>
    <t>Actual Credits</t>
  </si>
  <si>
    <t>Credit Max Allowed</t>
  </si>
  <si>
    <t>Credit Applied</t>
  </si>
  <si>
    <t>Test Result</t>
  </si>
  <si>
    <t>NO</t>
  </si>
  <si>
    <t>YES</t>
  </si>
  <si>
    <t>Case 3</t>
  </si>
  <si>
    <t>Case 4</t>
  </si>
  <si>
    <t>Case 5</t>
  </si>
  <si>
    <t>Case 6</t>
  </si>
  <si>
    <t>Case 7</t>
  </si>
  <si>
    <t>Case 8</t>
  </si>
  <si>
    <t>Patient Arranges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</si>
</sst>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\₹#,##0.0;[Red]\(\₹#,##0.0\);\-"/>
    <numFmt numFmtId="165" formatCode="0.0%;[Red]\(0.0%\);\-"/>
    <numFmt numFmtId="166" formatCode="\₹#,##0;[Red]\(\₹#,##0\);\-"/>
    <numFmt numFmtId="167" formatCode="#,##0.0;[Red]\(#,##0.0\);\-"/>
    <numFmt numFmtId="168" formatCode="0.00\x"/>
    <numFmt numFmtId="169" formatCode="#,##0;[Red]\(#,##0\);\-"/>
    <numFmt numFmtId="170" formatCode="0.0"/>
    <numFmt numFmtId="171" formatCode="\₹#,##0.00;[Red]\(\₹#,##0.00\);\-"/>
    <numFmt numFmtId="172" formatCode="#,##0.00;[Red]\(#,##0.00\);\-"/>
    <numFmt numFmtId="173" formatCode="\₹0.00"/>
    <numFmt numFmtId="174" formatCode="0.0%"/>
    <numFmt numFmtId="176" formatCode="dd\-mmm\-yyyy"/>
    <numFmt numFmtId="177" formatCode="0.##"/>
    <numFmt numFmtId="178" formatCode="0.0\ &quot;hrs&quot;"/>
    <numFmt numFmtId="179" formatCode="\₹#,##0"/>
    <numFmt numFmtId="180" formatCode="\₹#,##0.00"/>
  </numFmts>
  <fonts count="48">
    <font>
      <sz val="11"/>
      <name val="Carlito"/>
    </font>
    <font>
      <b/>
      <sz val="16"/>
      <color rgb="FFFFFFFF"/>
      <name val="Carlito"/>
    </font>
    <font>
      <i/>
      <sz val="11"/>
      <color rgb="FF64736F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5"/>
      <color rgb="FFFFFFFF"/>
      <name val="Carlito"/>
    </font>
    <font>
      <b/>
      <sz val="8"/>
      <color rgb="FFFFFFFF"/>
      <name val="Carlito"/>
    </font>
    <font>
      <sz val="11"/>
      <color rgb="FF000000"/>
      <name val="Carlito"/>
    </font>
    <font>
      <sz val="11"/>
      <color rgb="FF008000"/>
      <name val="Carlito"/>
    </font>
    <font>
      <b/>
      <sz val="11"/>
      <name val="Carlito"/>
    </font>
    <font>
      <b/>
      <sz val="11"/>
      <color rgb="FF17332D"/>
      <name val="Carlito"/>
    </font>
    <font>
      <b/>
      <sz val="11"/>
      <color rgb="FF008000"/>
      <name val="Carlito"/>
    </font>
    <font>
      <b/>
      <sz val="11"/>
      <color rgb="FF000000"/>
      <name val="Carlito"/>
    </font>
    <font>
      <b/>
      <sz val="11"/>
      <color rgb="FF64736F"/>
      <name val="Carlito"/>
    </font>
    <font>
      <b/>
      <sz val="7"/>
      <color rgb="FF64736F"/>
      <name val="Carlito"/>
    </font>
    <font>
      <b/>
      <sz val="17"/>
      <color rgb="FFFFFFFF"/>
      <name val="Carlito"/>
    </font>
    <font>
      <sz val="11"/>
      <color rgb="FF17332D"/>
      <name val="Carlito"/>
    </font>
    <font>
      <sz val="10"/>
      <color rgb="FF17332D"/>
      <name val="Aptos"/>
    </font>
    <font>
      <b/>
      <sz val="18"/>
      <color rgb="FFFFFFFF"/>
      <name val="Aptos"/>
    </font>
    <font>
      <i/>
      <sz val="10"/>
      <color rgb="FF17332D"/>
      <name val="Aptos"/>
    </font>
    <font>
      <b/>
      <sz val="11"/>
      <color rgb="FFFFFFFF"/>
      <name val="Aptos"/>
    </font>
    <font>
      <b/>
      <sz val="10"/>
      <color rgb="FF17332D"/>
      <name val="Aptos"/>
    </font>
    <font>
      <b/>
      <sz val="10"/>
      <color rgb="FF0000FF"/>
      <name val="Aptos"/>
    </font>
    <font>
      <sz val="10"/>
      <color rgb="FF000000"/>
      <name val="Aptos"/>
    </font>
    <font>
      <sz val="10"/>
      <color rgb="FF008000"/>
      <name val="Aptos"/>
    </font>
    <font>
      <i/>
      <sz val="10"/>
      <color rgb="FF4B5563"/>
      <name val="Aptos"/>
    </font>
    <font>
      <i/>
      <sz val="10"/>
      <color rgb="FF17332D"/>
      <name val="Carlito"/>
    </font>
    <font>
      <b/>
      <sz val="13"/>
      <color rgb="FF17332D"/>
      <name val="Carlito"/>
    </font>
    <font>
      <b/>
      <sz val="18"/>
      <color rgb="FFFFFFFF"/>
      <name val="Carlito"/>
    </font>
    <font>
      <b/>
      <i/>
      <sz val="11"/>
      <color rgb="FF17332D"/>
      <name val="Carlito"/>
    </font>
    <font>
      <b/>
      <i/>
      <sz val="11"/>
      <color rgb="FF66736F"/>
      <name val="Carlito"/>
    </font>
    <font>
      <b/>
      <sz val="13"/>
      <color rgb="FFFFFFFF"/>
      <name val="Carlito"/>
    </font>
    <font>
      <i/>
      <sz val="11"/>
      <color rgb="FF17332D"/>
      <name val="Carlito"/>
    </font>
    <font>
      <b/>
      <sz val="12"/>
      <color rgb="FF17332D"/>
      <name val="Carlito"/>
    </font>
    <font>
      <b/>
      <sz val="9"/>
      <color rgb="FF17332D"/>
      <name val="Carlito"/>
    </font>
    <font>
      <i/>
      <sz val="10"/>
      <color rgb="FF5B6B66"/>
      <name val="Carlito"/>
    </font>
    <font>
      <sz val="9"/>
      <color rgb="FF5B6B66"/>
      <name val="Carlito"/>
    </font>
    <font>
      <b/>
      <sz val="14"/>
      <color rgb="FFFFFFFF"/>
      <name val="Carlito"/>
    </font>
    <font>
      <i/>
      <sz val="9"/>
      <color rgb="FF5B6B66"/>
      <name val="Carlito"/>
    </font>
    <font>
      <sz val="1"/>
      <color rgb="FFFFFFFF"/>
      <name val="Carlito"/>
    </font>
    <font>
      <i/>
      <sz val="9"/>
      <color rgb="FF17332D"/>
      <name val="Carlito"/>
    </font>
    <font>
      <b/>
      <sz val="12"/>
      <color rgb="FFFFFFFF"/>
      <name val="Carlito"/>
    </font>
    <font>
      <b/>
      <sz val="10"/>
      <color rgb="FF17332D"/>
      <name val="Carlito"/>
    </font>
    <font>
      <b/>
      <i/>
      <sz val="13"/>
      <color rgb="FF17332D"/>
      <name val="Carlito"/>
    </font>
    <font>
      <b/>
      <i/>
      <sz val="9"/>
      <color rgb="FF5B6B66"/>
      <name val="Carlito"/>
    </font>
    <font>
      <b/>
      <sz val="10"/>
      <color rgb="FFFFFFFF"/>
      <name val="Carlito"/>
    </font>
    <font>
      <b/>
      <sz val="9"/>
      <color rgb="FFFFFFFF"/>
      <name val="Carlito"/>
    </font>
    <font>
      <b/>
      <sz val="9"/>
      <color rgb="FF5B6B66"/>
      <name val="Carlito"/>
    </font>
  </fonts>
  <fills count="64">
    <fill>
      <patternFill patternType="none"/>
    </fill>
    <fill>
      <patternFill patternType="gray125"/>
    </fill>
    <fill>
      <patternFill patternType="solid">
        <fgColor rgb="FF155E52"/>
      </patternFill>
    </fill>
    <fill>
      <patternFill patternType="solid">
        <fgColor rgb="FFF7FAF9"/>
      </patternFill>
    </fill>
    <fill>
      <patternFill patternType="solid">
        <fgColor rgb="FF17332D"/>
      </patternFill>
    </fill>
    <fill>
      <patternFill patternType="solid">
        <fgColor rgb="FFFFF2CC"/>
      </patternFill>
    </fill>
    <fill>
      <patternFill patternType="solid">
        <fgColor rgb="FFFFFCE6"/>
      </patternFill>
    </fill>
    <fill>
      <patternFill patternType="solid">
        <fgColor rgb="FFDDEFEA"/>
      </patternFill>
    </fill>
    <fill>
      <patternFill patternType="solid">
        <fgColor rgb="FFFFF2CC"/>
      </patternFill>
    </fill>
    <fill>
      <patternFill patternType="solid">
        <fgColor rgb="FF155E52"/>
      </patternFill>
    </fill>
    <fill>
      <patternFill patternType="solid">
        <fgColor rgb="FFF7FAF9"/>
      </patternFill>
    </fill>
    <fill>
      <patternFill patternType="solid">
        <fgColor rgb="FF17332D"/>
      </patternFill>
    </fill>
    <fill>
      <patternFill patternType="solid">
        <fgColor rgb="FFDDEFEA"/>
      </patternFill>
    </fill>
    <fill>
      <patternFill patternType="solid">
        <fgColor rgb="FF155E52"/>
      </patternFill>
    </fill>
    <fill>
      <patternFill patternType="solid">
        <fgColor rgb="FFF7FAF9"/>
      </patternFill>
    </fill>
    <fill>
      <patternFill patternType="solid">
        <fgColor rgb="FF17332D"/>
      </patternFill>
    </fill>
    <fill>
      <patternFill patternType="solid">
        <fgColor rgb="FFFFF2CC"/>
      </patternFill>
    </fill>
    <fill>
      <patternFill patternType="solid">
        <fgColor rgb="FFFFF3CD"/>
      </patternFill>
    </fill>
    <fill>
      <patternFill patternType="solid">
        <fgColor rgb="FFDDEFEA"/>
      </patternFill>
    </fill>
    <fill>
      <patternFill patternType="solid">
        <fgColor rgb="FFE7F5EC"/>
      </patternFill>
    </fill>
    <fill>
      <patternFill patternType="solid">
        <fgColor rgb="FFE8F0FF"/>
      </patternFill>
    </fill>
    <fill>
      <patternFill patternType="solid">
        <fgColor rgb="FF155E52"/>
      </patternFill>
    </fill>
    <fill>
      <patternFill patternType="solid">
        <fgColor rgb="FFEAF6F2"/>
      </patternFill>
    </fill>
    <fill>
      <patternFill patternType="solid">
        <fgColor rgb="FFDDEFEA"/>
      </patternFill>
    </fill>
    <fill>
      <patternFill patternType="solid">
        <fgColor rgb="FFFFF2CC"/>
      </patternFill>
    </fill>
    <fill>
      <patternFill patternType="solid">
        <fgColor rgb="FFF7FBF9"/>
      </patternFill>
    </fill>
    <fill>
      <patternFill patternType="solid">
        <fgColor rgb="FFF3F4F6"/>
      </patternFill>
    </fill>
    <fill>
      <patternFill patternType="solid">
        <fgColor rgb="FF155E52"/>
      </patternFill>
    </fill>
    <fill>
      <patternFill patternType="solid">
        <fgColor rgb="FFDDEFEA"/>
      </patternFill>
    </fill>
    <fill>
      <patternFill patternType="solid">
        <fgColor rgb="FFFFF2CC"/>
      </patternFill>
    </fill>
    <fill>
      <patternFill patternType="solid">
        <fgColor rgb="FFB45F06"/>
      </patternFill>
    </fill>
    <fill>
      <patternFill patternType="solid">
        <fgColor rgb="FFFCE5CD"/>
      </patternFill>
    </fill>
    <fill>
      <patternFill patternType="solid">
        <fgColor rgb="FFE2F0D9"/>
      </patternFill>
    </fill>
    <fill>
      <patternFill patternType="solid">
        <fgColor rgb="FFFAFAF7"/>
      </patternFill>
    </fill>
    <fill>
      <patternFill patternType="solid">
        <fgColor rgb="FF155E52"/>
      </patternFill>
    </fill>
    <fill>
      <patternFill patternType="solid">
        <fgColor rgb="FFFFF2CC"/>
      </patternFill>
    </fill>
    <fill>
      <patternFill patternType="solid">
        <fgColor rgb="FF0F4E45"/>
      </patternFill>
    </fill>
    <fill>
      <patternFill patternType="solid">
        <fgColor rgb="FFEEF7F4"/>
      </patternFill>
    </fill>
    <fill>
      <patternFill patternType="solid">
        <fgColor rgb="FFF7F9F8"/>
      </patternFill>
    </fill>
    <fill>
      <patternFill patternType="solid">
        <fgColor rgb="FF155E52"/>
      </patternFill>
    </fill>
    <fill>
      <patternFill patternType="solid">
        <fgColor rgb="FFFAFAF7"/>
      </patternFill>
    </fill>
    <fill>
      <patternFill patternType="solid">
        <fgColor rgb="FF17332D"/>
      </patternFill>
    </fill>
    <fill>
      <patternFill patternType="solid">
        <fgColor rgb="FFFFF9E6"/>
      </patternFill>
    </fill>
    <fill>
      <patternFill patternType="solid">
        <fgColor rgb="FFDDEFEA"/>
      </patternFill>
    </fill>
    <fill>
      <patternFill patternType="solid">
        <fgColor rgb="FFF7F9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FEA"/>
      </patternFill>
    </fill>
    <fill>
      <patternFill patternType="solid">
        <fgColor rgb="FF155E52"/>
      </patternFill>
    </fill>
    <fill>
      <patternFill patternType="solid">
        <fgColor rgb="FF17332D"/>
      </patternFill>
    </fill>
    <fill>
      <patternFill patternType="solid">
        <fgColor rgb="FFFFF2CC"/>
      </patternFill>
    </fill>
    <fill>
      <patternFill patternType="solid">
        <fgColor rgb="FFDDEFEA"/>
      </patternFill>
    </fill>
    <fill>
      <patternFill patternType="solid">
        <fgColor rgb="FFFAFAF7"/>
      </patternFill>
    </fill>
    <fill>
      <patternFill patternType="solid">
        <fgColor rgb="FF155E52"/>
      </patternFill>
    </fill>
    <fill>
      <patternFill patternType="solid">
        <fgColor rgb="FF17332D"/>
      </patternFill>
    </fill>
    <fill>
      <patternFill patternType="solid">
        <fgColor rgb="FFF7F9F8"/>
      </patternFill>
    </fill>
    <fill>
      <patternFill patternType="solid">
        <fgColor rgb="FF155E52"/>
      </patternFill>
    </fill>
    <fill>
      <patternFill patternType="solid">
        <fgColor rgb="FFFAFAF7"/>
      </patternFill>
    </fill>
    <fill>
      <patternFill patternType="solid">
        <fgColor rgb="FFDDEFEA"/>
      </patternFill>
    </fill>
    <fill>
      <patternFill patternType="solid">
        <fgColor rgb="FFFFF2CC"/>
      </patternFill>
    </fill>
    <fill>
      <patternFill patternType="solid">
        <fgColor rgb="FFF7F9F8"/>
      </patternFill>
    </fill>
    <fill>
      <patternFill patternType="solid">
        <fgColor rgb="FF17332D"/>
      </patternFill>
    </fill>
    <fill>
      <patternFill patternType="solid">
        <fgColor rgb="FFFFF9E6"/>
      </patternFill>
    </fill>
  </fills>
  <borders count="37">
    <border>
      <left/>
      <right/>
      <top/>
      <bottom/>
      <diagonal/>
    </border>
    <border>
      <left style="thin">
        <color rgb="FFB7C9C3"/>
      </left>
      <right style="hair">
        <color rgb="FFDDE7E3"/>
      </right>
      <top style="thin">
        <color rgb="FFB7C9C3"/>
      </top>
      <bottom style="hair">
        <color rgb="FFDDE7E3"/>
      </bottom>
      <diagonal/>
    </border>
    <border>
      <left style="hair">
        <color rgb="FFDDE7E3"/>
      </left>
      <right style="hair">
        <color rgb="FFDDE7E3"/>
      </right>
      <top style="thin">
        <color rgb="FFB7C9C3"/>
      </top>
      <bottom style="hair">
        <color rgb="FFDDE7E3"/>
      </bottom>
      <diagonal/>
    </border>
    <border>
      <left style="hair">
        <color rgb="FFDDE7E3"/>
      </left>
      <right style="thin">
        <color rgb="FFB7C9C3"/>
      </right>
      <top style="thin">
        <color rgb="FFB7C9C3"/>
      </top>
      <bottom style="hair">
        <color rgb="FFDDE7E3"/>
      </bottom>
      <diagonal/>
    </border>
    <border>
      <left style="thin">
        <color rgb="FFB7C9C3"/>
      </left>
      <right style="hair">
        <color rgb="FFDDE7E3"/>
      </right>
      <top style="hair">
        <color rgb="FFDDE7E3"/>
      </top>
      <bottom style="hair">
        <color rgb="FFDDE7E3"/>
      </bottom>
      <diagonal/>
    </border>
    <border>
      <left style="hair">
        <color rgb="FFDDE7E3"/>
      </left>
      <right style="hair">
        <color rgb="FFDDE7E3"/>
      </right>
      <top style="hair">
        <color rgb="FFDDE7E3"/>
      </top>
      <bottom style="hair">
        <color rgb="FFDDE7E3"/>
      </bottom>
      <diagonal/>
    </border>
    <border>
      <left style="hair">
        <color rgb="FFDDE7E3"/>
      </left>
      <right style="thin">
        <color rgb="FFB7C9C3"/>
      </right>
      <top style="hair">
        <color rgb="FFDDE7E3"/>
      </top>
      <bottom style="hair">
        <color rgb="FFDDE7E3"/>
      </bottom>
      <diagonal/>
    </border>
    <border>
      <left style="thin">
        <color rgb="FFB7C9C3"/>
      </left>
      <right style="hair">
        <color rgb="FFDDE7E3"/>
      </right>
      <top style="hair">
        <color rgb="FFDDE7E3"/>
      </top>
      <bottom style="thin">
        <color rgb="FFB7C9C3"/>
      </bottom>
      <diagonal/>
    </border>
    <border>
      <left style="hair">
        <color rgb="FFDDE7E3"/>
      </left>
      <right style="hair">
        <color rgb="FFDDE7E3"/>
      </right>
      <top style="hair">
        <color rgb="FFDDE7E3"/>
      </top>
      <bottom style="thin">
        <color rgb="FFB7C9C3"/>
      </bottom>
      <diagonal/>
    </border>
    <border>
      <left style="hair">
        <color rgb="FFDDE7E3"/>
      </left>
      <right style="thin">
        <color rgb="FFB7C9C3"/>
      </right>
      <top style="hair">
        <color rgb="FFDDE7E3"/>
      </top>
      <bottom style="thin">
        <color rgb="FFB7C9C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64">
    <xf numFmtId="0" fontId="0" fillId="0" borderId="0" xfId="0"/>
    <xf numFmtId="0" fontId="0" fillId="0" borderId="0" xfId="0" applyAlignment="1">
      <alignment wrapText="1"/>
    </xf>
    <xf numFmtId="164" fontId="4" fillId="5" borderId="0" xfId="0" applyNumberFormat="1" applyFont="1" applyFill="1" applyAlignment="1">
      <alignment wrapText="1"/>
    </xf>
    <xf numFmtId="165" fontId="4" fillId="5" borderId="0" xfId="0" applyNumberFormat="1" applyFont="1" applyFill="1" applyAlignment="1">
      <alignment wrapText="1"/>
    </xf>
    <xf numFmtId="166" fontId="4" fillId="5" borderId="0" xfId="0" applyNumberFormat="1" applyFont="1" applyFill="1" applyAlignment="1">
      <alignment wrapText="1"/>
    </xf>
    <xf numFmtId="0" fontId="6" fillId="4" borderId="0" xfId="0" applyFont="1" applyFill="1" applyAlignment="1">
      <alignment horizontal="center" vertical="center" wrapText="1"/>
    </xf>
    <xf numFmtId="0" fontId="8" fillId="0" borderId="0" xfId="0" applyFont="1"/>
    <xf numFmtId="166" fontId="8" fillId="0" borderId="0" xfId="0" applyNumberFormat="1" applyFont="1"/>
    <xf numFmtId="167" fontId="4" fillId="6" borderId="0" xfId="0" applyNumberFormat="1" applyFont="1" applyFill="1" applyAlignment="1">
      <alignment wrapText="1"/>
    </xf>
    <xf numFmtId="166" fontId="4" fillId="6" borderId="0" xfId="0" applyNumberFormat="1" applyFont="1" applyFill="1" applyAlignment="1">
      <alignment wrapText="1"/>
    </xf>
    <xf numFmtId="1" fontId="4" fillId="6" borderId="0" xfId="0" applyNumberFormat="1" applyFont="1" applyFill="1" applyAlignment="1">
      <alignment wrapText="1"/>
    </xf>
    <xf numFmtId="166" fontId="8" fillId="0" borderId="0" xfId="0" applyNumberFormat="1" applyFont="1" applyAlignment="1">
      <alignment wrapText="1"/>
    </xf>
    <xf numFmtId="166" fontId="7" fillId="0" borderId="0" xfId="0" applyNumberFormat="1" applyFont="1" applyAlignment="1">
      <alignment wrapText="1"/>
    </xf>
    <xf numFmtId="165" fontId="7" fillId="0" borderId="0" xfId="0" applyNumberFormat="1" applyFont="1" applyAlignment="1">
      <alignment wrapText="1"/>
    </xf>
    <xf numFmtId="167" fontId="0" fillId="0" borderId="0" xfId="0" applyNumberFormat="1"/>
    <xf numFmtId="166" fontId="0" fillId="0" borderId="0" xfId="0" applyNumberFormat="1"/>
    <xf numFmtId="165" fontId="0" fillId="0" borderId="0" xfId="0" applyNumberFormat="1"/>
    <xf numFmtId="167" fontId="8" fillId="0" borderId="0" xfId="0" applyNumberFormat="1" applyFont="1"/>
    <xf numFmtId="165" fontId="8" fillId="0" borderId="0" xfId="0" applyNumberFormat="1" applyFont="1"/>
    <xf numFmtId="166" fontId="4" fillId="8" borderId="0" xfId="0" applyNumberFormat="1" applyFont="1" applyFill="1"/>
    <xf numFmtId="167" fontId="4" fillId="8" borderId="0" xfId="0" applyNumberFormat="1" applyFont="1" applyFill="1"/>
    <xf numFmtId="0" fontId="3" fillId="11" borderId="0" xfId="0" applyFont="1" applyFill="1"/>
    <xf numFmtId="165" fontId="4" fillId="8" borderId="0" xfId="0" applyNumberFormat="1" applyFont="1" applyFill="1"/>
    <xf numFmtId="0" fontId="6" fillId="11" borderId="0" xfId="0" applyFont="1" applyFill="1" applyAlignment="1">
      <alignment horizontal="center" wrapText="1"/>
    </xf>
    <xf numFmtId="0" fontId="14" fillId="10" borderId="0" xfId="0" applyFont="1" applyFill="1"/>
    <xf numFmtId="0" fontId="8" fillId="0" borderId="0" xfId="0" applyFont="1" applyAlignment="1">
      <alignment wrapText="1"/>
    </xf>
    <xf numFmtId="0" fontId="4" fillId="8" borderId="0" xfId="0" applyFont="1" applyFill="1" applyAlignment="1">
      <alignment wrapText="1"/>
    </xf>
    <xf numFmtId="0" fontId="7" fillId="0" borderId="0" xfId="0" applyFont="1" applyAlignment="1">
      <alignment wrapText="1"/>
    </xf>
    <xf numFmtId="167" fontId="8" fillId="0" borderId="0" xfId="0" applyNumberFormat="1" applyFont="1" applyAlignment="1">
      <alignment wrapText="1"/>
    </xf>
    <xf numFmtId="167" fontId="7" fillId="0" borderId="0" xfId="0" applyNumberFormat="1" applyFont="1" applyAlignment="1">
      <alignment wrapText="1"/>
    </xf>
    <xf numFmtId="168" fontId="4" fillId="8" borderId="0" xfId="0" applyNumberFormat="1" applyFont="1" applyFill="1" applyAlignment="1">
      <alignment wrapText="1"/>
    </xf>
    <xf numFmtId="170" fontId="7" fillId="0" borderId="0" xfId="0" applyNumberFormat="1" applyFon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6" fontId="3" fillId="11" borderId="0" xfId="0" applyNumberFormat="1" applyFont="1" applyFill="1"/>
    <xf numFmtId="167" fontId="0" fillId="0" borderId="0" xfId="0" applyNumberFormat="1" applyAlignment="1">
      <alignment wrapText="1"/>
    </xf>
    <xf numFmtId="165" fontId="8" fillId="0" borderId="0" xfId="0" applyNumberFormat="1" applyFont="1" applyAlignment="1">
      <alignment wrapText="1"/>
    </xf>
    <xf numFmtId="168" fontId="7" fillId="0" borderId="0" xfId="0" applyNumberFormat="1" applyFont="1" applyAlignment="1">
      <alignment wrapText="1"/>
    </xf>
    <xf numFmtId="0" fontId="3" fillId="15" borderId="0" xfId="0" applyFont="1" applyFill="1"/>
    <xf numFmtId="0" fontId="13" fillId="14" borderId="0" xfId="0" applyFont="1" applyFill="1"/>
    <xf numFmtId="0" fontId="3" fillId="15" borderId="0" xfId="0" applyFont="1" applyFill="1" applyAlignment="1">
      <alignment wrapText="1"/>
    </xf>
    <xf numFmtId="168" fontId="4" fillId="16" borderId="0" xfId="0" applyNumberFormat="1" applyFont="1" applyFill="1" applyAlignment="1">
      <alignment wrapText="1"/>
    </xf>
    <xf numFmtId="166" fontId="4" fillId="16" borderId="0" xfId="0" applyNumberFormat="1" applyFont="1" applyFill="1" applyAlignment="1">
      <alignment wrapText="1"/>
    </xf>
    <xf numFmtId="167" fontId="4" fillId="16" borderId="0" xfId="0" applyNumberFormat="1" applyFont="1" applyFill="1" applyAlignment="1">
      <alignment wrapText="1"/>
    </xf>
    <xf numFmtId="165" fontId="4" fillId="16" borderId="0" xfId="0" applyNumberFormat="1" applyFont="1" applyFill="1" applyAlignment="1">
      <alignment wrapText="1"/>
    </xf>
    <xf numFmtId="165" fontId="3" fillId="15" borderId="0" xfId="0" applyNumberFormat="1" applyFont="1" applyFill="1" applyAlignment="1">
      <alignment wrapText="1"/>
    </xf>
    <xf numFmtId="0" fontId="4" fillId="16" borderId="0" xfId="0" applyFont="1" applyFill="1" applyAlignment="1">
      <alignment wrapText="1"/>
    </xf>
    <xf numFmtId="0" fontId="9" fillId="18" borderId="0" xfId="0" applyFont="1" applyFill="1" applyAlignment="1">
      <alignment wrapText="1"/>
    </xf>
    <xf numFmtId="169" fontId="4" fillId="16" borderId="0" xfId="0" applyNumberFormat="1" applyFont="1" applyFill="1" applyAlignment="1">
      <alignment wrapText="1"/>
    </xf>
    <xf numFmtId="0" fontId="12" fillId="17" borderId="0" xfId="0" applyFont="1" applyFill="1" applyAlignment="1">
      <alignment wrapText="1"/>
    </xf>
    <xf numFmtId="165" fontId="7" fillId="16" borderId="0" xfId="0" applyNumberFormat="1" applyFont="1" applyFill="1" applyAlignment="1">
      <alignment wrapText="1"/>
    </xf>
    <xf numFmtId="167" fontId="7" fillId="16" borderId="0" xfId="0" applyNumberFormat="1" applyFont="1" applyFill="1" applyAlignment="1">
      <alignment wrapText="1"/>
    </xf>
    <xf numFmtId="167" fontId="12" fillId="18" borderId="0" xfId="0" applyNumberFormat="1" applyFont="1" applyFill="1" applyAlignment="1">
      <alignment wrapText="1"/>
    </xf>
    <xf numFmtId="0" fontId="12" fillId="18" borderId="0" xfId="0" applyFont="1" applyFill="1" applyAlignment="1">
      <alignment wrapText="1"/>
    </xf>
    <xf numFmtId="166" fontId="12" fillId="18" borderId="0" xfId="0" applyNumberFormat="1" applyFont="1" applyFill="1" applyAlignment="1">
      <alignment wrapText="1"/>
    </xf>
    <xf numFmtId="165" fontId="12" fillId="18" borderId="0" xfId="0" applyNumberFormat="1" applyFont="1" applyFill="1" applyAlignment="1">
      <alignment wrapText="1"/>
    </xf>
    <xf numFmtId="0" fontId="12" fillId="19" borderId="0" xfId="0" applyFont="1" applyFill="1" applyAlignment="1">
      <alignment wrapText="1"/>
    </xf>
    <xf numFmtId="166" fontId="10" fillId="20" borderId="0" xfId="0" applyNumberFormat="1" applyFont="1" applyFill="1" applyAlignment="1">
      <alignment wrapText="1"/>
    </xf>
    <xf numFmtId="166" fontId="10" fillId="20" borderId="0" xfId="0" applyNumberFormat="1" applyFont="1" applyFill="1"/>
    <xf numFmtId="0" fontId="21" fillId="23" borderId="1" xfId="0" applyFont="1" applyFill="1" applyBorder="1" applyAlignment="1">
      <alignment horizontal="center" vertical="center" wrapText="1"/>
    </xf>
    <xf numFmtId="172" fontId="21" fillId="23" borderId="2" xfId="0" applyNumberFormat="1" applyFont="1" applyFill="1" applyBorder="1" applyAlignment="1">
      <alignment horizontal="center" vertical="center" wrapText="1"/>
    </xf>
    <xf numFmtId="0" fontId="21" fillId="23" borderId="2" xfId="0" applyFont="1" applyFill="1" applyBorder="1" applyAlignment="1">
      <alignment horizontal="center" vertical="center" wrapText="1"/>
    </xf>
    <xf numFmtId="0" fontId="21" fillId="23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2" fillId="24" borderId="2" xfId="0" applyFont="1" applyFill="1" applyBorder="1" applyAlignment="1">
      <alignment horizontal="right" vertical="center" wrapText="1"/>
    </xf>
    <xf numFmtId="0" fontId="17" fillId="0" borderId="2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165" fontId="22" fillId="24" borderId="5" xfId="0" applyNumberFormat="1" applyFont="1" applyFill="1" applyBorder="1" applyAlignment="1">
      <alignment horizontal="right" vertical="center" wrapText="1"/>
    </xf>
    <xf numFmtId="0" fontId="17" fillId="0" borderId="5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169" fontId="22" fillId="24" borderId="5" xfId="0" applyNumberFormat="1" applyFont="1" applyFill="1" applyBorder="1" applyAlignment="1">
      <alignment horizontal="right" vertical="center" wrapText="1"/>
    </xf>
    <xf numFmtId="0" fontId="22" fillId="24" borderId="5" xfId="0" applyFont="1" applyFill="1" applyBorder="1" applyAlignment="1">
      <alignment vertical="center" wrapText="1"/>
    </xf>
    <xf numFmtId="165" fontId="23" fillId="0" borderId="5" xfId="0" applyNumberFormat="1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165" fontId="23" fillId="0" borderId="8" xfId="0" applyNumberFormat="1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171" fontId="24" fillId="0" borderId="2" xfId="0" applyNumberFormat="1" applyFont="1" applyBorder="1" applyAlignment="1">
      <alignment vertical="center" wrapText="1"/>
    </xf>
    <xf numFmtId="171" fontId="24" fillId="0" borderId="5" xfId="0" applyNumberFormat="1" applyFont="1" applyBorder="1" applyAlignment="1">
      <alignment vertical="center" wrapText="1"/>
    </xf>
    <xf numFmtId="172" fontId="24" fillId="0" borderId="5" xfId="0" applyNumberFormat="1" applyFont="1" applyBorder="1" applyAlignment="1">
      <alignment vertical="center" wrapText="1"/>
    </xf>
    <xf numFmtId="165" fontId="24" fillId="0" borderId="8" xfId="0" applyNumberFormat="1" applyFont="1" applyBorder="1" applyAlignment="1">
      <alignment vertical="center" wrapText="1"/>
    </xf>
    <xf numFmtId="171" fontId="22" fillId="24" borderId="2" xfId="0" applyNumberFormat="1" applyFont="1" applyFill="1" applyBorder="1" applyAlignment="1">
      <alignment vertical="center" wrapText="1"/>
    </xf>
    <xf numFmtId="172" fontId="23" fillId="0" borderId="5" xfId="0" applyNumberFormat="1" applyFont="1" applyBorder="1" applyAlignment="1">
      <alignment vertical="center" wrapText="1"/>
    </xf>
    <xf numFmtId="171" fontId="23" fillId="0" borderId="5" xfId="0" applyNumberFormat="1" applyFont="1" applyBorder="1" applyAlignment="1">
      <alignment vertical="center" wrapText="1"/>
    </xf>
    <xf numFmtId="2" fontId="23" fillId="0" borderId="6" xfId="0" applyNumberFormat="1" applyFont="1" applyBorder="1" applyAlignment="1">
      <alignment vertical="center" wrapText="1"/>
    </xf>
    <xf numFmtId="2" fontId="23" fillId="0" borderId="9" xfId="0" applyNumberFormat="1" applyFont="1" applyBorder="1" applyAlignment="1">
      <alignment vertical="center" wrapText="1"/>
    </xf>
    <xf numFmtId="0" fontId="17" fillId="25" borderId="4" xfId="0" applyFont="1" applyFill="1" applyBorder="1" applyAlignment="1">
      <alignment vertical="center" wrapText="1"/>
    </xf>
    <xf numFmtId="171" fontId="24" fillId="25" borderId="5" xfId="0" applyNumberFormat="1" applyFont="1" applyFill="1" applyBorder="1" applyAlignment="1">
      <alignment vertical="center" wrapText="1"/>
    </xf>
    <xf numFmtId="0" fontId="17" fillId="25" borderId="5" xfId="0" applyFont="1" applyFill="1" applyBorder="1" applyAlignment="1">
      <alignment vertical="center" wrapText="1"/>
    </xf>
    <xf numFmtId="0" fontId="17" fillId="25" borderId="6" xfId="0" applyFont="1" applyFill="1" applyBorder="1" applyAlignment="1">
      <alignment vertical="center" wrapText="1"/>
    </xf>
    <xf numFmtId="0" fontId="21" fillId="25" borderId="4" xfId="0" applyFont="1" applyFill="1" applyBorder="1" applyAlignment="1">
      <alignment vertical="center" wrapText="1"/>
    </xf>
    <xf numFmtId="171" fontId="21" fillId="25" borderId="5" xfId="0" applyNumberFormat="1" applyFont="1" applyFill="1" applyBorder="1" applyAlignment="1">
      <alignment vertical="center" wrapText="1"/>
    </xf>
    <xf numFmtId="0" fontId="3" fillId="21" borderId="0" xfId="0" applyFont="1" applyFill="1" applyAlignment="1">
      <alignment horizontal="center" vertical="center" wrapText="1"/>
    </xf>
    <xf numFmtId="171" fontId="8" fillId="0" borderId="0" xfId="0" applyNumberFormat="1" applyFont="1"/>
    <xf numFmtId="0" fontId="10" fillId="22" borderId="0" xfId="0" applyFont="1" applyFill="1" applyAlignment="1">
      <alignment wrapText="1"/>
    </xf>
    <xf numFmtId="165" fontId="11" fillId="0" borderId="0" xfId="0" applyNumberFormat="1" applyFont="1" applyAlignment="1">
      <alignment wrapText="1"/>
    </xf>
    <xf numFmtId="171" fontId="11" fillId="0" borderId="0" xfId="0" applyNumberFormat="1" applyFont="1" applyAlignment="1">
      <alignment wrapText="1"/>
    </xf>
    <xf numFmtId="0" fontId="0" fillId="25" borderId="0" xfId="0" applyFill="1" applyAlignment="1">
      <alignment wrapText="1"/>
    </xf>
    <xf numFmtId="171" fontId="8" fillId="25" borderId="0" xfId="0" applyNumberFormat="1" applyFont="1" applyFill="1" applyAlignment="1">
      <alignment wrapText="1"/>
    </xf>
    <xf numFmtId="171" fontId="7" fillId="25" borderId="0" xfId="0" applyNumberFormat="1" applyFont="1" applyFill="1" applyAlignment="1">
      <alignment wrapText="1"/>
    </xf>
    <xf numFmtId="173" fontId="22" fillId="24" borderId="5" xfId="0" applyNumberFormat="1" applyFont="1" applyFill="1" applyBorder="1" applyAlignment="1">
      <alignment horizontal="right" vertical="center" wrapText="1"/>
    </xf>
    <xf numFmtId="172" fontId="24" fillId="25" borderId="5" xfId="0" applyNumberFormat="1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167" fontId="4" fillId="5" borderId="0" xfId="0" applyNumberFormat="1" applyFont="1" applyFill="1" applyAlignment="1">
      <alignment wrapText="1"/>
    </xf>
    <xf numFmtId="166" fontId="4" fillId="29" borderId="0" xfId="0" applyNumberFormat="1" applyFont="1" applyFill="1" applyAlignment="1">
      <alignment wrapText="1"/>
    </xf>
    <xf numFmtId="171" fontId="8" fillId="0" borderId="0" xfId="0" applyNumberFormat="1" applyFont="1" applyAlignment="1">
      <alignment wrapText="1"/>
    </xf>
    <xf numFmtId="170" fontId="4" fillId="29" borderId="0" xfId="0" applyNumberFormat="1" applyFont="1" applyFill="1" applyAlignment="1">
      <alignment wrapText="1"/>
    </xf>
    <xf numFmtId="1" fontId="8" fillId="0" borderId="0" xfId="0" applyNumberFormat="1" applyFont="1" applyAlignment="1">
      <alignment wrapText="1"/>
    </xf>
    <xf numFmtId="0" fontId="10" fillId="28" borderId="0" xfId="0" applyFont="1" applyFill="1" applyAlignment="1">
      <alignment wrapText="1"/>
    </xf>
    <xf numFmtId="0" fontId="10" fillId="32" borderId="0" xfId="0" applyFont="1" applyFill="1" applyAlignment="1">
      <alignment wrapText="1"/>
    </xf>
    <xf numFmtId="0" fontId="10" fillId="29" borderId="0" xfId="0" applyFont="1" applyFill="1" applyAlignment="1">
      <alignment wrapText="1"/>
    </xf>
    <xf numFmtId="0" fontId="10" fillId="28" borderId="0" xfId="0" applyFont="1" applyFill="1" applyAlignment="1">
      <alignment horizontal="center" vertical="center" wrapText="1"/>
    </xf>
    <xf numFmtId="171" fontId="7" fillId="0" borderId="0" xfId="0" applyNumberFormat="1" applyFont="1"/>
    <xf numFmtId="165" fontId="7" fillId="0" borderId="0" xfId="0" applyNumberFormat="1" applyFont="1"/>
    <xf numFmtId="170" fontId="0" fillId="0" borderId="0" xfId="0" applyNumberFormat="1"/>
    <xf numFmtId="170" fontId="7" fillId="0" borderId="0" xfId="0" applyNumberFormat="1" applyFont="1"/>
    <xf numFmtId="0" fontId="4" fillId="0" borderId="0" xfId="0" applyFont="1"/>
    <xf numFmtId="166" fontId="4" fillId="0" borderId="0" xfId="0" applyNumberFormat="1" applyFont="1"/>
    <xf numFmtId="165" fontId="4" fillId="29" borderId="0" xfId="0" applyNumberFormat="1" applyFont="1" applyFill="1"/>
    <xf numFmtId="2" fontId="7" fillId="0" borderId="0" xfId="0" applyNumberFormat="1" applyFont="1"/>
    <xf numFmtId="0" fontId="10" fillId="0" borderId="0" xfId="0" applyFont="1"/>
    <xf numFmtId="164" fontId="8" fillId="5" borderId="0" xfId="0" applyNumberFormat="1" applyFont="1" applyFill="1" applyAlignment="1">
      <alignment wrapText="1"/>
    </xf>
    <xf numFmtId="167" fontId="8" fillId="5" borderId="0" xfId="0" applyNumberFormat="1" applyFont="1" applyFill="1" applyAlignment="1">
      <alignment wrapText="1"/>
    </xf>
    <xf numFmtId="0" fontId="3" fillId="27" borderId="0" xfId="0" applyFont="1" applyFill="1" applyAlignment="1">
      <alignment wrapText="1"/>
    </xf>
    <xf numFmtId="166" fontId="8" fillId="28" borderId="0" xfId="0" applyNumberFormat="1" applyFont="1" applyFill="1" applyAlignment="1">
      <alignment wrapText="1"/>
    </xf>
    <xf numFmtId="167" fontId="8" fillId="28" borderId="0" xfId="0" applyNumberFormat="1" applyFont="1" applyFill="1" applyAlignment="1">
      <alignment wrapText="1"/>
    </xf>
    <xf numFmtId="0" fontId="8" fillId="28" borderId="0" xfId="0" applyFont="1" applyFill="1" applyAlignment="1">
      <alignment wrapText="1"/>
    </xf>
    <xf numFmtId="166" fontId="4" fillId="0" borderId="0" xfId="0" applyNumberFormat="1" applyFont="1" applyAlignment="1">
      <alignment wrapText="1"/>
    </xf>
    <xf numFmtId="165" fontId="4" fillId="29" borderId="0" xfId="0" applyNumberFormat="1" applyFont="1" applyFill="1" applyAlignment="1">
      <alignment wrapText="1"/>
    </xf>
    <xf numFmtId="171" fontId="7" fillId="0" borderId="0" xfId="0" applyNumberFormat="1" applyFont="1" applyAlignment="1">
      <alignment wrapText="1"/>
    </xf>
    <xf numFmtId="171" fontId="0" fillId="0" borderId="0" xfId="0" applyNumberFormat="1" applyAlignment="1">
      <alignment wrapText="1"/>
    </xf>
    <xf numFmtId="2" fontId="7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170" fontId="8" fillId="0" borderId="0" xfId="0" applyNumberFormat="1" applyFont="1"/>
    <xf numFmtId="0" fontId="3" fillId="34" borderId="0" xfId="0" applyFont="1" applyFill="1" applyAlignment="1">
      <alignment horizontal="left" wrapText="1"/>
    </xf>
    <xf numFmtId="172" fontId="4" fillId="0" borderId="0" xfId="0" applyNumberFormat="1" applyFont="1" applyAlignment="1">
      <alignment wrapText="1"/>
    </xf>
    <xf numFmtId="174" fontId="4" fillId="0" borderId="0" xfId="0" applyNumberFormat="1" applyFont="1" applyAlignment="1">
      <alignment wrapText="1"/>
    </xf>
    <xf numFmtId="172" fontId="8" fillId="0" borderId="0" xfId="0" applyNumberFormat="1" applyFont="1" applyAlignment="1">
      <alignment wrapText="1"/>
    </xf>
    <xf numFmtId="0" fontId="3" fillId="34" borderId="0" xfId="0" applyFont="1" applyFill="1" applyAlignment="1">
      <alignment horizontal="center" vertical="center" wrapText="1"/>
    </xf>
    <xf numFmtId="168" fontId="4" fillId="35" borderId="0" xfId="0" applyNumberFormat="1" applyFont="1" applyFill="1" applyAlignment="1">
      <alignment wrapText="1"/>
    </xf>
    <xf numFmtId="174" fontId="7" fillId="0" borderId="0" xfId="0" applyNumberFormat="1" applyFont="1" applyAlignment="1">
      <alignment wrapText="1"/>
    </xf>
    <xf numFmtId="174" fontId="8" fillId="0" borderId="0" xfId="0" applyNumberFormat="1" applyFont="1"/>
    <xf numFmtId="170" fontId="4" fillId="35" borderId="0" xfId="0" applyNumberFormat="1" applyFont="1" applyFill="1"/>
    <xf numFmtId="0" fontId="4" fillId="0" borderId="0" xfId="0" applyFont="1" applyAlignment="1">
      <alignment wrapText="1"/>
    </xf>
    <xf numFmtId="0" fontId="3" fillId="36" borderId="0" xfId="0" applyFont="1" applyFill="1"/>
    <xf numFmtId="168" fontId="8" fillId="0" borderId="0" xfId="0" applyNumberFormat="1" applyFont="1"/>
    <xf numFmtId="0" fontId="3" fillId="36" borderId="0" xfId="0" applyFont="1" applyFill="1" applyAlignment="1">
      <alignment wrapText="1"/>
    </xf>
    <xf numFmtId="171" fontId="8" fillId="5" borderId="0" xfId="0" applyNumberFormat="1" applyFont="1" applyFill="1"/>
    <xf numFmtId="171" fontId="4" fillId="0" borderId="0" xfId="0" applyNumberFormat="1" applyFont="1"/>
    <xf numFmtId="171" fontId="11" fillId="0" borderId="0" xfId="0" applyNumberFormat="1" applyFont="1"/>
    <xf numFmtId="169" fontId="8" fillId="0" borderId="0" xfId="0" applyNumberFormat="1" applyFont="1"/>
    <xf numFmtId="169" fontId="8" fillId="0" borderId="0" xfId="0" applyNumberFormat="1" applyFont="1" applyAlignment="1">
      <alignment wrapText="1"/>
    </xf>
    <xf numFmtId="169" fontId="7" fillId="0" borderId="0" xfId="0" applyNumberFormat="1" applyFont="1" applyAlignment="1">
      <alignment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38" fillId="44" borderId="13" xfId="0" applyFont="1" applyFill="1" applyBorder="1" applyAlignment="1">
      <alignment vertical="center" wrapText="1"/>
    </xf>
    <xf numFmtId="0" fontId="38" fillId="44" borderId="14" xfId="0" applyFont="1" applyFill="1" applyBorder="1" applyAlignment="1">
      <alignment vertical="center" wrapText="1"/>
    </xf>
    <xf numFmtId="0" fontId="38" fillId="44" borderId="15" xfId="0" applyFont="1" applyFill="1" applyBorder="1" applyAlignment="1">
      <alignment vertical="center" wrapText="1"/>
    </xf>
    <xf numFmtId="0" fontId="39" fillId="46" borderId="0" xfId="0" applyFont="1" applyFill="1"/>
    <xf numFmtId="0" fontId="36" fillId="0" borderId="14" xfId="0" applyFont="1" applyBorder="1" applyAlignment="1">
      <alignment vertical="center" wrapText="1"/>
    </xf>
    <xf numFmtId="0" fontId="36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3" fillId="39" borderId="13" xfId="0" applyFont="1" applyFill="1" applyBorder="1" applyAlignment="1">
      <alignment horizontal="center" vertical="center" wrapText="1"/>
    </xf>
    <xf numFmtId="0" fontId="3" fillId="39" borderId="14" xfId="0" applyFont="1" applyFill="1" applyBorder="1" applyAlignment="1">
      <alignment horizontal="center" vertical="center" wrapText="1"/>
    </xf>
    <xf numFmtId="0" fontId="3" fillId="39" borderId="15" xfId="0" applyFont="1" applyFill="1" applyBorder="1" applyAlignment="1">
      <alignment horizontal="center" vertical="center" wrapText="1"/>
    </xf>
    <xf numFmtId="0" fontId="34" fillId="43" borderId="15" xfId="0" applyFont="1" applyFill="1" applyBorder="1" applyAlignment="1">
      <alignment vertical="center" wrapText="1"/>
    </xf>
    <xf numFmtId="0" fontId="34" fillId="44" borderId="15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4" fillId="42" borderId="14" xfId="0" applyFont="1" applyFill="1" applyBorder="1" applyAlignment="1">
      <alignment vertical="center" wrapText="1"/>
    </xf>
    <xf numFmtId="176" fontId="4" fillId="42" borderId="14" xfId="0" applyNumberFormat="1" applyFont="1" applyFill="1" applyBorder="1" applyAlignment="1">
      <alignment vertical="center" wrapText="1"/>
    </xf>
    <xf numFmtId="0" fontId="4" fillId="45" borderId="14" xfId="0" applyFont="1" applyFill="1" applyBorder="1" applyAlignment="1">
      <alignment vertical="center" wrapText="1"/>
    </xf>
    <xf numFmtId="170" fontId="4" fillId="45" borderId="14" xfId="0" applyNumberFormat="1" applyFont="1" applyFill="1" applyBorder="1" applyAlignment="1">
      <alignment vertical="center" wrapText="1"/>
    </xf>
    <xf numFmtId="166" fontId="4" fillId="45" borderId="14" xfId="0" applyNumberFormat="1" applyFon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16" fillId="0" borderId="13" xfId="0" applyFont="1" applyBorder="1" applyAlignment="1">
      <alignment vertical="center" wrapText="1"/>
    </xf>
    <xf numFmtId="170" fontId="7" fillId="0" borderId="14" xfId="0" applyNumberFormat="1" applyFont="1" applyBorder="1" applyAlignment="1">
      <alignment vertical="center" wrapText="1"/>
    </xf>
    <xf numFmtId="166" fontId="7" fillId="0" borderId="14" xfId="0" applyNumberFormat="1" applyFont="1" applyBorder="1" applyAlignment="1">
      <alignment vertical="center" wrapText="1"/>
    </xf>
    <xf numFmtId="0" fontId="10" fillId="44" borderId="13" xfId="0" applyFont="1" applyFill="1" applyBorder="1" applyAlignment="1">
      <alignment vertical="center" wrapText="1"/>
    </xf>
    <xf numFmtId="166" fontId="10" fillId="44" borderId="14" xfId="0" applyNumberFormat="1" applyFont="1" applyFill="1" applyBorder="1" applyAlignment="1">
      <alignment vertical="center" wrapText="1"/>
    </xf>
    <xf numFmtId="174" fontId="7" fillId="0" borderId="14" xfId="0" applyNumberFormat="1" applyFont="1" applyBorder="1" applyAlignment="1">
      <alignment vertical="center" wrapText="1"/>
    </xf>
    <xf numFmtId="0" fontId="10" fillId="43" borderId="13" xfId="0" applyFont="1" applyFill="1" applyBorder="1" applyAlignment="1">
      <alignment vertical="center" wrapText="1"/>
    </xf>
    <xf numFmtId="166" fontId="10" fillId="43" borderId="14" xfId="0" applyNumberFormat="1" applyFont="1" applyFill="1" applyBorder="1" applyAlignment="1">
      <alignment vertical="center" wrapText="1"/>
    </xf>
    <xf numFmtId="0" fontId="10" fillId="44" borderId="16" xfId="0" applyFont="1" applyFill="1" applyBorder="1" applyAlignment="1">
      <alignment vertical="center" wrapText="1"/>
    </xf>
    <xf numFmtId="174" fontId="10" fillId="44" borderId="17" xfId="0" applyNumberFormat="1" applyFont="1" applyFill="1" applyBorder="1" applyAlignment="1">
      <alignment vertical="center" wrapText="1"/>
    </xf>
    <xf numFmtId="0" fontId="10" fillId="44" borderId="18" xfId="0" applyFont="1" applyFill="1" applyBorder="1" applyAlignment="1">
      <alignment vertical="center" wrapText="1"/>
    </xf>
    <xf numFmtId="0" fontId="0" fillId="47" borderId="0" xfId="0" applyFill="1" applyAlignment="1">
      <alignment wrapText="1"/>
    </xf>
    <xf numFmtId="166" fontId="8" fillId="47" borderId="0" xfId="0" applyNumberFormat="1" applyFont="1" applyFill="1" applyAlignment="1">
      <alignment wrapText="1"/>
    </xf>
    <xf numFmtId="0" fontId="16" fillId="47" borderId="0" xfId="0" applyFont="1" applyFill="1" applyAlignment="1">
      <alignment wrapText="1"/>
    </xf>
    <xf numFmtId="166" fontId="16" fillId="47" borderId="0" xfId="0" applyNumberFormat="1" applyFont="1" applyFill="1" applyAlignment="1">
      <alignment wrapText="1"/>
    </xf>
    <xf numFmtId="166" fontId="4" fillId="47" borderId="0" xfId="0" applyNumberFormat="1" applyFont="1" applyFill="1" applyAlignment="1">
      <alignment wrapText="1"/>
    </xf>
    <xf numFmtId="168" fontId="4" fillId="5" borderId="0" xfId="0" applyNumberFormat="1" applyFont="1" applyFill="1"/>
    <xf numFmtId="0" fontId="3" fillId="50" borderId="19" xfId="0" applyFont="1" applyFill="1" applyBorder="1" applyAlignment="1">
      <alignment horizontal="center" vertical="center" wrapText="1"/>
    </xf>
    <xf numFmtId="0" fontId="3" fillId="50" borderId="20" xfId="0" applyFont="1" applyFill="1" applyBorder="1" applyAlignment="1">
      <alignment horizontal="center" vertical="center" wrapText="1"/>
    </xf>
    <xf numFmtId="0" fontId="3" fillId="50" borderId="21" xfId="0" applyFont="1" applyFill="1" applyBorder="1" applyAlignment="1">
      <alignment horizontal="center" vertical="center" wrapText="1"/>
    </xf>
    <xf numFmtId="168" fontId="16" fillId="0" borderId="22" xfId="0" applyNumberFormat="1" applyFont="1" applyBorder="1"/>
    <xf numFmtId="166" fontId="16" fillId="0" borderId="23" xfId="0" applyNumberFormat="1" applyFont="1" applyBorder="1"/>
    <xf numFmtId="174" fontId="16" fillId="0" borderId="23" xfId="0" applyNumberFormat="1" applyFont="1" applyBorder="1"/>
    <xf numFmtId="0" fontId="16" fillId="0" borderId="24" xfId="0" applyFont="1" applyBorder="1"/>
    <xf numFmtId="168" fontId="16" fillId="0" borderId="25" xfId="0" applyNumberFormat="1" applyFont="1" applyBorder="1"/>
    <xf numFmtId="166" fontId="16" fillId="0" borderId="26" xfId="0" applyNumberFormat="1" applyFont="1" applyBorder="1"/>
    <xf numFmtId="174" fontId="16" fillId="0" borderId="26" xfId="0" applyNumberFormat="1" applyFont="1" applyBorder="1"/>
    <xf numFmtId="0" fontId="16" fillId="0" borderId="27" xfId="0" applyFont="1" applyBorder="1"/>
    <xf numFmtId="174" fontId="22" fillId="5" borderId="4" xfId="0" applyNumberFormat="1" applyFont="1" applyFill="1" applyBorder="1" applyAlignment="1">
      <alignment vertical="center" wrapText="1"/>
    </xf>
    <xf numFmtId="174" fontId="22" fillId="5" borderId="7" xfId="0" applyNumberFormat="1" applyFont="1" applyFill="1" applyBorder="1" applyAlignment="1">
      <alignment vertical="center" wrapText="1"/>
    </xf>
    <xf numFmtId="174" fontId="17" fillId="0" borderId="0" xfId="0" applyNumberFormat="1" applyFont="1" applyAlignment="1">
      <alignment vertical="center" wrapText="1"/>
    </xf>
    <xf numFmtId="170" fontId="23" fillId="0" borderId="5" xfId="0" applyNumberFormat="1" applyFont="1" applyBorder="1" applyAlignment="1">
      <alignment vertical="center" wrapText="1"/>
    </xf>
    <xf numFmtId="170" fontId="23" fillId="0" borderId="8" xfId="0" applyNumberFormat="1" applyFont="1" applyBorder="1" applyAlignment="1">
      <alignment vertical="center" wrapText="1"/>
    </xf>
    <xf numFmtId="170" fontId="17" fillId="0" borderId="0" xfId="0" applyNumberFormat="1" applyFont="1" applyAlignment="1">
      <alignment vertical="center" wrapText="1"/>
    </xf>
    <xf numFmtId="166" fontId="23" fillId="0" borderId="5" xfId="0" applyNumberFormat="1" applyFont="1" applyBorder="1" applyAlignment="1">
      <alignment vertical="center" wrapText="1"/>
    </xf>
    <xf numFmtId="166" fontId="23" fillId="0" borderId="8" xfId="0" applyNumberFormat="1" applyFont="1" applyBorder="1" applyAlignment="1">
      <alignment vertical="center" wrapText="1"/>
    </xf>
    <xf numFmtId="166" fontId="17" fillId="0" borderId="0" xfId="0" applyNumberFormat="1" applyFont="1" applyAlignment="1">
      <alignment vertical="center" wrapText="1"/>
    </xf>
    <xf numFmtId="2" fontId="17" fillId="0" borderId="0" xfId="0" applyNumberFormat="1" applyFont="1" applyAlignment="1">
      <alignment vertical="center" wrapText="1"/>
    </xf>
    <xf numFmtId="166" fontId="4" fillId="51" borderId="0" xfId="0" applyNumberFormat="1" applyFont="1" applyFill="1" applyAlignment="1">
      <alignment vertical="center" wrapText="1"/>
    </xf>
    <xf numFmtId="0" fontId="42" fillId="52" borderId="0" xfId="0" applyFont="1" applyFill="1" applyAlignment="1">
      <alignment horizontal="center" vertical="center" wrapText="1"/>
    </xf>
    <xf numFmtId="0" fontId="10" fillId="0" borderId="31" xfId="0" applyFont="1" applyBorder="1" applyAlignment="1">
      <alignment vertical="center" wrapText="1"/>
    </xf>
    <xf numFmtId="1" fontId="27" fillId="60" borderId="32" xfId="0" applyNumberFormat="1" applyFont="1" applyFill="1" applyBorder="1" applyAlignment="1">
      <alignment horizontal="right" vertical="center" wrapText="1"/>
    </xf>
    <xf numFmtId="0" fontId="38" fillId="61" borderId="31" xfId="0" applyFont="1" applyFill="1" applyBorder="1" applyAlignment="1">
      <alignment vertical="center" wrapText="1"/>
    </xf>
    <xf numFmtId="170" fontId="38" fillId="61" borderId="32" xfId="0" applyNumberFormat="1" applyFont="1" applyFill="1" applyBorder="1" applyAlignment="1">
      <alignment vertical="center" wrapText="1"/>
    </xf>
    <xf numFmtId="0" fontId="38" fillId="61" borderId="32" xfId="0" applyFont="1" applyFill="1" applyBorder="1" applyAlignment="1">
      <alignment vertical="center" wrapText="1"/>
    </xf>
    <xf numFmtId="0" fontId="38" fillId="61" borderId="34" xfId="0" applyFont="1" applyFill="1" applyBorder="1" applyAlignment="1">
      <alignment vertical="center" wrapText="1"/>
    </xf>
    <xf numFmtId="170" fontId="38" fillId="61" borderId="35" xfId="0" applyNumberFormat="1" applyFont="1" applyFill="1" applyBorder="1" applyAlignment="1">
      <alignment vertical="center" wrapText="1"/>
    </xf>
    <xf numFmtId="0" fontId="38" fillId="61" borderId="35" xfId="0" applyFont="1" applyFill="1" applyBorder="1" applyAlignment="1">
      <alignment vertical="center" wrapText="1"/>
    </xf>
    <xf numFmtId="0" fontId="41" fillId="62" borderId="28" xfId="0" applyFont="1" applyFill="1" applyBorder="1" applyAlignment="1">
      <alignment vertical="center" wrapText="1"/>
    </xf>
    <xf numFmtId="170" fontId="41" fillId="62" borderId="29" xfId="0" applyNumberFormat="1" applyFont="1" applyFill="1" applyBorder="1" applyAlignment="1">
      <alignment vertical="center" wrapText="1"/>
    </xf>
    <xf numFmtId="0" fontId="41" fillId="62" borderId="29" xfId="0" applyFont="1" applyFill="1" applyBorder="1" applyAlignment="1">
      <alignment vertical="center" wrapText="1"/>
    </xf>
    <xf numFmtId="0" fontId="3" fillId="57" borderId="31" xfId="0" applyFont="1" applyFill="1" applyBorder="1" applyAlignment="1">
      <alignment horizontal="center" vertical="center" wrapText="1"/>
    </xf>
    <xf numFmtId="170" fontId="3" fillId="57" borderId="32" xfId="0" applyNumberFormat="1" applyFont="1" applyFill="1" applyBorder="1" applyAlignment="1">
      <alignment horizontal="center" vertical="center" wrapText="1"/>
    </xf>
    <xf numFmtId="0" fontId="46" fillId="57" borderId="32" xfId="0" applyFont="1" applyFill="1" applyBorder="1" applyAlignment="1">
      <alignment horizontal="center" vertical="center" wrapText="1"/>
    </xf>
    <xf numFmtId="0" fontId="0" fillId="0" borderId="32" xfId="0" applyBorder="1" applyAlignment="1">
      <alignment vertical="center" wrapText="1"/>
    </xf>
    <xf numFmtId="0" fontId="16" fillId="0" borderId="31" xfId="0" applyFont="1" applyBorder="1" applyAlignment="1">
      <alignment vertical="center" wrapText="1"/>
    </xf>
    <xf numFmtId="178" fontId="7" fillId="0" borderId="32" xfId="0" applyNumberFormat="1" applyFont="1" applyBorder="1" applyAlignment="1">
      <alignment vertical="center" wrapText="1"/>
    </xf>
    <xf numFmtId="0" fontId="36" fillId="0" borderId="32" xfId="0" applyFont="1" applyBorder="1" applyAlignment="1">
      <alignment vertical="center" wrapText="1"/>
    </xf>
    <xf numFmtId="166" fontId="7" fillId="0" borderId="32" xfId="0" applyNumberFormat="1" applyFont="1" applyBorder="1" applyAlignment="1">
      <alignment vertical="center" wrapText="1"/>
    </xf>
    <xf numFmtId="0" fontId="10" fillId="59" borderId="31" xfId="0" applyFont="1" applyFill="1" applyBorder="1" applyAlignment="1">
      <alignment vertical="center" wrapText="1"/>
    </xf>
    <xf numFmtId="166" fontId="10" fillId="59" borderId="32" xfId="0" applyNumberFormat="1" applyFont="1" applyFill="1" applyBorder="1" applyAlignment="1">
      <alignment vertical="center" wrapText="1"/>
    </xf>
    <xf numFmtId="0" fontId="34" fillId="59" borderId="32" xfId="0" applyFont="1" applyFill="1" applyBorder="1" applyAlignment="1">
      <alignment vertical="center" wrapText="1"/>
    </xf>
    <xf numFmtId="0" fontId="16" fillId="38" borderId="31" xfId="0" applyFont="1" applyFill="1" applyBorder="1" applyAlignment="1">
      <alignment vertical="center" wrapText="1"/>
    </xf>
    <xf numFmtId="166" fontId="7" fillId="38" borderId="32" xfId="0" applyNumberFormat="1" applyFont="1" applyFill="1" applyBorder="1" applyAlignment="1">
      <alignment vertical="center" wrapText="1"/>
    </xf>
    <xf numFmtId="0" fontId="36" fillId="38" borderId="32" xfId="0" applyFont="1" applyFill="1" applyBorder="1" applyAlignment="1">
      <alignment vertical="center" wrapText="1"/>
    </xf>
    <xf numFmtId="0" fontId="10" fillId="38" borderId="31" xfId="0" applyFont="1" applyFill="1" applyBorder="1" applyAlignment="1">
      <alignment vertical="center" wrapText="1"/>
    </xf>
    <xf numFmtId="166" fontId="10" fillId="38" borderId="32" xfId="0" applyNumberFormat="1" applyFont="1" applyFill="1" applyBorder="1" applyAlignment="1">
      <alignment vertical="center" wrapText="1"/>
    </xf>
    <xf numFmtId="0" fontId="47" fillId="38" borderId="32" xfId="0" applyFont="1" applyFill="1" applyBorder="1" applyAlignment="1">
      <alignment vertical="center" wrapText="1"/>
    </xf>
    <xf numFmtId="0" fontId="0" fillId="0" borderId="33" xfId="0" applyBorder="1" applyAlignment="1">
      <alignment vertical="center" wrapText="1"/>
    </xf>
    <xf numFmtId="166" fontId="10" fillId="0" borderId="32" xfId="0" applyNumberFormat="1" applyFont="1" applyBorder="1" applyAlignment="1">
      <alignment vertical="center" wrapText="1"/>
    </xf>
    <xf numFmtId="0" fontId="47" fillId="0" borderId="32" xfId="0" applyFont="1" applyBorder="1" applyAlignment="1">
      <alignment vertical="center" wrapText="1"/>
    </xf>
    <xf numFmtId="166" fontId="0" fillId="0" borderId="32" xfId="0" applyNumberFormat="1" applyBorder="1" applyAlignment="1">
      <alignment vertical="center" wrapText="1"/>
    </xf>
    <xf numFmtId="0" fontId="10" fillId="59" borderId="34" xfId="0" applyFont="1" applyFill="1" applyBorder="1" applyAlignment="1">
      <alignment vertical="center" wrapText="1"/>
    </xf>
    <xf numFmtId="166" fontId="10" fillId="59" borderId="35" xfId="0" applyNumberFormat="1" applyFont="1" applyFill="1" applyBorder="1" applyAlignment="1">
      <alignment vertical="center" wrapText="1"/>
    </xf>
    <xf numFmtId="0" fontId="34" fillId="59" borderId="35" xfId="0" applyFont="1" applyFill="1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3" fillId="62" borderId="28" xfId="0" applyFont="1" applyFill="1" applyBorder="1" applyAlignment="1">
      <alignment horizontal="center" wrapText="1"/>
    </xf>
    <xf numFmtId="0" fontId="3" fillId="62" borderId="29" xfId="0" applyFont="1" applyFill="1" applyBorder="1" applyAlignment="1">
      <alignment horizontal="center" wrapText="1"/>
    </xf>
    <xf numFmtId="0" fontId="3" fillId="62" borderId="30" xfId="0" applyFont="1" applyFill="1" applyBorder="1" applyAlignment="1">
      <alignment horizontal="center" wrapText="1"/>
    </xf>
    <xf numFmtId="0" fontId="0" fillId="0" borderId="31" xfId="0" applyBorder="1" applyAlignment="1">
      <alignment wrapText="1"/>
    </xf>
    <xf numFmtId="166" fontId="4" fillId="60" borderId="32" xfId="0" applyNumberFormat="1" applyFont="1" applyFill="1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178" fontId="4" fillId="60" borderId="32" xfId="0" applyNumberFormat="1" applyFont="1" applyFill="1" applyBorder="1" applyAlignment="1">
      <alignment wrapText="1"/>
    </xf>
    <xf numFmtId="174" fontId="4" fillId="60" borderId="32" xfId="0" applyNumberFormat="1" applyFont="1" applyFill="1" applyBorder="1" applyAlignment="1">
      <alignment wrapText="1"/>
    </xf>
    <xf numFmtId="1" fontId="4" fillId="60" borderId="32" xfId="0" applyNumberFormat="1" applyFont="1" applyFill="1" applyBorder="1" applyAlignment="1">
      <alignment wrapText="1"/>
    </xf>
    <xf numFmtId="180" fontId="4" fillId="60" borderId="32" xfId="0" applyNumberFormat="1" applyFont="1" applyFill="1" applyBorder="1" applyAlignment="1">
      <alignment wrapText="1"/>
    </xf>
    <xf numFmtId="0" fontId="0" fillId="0" borderId="34" xfId="0" applyBorder="1" applyAlignment="1">
      <alignment wrapText="1"/>
    </xf>
    <xf numFmtId="174" fontId="4" fillId="60" borderId="35" xfId="0" applyNumberFormat="1" applyFont="1" applyFill="1" applyBorder="1" applyAlignment="1">
      <alignment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0" fontId="4" fillId="63" borderId="31" xfId="0" applyFont="1" applyFill="1" applyBorder="1" applyAlignment="1">
      <alignment wrapText="1"/>
    </xf>
    <xf numFmtId="0" fontId="8" fillId="0" borderId="32" xfId="0" applyFont="1" applyBorder="1" applyAlignment="1">
      <alignment wrapText="1"/>
    </xf>
    <xf numFmtId="168" fontId="8" fillId="0" borderId="32" xfId="0" applyNumberFormat="1" applyFont="1" applyBorder="1" applyAlignment="1">
      <alignment wrapText="1"/>
    </xf>
    <xf numFmtId="1" fontId="8" fillId="0" borderId="32" xfId="0" applyNumberFormat="1" applyFont="1" applyBorder="1" applyAlignment="1">
      <alignment wrapText="1"/>
    </xf>
    <xf numFmtId="0" fontId="4" fillId="63" borderId="32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33" xfId="0" applyFont="1" applyBorder="1" applyAlignment="1">
      <alignment wrapText="1"/>
    </xf>
    <xf numFmtId="0" fontId="4" fillId="63" borderId="34" xfId="0" applyFont="1" applyFill="1" applyBorder="1" applyAlignment="1">
      <alignment wrapText="1"/>
    </xf>
    <xf numFmtId="0" fontId="8" fillId="0" borderId="35" xfId="0" applyFont="1" applyBorder="1" applyAlignment="1">
      <alignment wrapText="1"/>
    </xf>
    <xf numFmtId="168" fontId="8" fillId="0" borderId="35" xfId="0" applyNumberFormat="1" applyFont="1" applyBorder="1" applyAlignment="1">
      <alignment wrapText="1"/>
    </xf>
    <xf numFmtId="1" fontId="8" fillId="0" borderId="35" xfId="0" applyNumberFormat="1" applyFont="1" applyBorder="1" applyAlignment="1">
      <alignment wrapText="1"/>
    </xf>
    <xf numFmtId="0" fontId="4" fillId="63" borderId="35" xfId="0" applyFont="1" applyFill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36" xfId="0" applyFont="1" applyBorder="1" applyAlignment="1">
      <alignment wrapText="1"/>
    </xf>
    <xf numFmtId="0" fontId="4" fillId="0" borderId="31" xfId="0" applyFont="1" applyBorder="1" applyAlignment="1">
      <alignment wrapText="1"/>
    </xf>
    <xf numFmtId="0" fontId="4" fillId="0" borderId="32" xfId="0" applyFont="1" applyBorder="1" applyAlignment="1">
      <alignment wrapText="1"/>
    </xf>
    <xf numFmtId="178" fontId="4" fillId="0" borderId="32" xfId="0" applyNumberFormat="1" applyFont="1" applyBorder="1" applyAlignment="1">
      <alignment wrapText="1"/>
    </xf>
    <xf numFmtId="164" fontId="4" fillId="0" borderId="32" xfId="0" applyNumberFormat="1" applyFont="1" applyBorder="1" applyAlignment="1">
      <alignment wrapText="1"/>
    </xf>
    <xf numFmtId="1" fontId="4" fillId="0" borderId="32" xfId="0" applyNumberFormat="1" applyFont="1" applyBorder="1" applyAlignment="1">
      <alignment wrapText="1"/>
    </xf>
    <xf numFmtId="0" fontId="7" fillId="0" borderId="32" xfId="0" applyFont="1" applyBorder="1" applyAlignment="1">
      <alignment wrapText="1"/>
    </xf>
    <xf numFmtId="168" fontId="7" fillId="0" borderId="32" xfId="0" applyNumberFormat="1" applyFont="1" applyBorder="1" applyAlignment="1">
      <alignment wrapText="1"/>
    </xf>
    <xf numFmtId="178" fontId="7" fillId="0" borderId="32" xfId="0" applyNumberFormat="1" applyFont="1" applyBorder="1" applyAlignment="1">
      <alignment wrapText="1"/>
    </xf>
    <xf numFmtId="164" fontId="7" fillId="0" borderId="32" xfId="0" applyNumberFormat="1" applyFont="1" applyBorder="1" applyAlignment="1">
      <alignment wrapText="1"/>
    </xf>
    <xf numFmtId="1" fontId="7" fillId="0" borderId="32" xfId="0" applyNumberFormat="1" applyFont="1" applyBorder="1" applyAlignment="1">
      <alignment wrapText="1"/>
    </xf>
    <xf numFmtId="0" fontId="7" fillId="0" borderId="33" xfId="0" applyFont="1" applyBorder="1" applyAlignment="1">
      <alignment wrapText="1"/>
    </xf>
    <xf numFmtId="0" fontId="4" fillId="0" borderId="34" xfId="0" applyFont="1" applyBorder="1" applyAlignment="1">
      <alignment wrapText="1"/>
    </xf>
    <xf numFmtId="0" fontId="4" fillId="0" borderId="35" xfId="0" applyFont="1" applyBorder="1" applyAlignment="1">
      <alignment wrapText="1"/>
    </xf>
    <xf numFmtId="178" fontId="4" fillId="0" borderId="35" xfId="0" applyNumberFormat="1" applyFont="1" applyBorder="1" applyAlignment="1">
      <alignment wrapText="1"/>
    </xf>
    <xf numFmtId="164" fontId="4" fillId="0" borderId="35" xfId="0" applyNumberFormat="1" applyFont="1" applyBorder="1" applyAlignment="1">
      <alignment wrapText="1"/>
    </xf>
    <xf numFmtId="1" fontId="4" fillId="0" borderId="35" xfId="0" applyNumberFormat="1" applyFont="1" applyBorder="1" applyAlignment="1">
      <alignment wrapText="1"/>
    </xf>
    <xf numFmtId="0" fontId="7" fillId="0" borderId="35" xfId="0" applyFont="1" applyBorder="1" applyAlignment="1">
      <alignment wrapText="1"/>
    </xf>
    <xf numFmtId="168" fontId="7" fillId="0" borderId="35" xfId="0" applyNumberFormat="1" applyFont="1" applyBorder="1" applyAlignment="1">
      <alignment wrapText="1"/>
    </xf>
    <xf numFmtId="178" fontId="7" fillId="0" borderId="35" xfId="0" applyNumberFormat="1" applyFont="1" applyBorder="1" applyAlignment="1">
      <alignment wrapText="1"/>
    </xf>
    <xf numFmtId="164" fontId="7" fillId="0" borderId="35" xfId="0" applyNumberFormat="1" applyFont="1" applyBorder="1" applyAlignment="1">
      <alignment wrapText="1"/>
    </xf>
    <xf numFmtId="1" fontId="7" fillId="0" borderId="35" xfId="0" applyNumberFormat="1" applyFont="1" applyBorder="1" applyAlignment="1">
      <alignment wrapText="1"/>
    </xf>
    <xf numFmtId="0" fontId="7" fillId="0" borderId="36" xfId="0" applyFont="1" applyBorder="1" applyAlignment="1">
      <alignment wrapText="1"/>
    </xf>
    <xf numFmtId="0" fontId="0" fillId="61" borderId="0" xfId="0" applyFill="1" applyAlignment="1">
      <alignment wrapText="1"/>
    </xf>
    <xf numFmtId="0" fontId="0" fillId="61" borderId="0" xfId="0" applyFill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4" borderId="0" xfId="0" applyFont="1" applyFill="1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3" fillId="11" borderId="0" xfId="0" applyFont="1" applyFill="1"/>
    <xf numFmtId="0" fontId="3" fillId="9" borderId="0" xfId="0" applyFont="1" applyFill="1"/>
    <xf numFmtId="0" fontId="2" fillId="10" borderId="0" xfId="0" applyFont="1" applyFill="1" applyAlignment="1">
      <alignment wrapText="1"/>
    </xf>
    <xf numFmtId="166" fontId="2" fillId="10" borderId="0" xfId="0" applyNumberFormat="1" applyFont="1" applyFill="1" applyAlignment="1">
      <alignment wrapText="1"/>
    </xf>
    <xf numFmtId="167" fontId="3" fillId="9" borderId="0" xfId="0" applyNumberFormat="1" applyFont="1" applyFill="1"/>
    <xf numFmtId="0" fontId="1" fillId="9" borderId="0" xfId="0" applyFont="1" applyFill="1"/>
    <xf numFmtId="0" fontId="10" fillId="7" borderId="0" xfId="0" applyFont="1" applyFill="1" applyAlignment="1">
      <alignment wrapText="1"/>
    </xf>
    <xf numFmtId="0" fontId="10" fillId="12" borderId="0" xfId="0" applyFont="1" applyFill="1" applyAlignment="1">
      <alignment wrapText="1"/>
    </xf>
    <xf numFmtId="0" fontId="3" fillId="13" borderId="0" xfId="0" applyFont="1" applyFill="1" applyAlignment="1">
      <alignment wrapText="1"/>
    </xf>
    <xf numFmtId="0" fontId="2" fillId="14" borderId="0" xfId="0" applyFont="1" applyFill="1" applyAlignment="1">
      <alignment vertical="center" wrapText="1"/>
    </xf>
    <xf numFmtId="0" fontId="15" fillId="13" borderId="0" xfId="0" applyFont="1" applyFill="1" applyAlignment="1">
      <alignment vertical="center" wrapText="1"/>
    </xf>
    <xf numFmtId="0" fontId="2" fillId="14" borderId="0" xfId="0" applyFont="1" applyFill="1" applyAlignment="1">
      <alignment wrapText="1"/>
    </xf>
    <xf numFmtId="0" fontId="17" fillId="0" borderId="8" xfId="0" applyFont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0" fontId="20" fillId="21" borderId="0" xfId="0" applyFont="1" applyFill="1" applyAlignment="1">
      <alignment horizontal="left" vertical="center" wrapText="1"/>
    </xf>
    <xf numFmtId="0" fontId="25" fillId="26" borderId="0" xfId="0" applyFont="1" applyFill="1" applyAlignment="1">
      <alignment vertical="center" wrapText="1"/>
    </xf>
    <xf numFmtId="0" fontId="18" fillId="21" borderId="0" xfId="0" applyFont="1" applyFill="1" applyAlignment="1">
      <alignment horizontal="left" vertical="center" wrapText="1"/>
    </xf>
    <xf numFmtId="0" fontId="19" fillId="22" borderId="0" xfId="0" applyFont="1" applyFill="1" applyAlignment="1">
      <alignment vertical="center" wrapText="1"/>
    </xf>
    <xf numFmtId="0" fontId="5" fillId="27" borderId="0" xfId="0" applyFont="1" applyFill="1" applyAlignment="1">
      <alignment vertical="center"/>
    </xf>
    <xf numFmtId="0" fontId="26" fillId="28" borderId="0" xfId="0" applyFont="1" applyFill="1" applyAlignment="1">
      <alignment wrapText="1"/>
    </xf>
    <xf numFmtId="0" fontId="3" fillId="27" borderId="0" xfId="0" applyFont="1" applyFill="1"/>
    <xf numFmtId="0" fontId="3" fillId="30" borderId="0" xfId="0" applyFont="1" applyFill="1"/>
    <xf numFmtId="0" fontId="10" fillId="31" borderId="0" xfId="0" applyFont="1" applyFill="1" applyAlignment="1">
      <alignment vertical="top" wrapText="1"/>
    </xf>
    <xf numFmtId="0" fontId="30" fillId="37" borderId="0" xfId="0" applyFont="1" applyFill="1" applyAlignment="1">
      <alignment wrapText="1"/>
    </xf>
    <xf numFmtId="0" fontId="27" fillId="33" borderId="0" xfId="0" applyFont="1" applyFill="1" applyAlignment="1">
      <alignment vertical="top" wrapText="1"/>
    </xf>
    <xf numFmtId="0" fontId="28" fillId="39" borderId="0" xfId="0" applyFont="1" applyFill="1" applyAlignment="1">
      <alignment vertical="center" wrapText="1"/>
    </xf>
    <xf numFmtId="0" fontId="35" fillId="40" borderId="0" xfId="0" applyFont="1" applyFill="1" applyAlignment="1">
      <alignment vertical="center" wrapText="1"/>
    </xf>
    <xf numFmtId="0" fontId="3" fillId="41" borderId="10" xfId="0" applyFont="1" applyFill="1" applyBorder="1" applyAlignment="1">
      <alignment horizontal="left" vertical="center" wrapText="1"/>
    </xf>
    <xf numFmtId="0" fontId="3" fillId="41" borderId="11" xfId="0" applyFont="1" applyFill="1" applyBorder="1" applyAlignment="1">
      <alignment horizontal="left" vertical="center" wrapText="1"/>
    </xf>
    <xf numFmtId="0" fontId="3" fillId="41" borderId="12" xfId="0" applyFont="1" applyFill="1" applyBorder="1" applyAlignment="1">
      <alignment horizontal="left" vertical="center" wrapText="1"/>
    </xf>
    <xf numFmtId="0" fontId="36" fillId="0" borderId="14" xfId="0" applyFont="1" applyBorder="1" applyAlignment="1">
      <alignment vertical="center" wrapText="1"/>
    </xf>
    <xf numFmtId="0" fontId="36" fillId="0" borderId="15" xfId="0" applyFont="1" applyBorder="1" applyAlignment="1">
      <alignment vertical="center" wrapText="1"/>
    </xf>
    <xf numFmtId="0" fontId="3" fillId="41" borderId="10" xfId="0" applyFont="1" applyFill="1" applyBorder="1" applyAlignment="1">
      <alignment vertical="center" wrapText="1"/>
    </xf>
    <xf numFmtId="0" fontId="3" fillId="41" borderId="11" xfId="0" applyFont="1" applyFill="1" applyBorder="1" applyAlignment="1">
      <alignment vertical="center" wrapText="1"/>
    </xf>
    <xf numFmtId="0" fontId="3" fillId="41" borderId="12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168" fontId="8" fillId="0" borderId="14" xfId="0" applyNumberFormat="1" applyFont="1" applyBorder="1" applyAlignment="1">
      <alignment vertical="center" wrapText="1"/>
    </xf>
    <xf numFmtId="170" fontId="8" fillId="0" borderId="14" xfId="0" applyNumberFormat="1" applyFont="1" applyBorder="1" applyAlignment="1">
      <alignment vertical="center" wrapText="1"/>
    </xf>
    <xf numFmtId="166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166" fontId="8" fillId="5" borderId="0" xfId="0" applyNumberFormat="1" applyFont="1" applyFill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31" fillId="41" borderId="10" xfId="0" applyFont="1" applyFill="1" applyBorder="1" applyAlignment="1">
      <alignment vertical="center" wrapText="1"/>
    </xf>
    <xf numFmtId="0" fontId="31" fillId="41" borderId="11" xfId="0" applyFont="1" applyFill="1" applyBorder="1" applyAlignment="1">
      <alignment vertical="center" wrapText="1"/>
    </xf>
    <xf numFmtId="0" fontId="31" fillId="41" borderId="12" xfId="0" applyFont="1" applyFill="1" applyBorder="1" applyAlignment="1">
      <alignment vertical="center" wrapText="1"/>
    </xf>
    <xf numFmtId="0" fontId="31" fillId="41" borderId="0" xfId="0" applyFont="1" applyFill="1" applyAlignment="1">
      <alignment vertical="center" wrapText="1"/>
    </xf>
    <xf numFmtId="0" fontId="3" fillId="39" borderId="10" xfId="0" applyFont="1" applyFill="1" applyBorder="1" applyAlignment="1">
      <alignment horizontal="center" vertical="center" wrapText="1"/>
    </xf>
    <xf numFmtId="0" fontId="3" fillId="39" borderId="11" xfId="0" applyFont="1" applyFill="1" applyBorder="1" applyAlignment="1">
      <alignment horizontal="center" vertical="center" wrapText="1"/>
    </xf>
    <xf numFmtId="0" fontId="3" fillId="39" borderId="12" xfId="0" applyFont="1" applyFill="1" applyBorder="1" applyAlignment="1">
      <alignment horizontal="center" vertical="center" wrapText="1"/>
    </xf>
    <xf numFmtId="1" fontId="27" fillId="60" borderId="32" xfId="0" applyNumberFormat="1" applyFont="1" applyFill="1" applyBorder="1" applyAlignment="1">
      <alignment horizontal="right" vertical="center" wrapText="1"/>
    </xf>
    <xf numFmtId="1" fontId="27" fillId="60" borderId="33" xfId="0" applyNumberFormat="1" applyFont="1" applyFill="1" applyBorder="1" applyAlignment="1">
      <alignment horizontal="right" vertical="center" wrapText="1"/>
    </xf>
    <xf numFmtId="0" fontId="44" fillId="61" borderId="32" xfId="0" applyFont="1" applyFill="1" applyBorder="1" applyAlignment="1">
      <alignment horizontal="center" vertical="center" wrapText="1"/>
    </xf>
    <xf numFmtId="0" fontId="44" fillId="61" borderId="33" xfId="0" applyFont="1" applyFill="1" applyBorder="1" applyAlignment="1">
      <alignment horizontal="center" vertical="center" wrapText="1"/>
    </xf>
    <xf numFmtId="0" fontId="44" fillId="61" borderId="35" xfId="0" applyFont="1" applyFill="1" applyBorder="1" applyAlignment="1">
      <alignment horizontal="center" vertical="center" wrapText="1"/>
    </xf>
    <xf numFmtId="0" fontId="44" fillId="61" borderId="36" xfId="0" applyFont="1" applyFill="1" applyBorder="1" applyAlignment="1">
      <alignment horizontal="center" vertical="center" wrapText="1"/>
    </xf>
    <xf numFmtId="0" fontId="33" fillId="45" borderId="14" xfId="0" applyFont="1" applyFill="1" applyBorder="1" applyAlignment="1">
      <alignment horizontal="center" vertical="center" wrapText="1"/>
    </xf>
    <xf numFmtId="0" fontId="33" fillId="45" borderId="15" xfId="0" applyFont="1" applyFill="1" applyBorder="1" applyAlignment="1">
      <alignment horizontal="center" vertical="center" wrapText="1"/>
    </xf>
    <xf numFmtId="0" fontId="41" fillId="62" borderId="29" xfId="0" applyFont="1" applyFill="1" applyBorder="1" applyAlignment="1">
      <alignment horizontal="center" vertical="center" wrapText="1"/>
    </xf>
    <xf numFmtId="0" fontId="41" fillId="62" borderId="30" xfId="0" applyFont="1" applyFill="1" applyBorder="1" applyAlignment="1">
      <alignment horizontal="center" vertical="center" wrapText="1"/>
    </xf>
    <xf numFmtId="0" fontId="16" fillId="38" borderId="32" xfId="0" applyFont="1" applyFill="1" applyBorder="1" applyAlignment="1">
      <alignment vertical="center" wrapText="1"/>
    </xf>
    <xf numFmtId="178" fontId="8" fillId="38" borderId="32" xfId="0" applyNumberFormat="1" applyFont="1" applyFill="1" applyBorder="1" applyAlignment="1">
      <alignment vertical="center" wrapText="1"/>
    </xf>
    <xf numFmtId="0" fontId="8" fillId="38" borderId="33" xfId="0" applyFont="1" applyFill="1" applyBorder="1" applyAlignment="1">
      <alignment vertical="center" wrapText="1"/>
    </xf>
    <xf numFmtId="179" fontId="8" fillId="38" borderId="32" xfId="0" applyNumberFormat="1" applyFont="1" applyFill="1" applyBorder="1" applyAlignment="1">
      <alignment vertical="center" wrapText="1"/>
    </xf>
    <xf numFmtId="168" fontId="8" fillId="38" borderId="32" xfId="0" applyNumberFormat="1" applyFont="1" applyFill="1" applyBorder="1" applyAlignment="1">
      <alignment vertical="center" wrapText="1"/>
    </xf>
    <xf numFmtId="0" fontId="8" fillId="38" borderId="32" xfId="0" applyFont="1" applyFill="1" applyBorder="1" applyAlignment="1">
      <alignment vertical="center" wrapText="1"/>
    </xf>
    <xf numFmtId="0" fontId="16" fillId="7" borderId="32" xfId="0" applyFont="1" applyFill="1" applyBorder="1" applyAlignment="1">
      <alignment vertical="center" wrapText="1"/>
    </xf>
    <xf numFmtId="0" fontId="16" fillId="7" borderId="33" xfId="0" applyFont="1" applyFill="1" applyBorder="1" applyAlignment="1">
      <alignment vertical="center" wrapText="1"/>
    </xf>
    <xf numFmtId="0" fontId="10" fillId="60" borderId="32" xfId="0" applyFont="1" applyFill="1" applyBorder="1" applyAlignment="1">
      <alignment horizontal="center" vertical="center" wrapText="1"/>
    </xf>
    <xf numFmtId="0" fontId="10" fillId="60" borderId="33" xfId="0" applyFont="1" applyFill="1" applyBorder="1" applyAlignment="1">
      <alignment horizontal="center" vertical="center" wrapText="1"/>
    </xf>
    <xf numFmtId="0" fontId="16" fillId="40" borderId="14" xfId="0" applyFont="1" applyFill="1" applyBorder="1" applyAlignment="1">
      <alignment vertical="center" wrapText="1"/>
    </xf>
    <xf numFmtId="0" fontId="16" fillId="40" borderId="15" xfId="0" applyFont="1" applyFill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8" fontId="7" fillId="0" borderId="14" xfId="0" applyNumberFormat="1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166" fontId="7" fillId="0" borderId="14" xfId="0" applyNumberFormat="1" applyFont="1" applyBorder="1" applyAlignment="1">
      <alignment vertical="center" wrapText="1"/>
    </xf>
    <xf numFmtId="174" fontId="7" fillId="0" borderId="14" xfId="0" applyNumberFormat="1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3" fillId="41" borderId="10" xfId="0" applyFont="1" applyFill="1" applyBorder="1" applyAlignment="1">
      <alignment horizontal="center" vertical="center" wrapText="1"/>
    </xf>
    <xf numFmtId="0" fontId="3" fillId="41" borderId="11" xfId="0" applyFont="1" applyFill="1" applyBorder="1" applyAlignment="1">
      <alignment horizontal="center" vertical="center" wrapText="1"/>
    </xf>
    <xf numFmtId="0" fontId="3" fillId="41" borderId="12" xfId="0" applyFont="1" applyFill="1" applyBorder="1" applyAlignment="1">
      <alignment horizontal="center" vertical="center" wrapText="1"/>
    </xf>
    <xf numFmtId="0" fontId="3" fillId="41" borderId="0" xfId="0" applyFont="1" applyFill="1" applyAlignment="1">
      <alignment horizontal="center" vertical="center" wrapText="1"/>
    </xf>
    <xf numFmtId="0" fontId="4" fillId="42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174" fontId="8" fillId="0" borderId="0" xfId="0" applyNumberFormat="1" applyFont="1" applyAlignment="1">
      <alignment vertical="center" wrapText="1"/>
    </xf>
    <xf numFmtId="0" fontId="31" fillId="57" borderId="0" xfId="0" applyFont="1" applyFill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6" fillId="58" borderId="32" xfId="0" applyFont="1" applyFill="1" applyBorder="1" applyAlignment="1">
      <alignment horizontal="right" vertical="center" wrapText="1"/>
    </xf>
    <xf numFmtId="0" fontId="10" fillId="58" borderId="32" xfId="0" applyFont="1" applyFill="1" applyBorder="1" applyAlignment="1">
      <alignment horizontal="right" vertical="center" wrapText="1"/>
    </xf>
    <xf numFmtId="174" fontId="16" fillId="58" borderId="32" xfId="0" applyNumberFormat="1" applyFont="1" applyFill="1" applyBorder="1" applyAlignment="1">
      <alignment horizontal="right" vertical="center" wrapText="1"/>
    </xf>
    <xf numFmtId="0" fontId="16" fillId="58" borderId="33" xfId="0" applyFont="1" applyFill="1" applyBorder="1" applyAlignment="1">
      <alignment horizontal="right" vertical="center" wrapText="1"/>
    </xf>
    <xf numFmtId="166" fontId="16" fillId="58" borderId="32" xfId="0" applyNumberFormat="1" applyFont="1" applyFill="1" applyBorder="1" applyAlignment="1">
      <alignment horizontal="right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66" fontId="10" fillId="58" borderId="32" xfId="0" applyNumberFormat="1" applyFont="1" applyFill="1" applyBorder="1" applyAlignment="1">
      <alignment horizontal="right" vertical="center" wrapText="1"/>
    </xf>
    <xf numFmtId="0" fontId="10" fillId="58" borderId="33" xfId="0" applyFont="1" applyFill="1" applyBorder="1" applyAlignment="1">
      <alignment horizontal="right" vertical="center" wrapText="1"/>
    </xf>
    <xf numFmtId="166" fontId="32" fillId="58" borderId="32" xfId="0" applyNumberFormat="1" applyFont="1" applyFill="1" applyBorder="1" applyAlignment="1">
      <alignment horizontal="right" vertical="center" wrapText="1"/>
    </xf>
    <xf numFmtId="0" fontId="32" fillId="58" borderId="32" xfId="0" applyFont="1" applyFill="1" applyBorder="1" applyAlignment="1">
      <alignment horizontal="right" vertical="center" wrapText="1"/>
    </xf>
    <xf numFmtId="0" fontId="32" fillId="58" borderId="33" xfId="0" applyFont="1" applyFill="1" applyBorder="1" applyAlignment="1">
      <alignment horizontal="right" vertical="center" wrapText="1"/>
    </xf>
    <xf numFmtId="0" fontId="37" fillId="57" borderId="28" xfId="0" applyFont="1" applyFill="1" applyBorder="1" applyAlignment="1">
      <alignment horizontal="center" vertical="center" wrapText="1"/>
    </xf>
    <xf numFmtId="0" fontId="37" fillId="57" borderId="29" xfId="0" applyFont="1" applyFill="1" applyBorder="1" applyAlignment="1">
      <alignment horizontal="center" vertical="center" wrapText="1"/>
    </xf>
    <xf numFmtId="166" fontId="37" fillId="57" borderId="29" xfId="0" applyNumberFormat="1" applyFont="1" applyFill="1" applyBorder="1" applyAlignment="1">
      <alignment horizontal="center" vertical="center" wrapText="1"/>
    </xf>
    <xf numFmtId="0" fontId="37" fillId="57" borderId="30" xfId="0" applyFont="1" applyFill="1" applyBorder="1" applyAlignment="1">
      <alignment horizontal="center" vertical="center" wrapText="1"/>
    </xf>
    <xf numFmtId="0" fontId="3" fillId="57" borderId="32" xfId="0" applyFont="1" applyFill="1" applyBorder="1" applyAlignment="1">
      <alignment horizontal="center" vertical="center" wrapText="1"/>
    </xf>
    <xf numFmtId="0" fontId="3" fillId="57" borderId="33" xfId="0" applyFont="1" applyFill="1" applyBorder="1" applyAlignment="1">
      <alignment horizontal="center" vertical="center" wrapText="1"/>
    </xf>
    <xf numFmtId="0" fontId="31" fillId="49" borderId="0" xfId="0" applyFont="1" applyFill="1" applyAlignment="1">
      <alignment vertical="center" wrapText="1"/>
    </xf>
    <xf numFmtId="0" fontId="40" fillId="48" borderId="0" xfId="0" applyFont="1" applyFill="1" applyAlignment="1">
      <alignment vertical="center" wrapText="1"/>
    </xf>
    <xf numFmtId="166" fontId="29" fillId="58" borderId="32" xfId="0" applyNumberFormat="1" applyFont="1" applyFill="1" applyBorder="1" applyAlignment="1">
      <alignment horizontal="right" vertical="center" wrapText="1"/>
    </xf>
    <xf numFmtId="0" fontId="29" fillId="58" borderId="32" xfId="0" applyFont="1" applyFill="1" applyBorder="1" applyAlignment="1">
      <alignment horizontal="right" vertical="center" wrapText="1"/>
    </xf>
    <xf numFmtId="0" fontId="29" fillId="58" borderId="33" xfId="0" applyFont="1" applyFill="1" applyBorder="1" applyAlignment="1">
      <alignment horizontal="right" vertical="center" wrapText="1"/>
    </xf>
    <xf numFmtId="0" fontId="41" fillId="54" borderId="0" xfId="0" applyFont="1" applyFill="1" applyAlignment="1">
      <alignment horizontal="center" vertical="center" wrapText="1"/>
    </xf>
    <xf numFmtId="166" fontId="16" fillId="53" borderId="0" xfId="0" applyNumberFormat="1" applyFont="1" applyFill="1" applyAlignment="1">
      <alignment vertical="center" wrapText="1"/>
    </xf>
    <xf numFmtId="0" fontId="16" fillId="53" borderId="0" xfId="0" applyFont="1" applyFill="1" applyAlignment="1">
      <alignment vertical="center" wrapText="1"/>
    </xf>
    <xf numFmtId="0" fontId="3" fillId="55" borderId="0" xfId="0" applyFont="1" applyFill="1" applyAlignment="1">
      <alignment horizontal="center" vertical="center" wrapText="1"/>
    </xf>
    <xf numFmtId="166" fontId="16" fillId="33" borderId="0" xfId="0" applyNumberFormat="1" applyFont="1" applyFill="1" applyAlignment="1">
      <alignment vertical="center" wrapText="1"/>
    </xf>
    <xf numFmtId="0" fontId="27" fillId="7" borderId="0" xfId="0" applyFont="1" applyFill="1" applyAlignment="1">
      <alignment vertical="center" wrapText="1"/>
    </xf>
    <xf numFmtId="0" fontId="43" fillId="52" borderId="0" xfId="0" applyFont="1" applyFill="1" applyAlignment="1">
      <alignment vertical="center" wrapText="1"/>
    </xf>
    <xf numFmtId="166" fontId="43" fillId="52" borderId="0" xfId="0" applyNumberFormat="1" applyFont="1" applyFill="1" applyAlignment="1">
      <alignment vertical="center" wrapText="1"/>
    </xf>
    <xf numFmtId="1" fontId="16" fillId="53" borderId="0" xfId="0" applyNumberFormat="1" applyFont="1" applyFill="1" applyAlignment="1">
      <alignment vertical="center" wrapText="1"/>
    </xf>
    <xf numFmtId="174" fontId="16" fillId="53" borderId="0" xfId="0" applyNumberFormat="1" applyFont="1" applyFill="1" applyAlignment="1">
      <alignment vertical="center" wrapText="1"/>
    </xf>
    <xf numFmtId="177" fontId="16" fillId="53" borderId="0" xfId="0" applyNumberFormat="1" applyFont="1" applyFill="1" applyAlignment="1">
      <alignment vertical="center" wrapText="1"/>
    </xf>
    <xf numFmtId="2" fontId="16" fillId="53" borderId="0" xfId="0" applyNumberFormat="1" applyFont="1" applyFill="1" applyAlignment="1">
      <alignment vertical="center" wrapText="1"/>
    </xf>
    <xf numFmtId="0" fontId="42" fillId="52" borderId="0" xfId="0" applyFont="1" applyFill="1" applyAlignment="1">
      <alignment horizontal="center" vertical="center" wrapText="1"/>
    </xf>
    <xf numFmtId="0" fontId="42" fillId="56" borderId="0" xfId="0" applyFont="1" applyFill="1" applyAlignment="1">
      <alignment horizontal="center" vertical="center" wrapText="1"/>
    </xf>
    <xf numFmtId="0" fontId="45" fillId="55" borderId="0" xfId="0" applyFont="1" applyFill="1" applyAlignment="1">
      <alignment horizontal="center" vertical="center" wrapText="1"/>
    </xf>
    <xf numFmtId="166" fontId="45" fillId="55" borderId="0" xfId="0" applyNumberFormat="1" applyFont="1" applyFill="1" applyAlignment="1">
      <alignment horizontal="center" vertical="center" wrapText="1"/>
    </xf>
    <xf numFmtId="0" fontId="27" fillId="60" borderId="31" xfId="0" applyFont="1" applyFill="1" applyBorder="1" applyAlignment="1">
      <alignment horizontal="center" vertical="center" wrapText="1"/>
    </xf>
    <xf numFmtId="0" fontId="27" fillId="60" borderId="32" xfId="0" applyFont="1" applyFill="1" applyBorder="1" applyAlignment="1">
      <alignment horizontal="center"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4" fontId="16" fillId="56" borderId="0" xfId="0" applyNumberFormat="1" applyFont="1" applyFill="1" applyAlignment="1">
      <alignment vertical="center" wrapText="1"/>
    </xf>
    <xf numFmtId="0" fontId="16" fillId="56" borderId="0" xfId="0" applyFont="1" applyFill="1" applyAlignment="1">
      <alignment vertical="center" wrapText="1"/>
    </xf>
    <xf numFmtId="166" fontId="16" fillId="56" borderId="0" xfId="0" applyNumberFormat="1" applyFont="1" applyFill="1" applyAlignment="1">
      <alignment vertical="center" wrapText="1"/>
    </xf>
    <xf numFmtId="0" fontId="29" fillId="51" borderId="0" xfId="0" applyFont="1" applyFill="1" applyAlignment="1">
      <alignment vertical="center" wrapText="1"/>
    </xf>
    <xf numFmtId="1" fontId="29" fillId="51" borderId="0" xfId="0" applyNumberFormat="1" applyFont="1" applyFill="1" applyAlignment="1">
      <alignment vertical="center" wrapText="1"/>
    </xf>
    <xf numFmtId="0" fontId="38" fillId="56" borderId="0" xfId="0" applyFont="1" applyFill="1" applyAlignment="1">
      <alignment vertical="top" wrapText="1"/>
    </xf>
    <xf numFmtId="0" fontId="44" fillId="56" borderId="0" xfId="0" applyFont="1" applyFill="1" applyAlignment="1">
      <alignment horizontal="center" vertical="top" wrapText="1"/>
    </xf>
    <xf numFmtId="166" fontId="27" fillId="53" borderId="0" xfId="0" applyNumberFormat="1" applyFont="1" applyFill="1" applyAlignment="1">
      <alignment vertical="center" wrapText="1"/>
    </xf>
    <xf numFmtId="0" fontId="1" fillId="57" borderId="0" xfId="0" applyFont="1" applyFill="1" applyAlignment="1">
      <alignment vertical="center" wrapText="1"/>
    </xf>
    <xf numFmtId="0" fontId="26" fillId="59" borderId="0" xfId="0" applyFont="1" applyFill="1" applyAlignment="1">
      <alignment wrapText="1"/>
    </xf>
    <xf numFmtId="0" fontId="1" fillId="57" borderId="0" xfId="0" applyFont="1" applyFill="1" applyAlignment="1">
      <alignment wrapText="1"/>
    </xf>
    <xf numFmtId="0" fontId="3" fillId="62" borderId="0" xfId="0" applyFont="1" applyFill="1"/>
    <xf numFmtId="0" fontId="16" fillId="61" borderId="0" xfId="0" applyFont="1" applyFill="1" applyAlignment="1">
      <alignment wrapText="1"/>
    </xf>
    <xf numFmtId="0" fontId="3" fillId="62" borderId="0" xfId="0" applyFont="1" applyFill="1" applyAlignment="1">
      <alignment wrapText="1"/>
    </xf>
    <xf numFmtId="0" fontId="10" fillId="59" borderId="0" xfId="0" applyFont="1" applyFill="1" applyAlignment="1">
      <alignment wrapText="1"/>
    </xf>
  </cellXfs>
  <cellStyles count="1">
    <cellStyle name="Normal" xfId="0" builtinId="0"/>
  </cellStyles>
  <dxfs count="42"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17332D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7332D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17332D"/>
      </font>
      <fill>
        <patternFill>
          <bgColor rgb="FFF7F9F8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7332D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17332D"/>
      </font>
      <fill>
        <patternFill>
          <bgColor rgb="FFF7F9F8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17332D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17332D"/>
      </font>
      <fill>
        <patternFill>
          <bgColor rgb="FFDDEFEA"/>
        </patternFill>
      </fill>
    </dxf>
    <dxf>
      <font>
        <b/>
        <color rgb="FFFFFFFF"/>
      </font>
      <fill>
        <patternFill>
          <bgColor rgb="FF155E52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E2F0D9"/>
        </patternFill>
      </fill>
    </dxf>
    <dxf>
      <font>
        <b/>
        <color rgb="FFC00000"/>
      </font>
      <fill>
        <patternFill>
          <bgColor rgb="FFFCE8E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ont>
        <b/>
        <color rgb="FF17332D"/>
      </font>
      <fill>
        <patternFill>
          <bgColor rgb="FFDDEFEA"/>
        </patternFill>
      </fill>
    </dxf>
    <dxf>
      <font>
        <color rgb="FFB42318"/>
      </font>
      <fill>
        <patternFill>
          <bgColor rgb="FFFDE2E2"/>
        </patternFill>
      </fill>
    </dxf>
    <dxf>
      <font>
        <color rgb="FFB42318"/>
      </font>
      <fill>
        <patternFill>
          <bgColor rgb="FFFDE2E2"/>
        </patternFill>
      </fill>
    </dxf>
    <dxf>
      <font>
        <color rgb="FFB42318"/>
      </font>
      <fill>
        <patternFill>
          <bgColor rgb="FFFDE2E2"/>
        </patternFill>
      </fill>
    </dxf>
    <dxf>
      <font>
        <color rgb="FFB42318"/>
      </font>
      <fill>
        <patternFill>
          <bgColor rgb="FFFDE2E2"/>
        </patternFill>
      </fill>
    </dxf>
    <dxf>
      <font>
        <color rgb="FFB42318"/>
      </font>
      <fill>
        <patternFill>
          <bgColor rgb="FFFDE2E2"/>
        </patternFill>
      </fill>
    </dxf>
    <dxf>
      <font>
        <color rgb="FFB42318"/>
      </font>
      <fill>
        <patternFill>
          <bgColor rgb="FFFDE2E2"/>
        </patternFill>
      </fill>
    </dxf>
    <dxf>
      <font>
        <color rgb="FFB42318"/>
      </font>
      <fill>
        <patternFill>
          <bgColor rgb="FFFDE2E2"/>
        </patternFill>
      </fill>
    </dxf>
    <dxf>
      <font>
        <color rgb="FFB42318"/>
      </font>
      <fill>
        <patternFill>
          <bgColor rgb="FFFDE2E2"/>
        </patternFill>
      </fill>
    </dxf>
    <dxf>
      <font>
        <color rgb="FFB42318"/>
      </font>
      <fill>
        <patternFill>
          <bgColor rgb="FFFDE2E2"/>
        </patternFill>
      </fill>
    </dxf>
    <dxf>
      <font>
        <color rgb="FFB42318"/>
      </font>
      <fill>
        <patternFill>
          <bgColor rgb="FFFDE2E2"/>
        </patternFill>
      </fill>
    </dxf>
    <dxf>
      <font>
        <color rgb="FFFF0000"/>
      </font>
      <fill>
        <patternFill>
          <bgColor rgb="FFFDE2E2"/>
        </patternFill>
      </fill>
    </dxf>
    <dxf>
      <font>
        <color rgb="FF16794D"/>
      </font>
      <fill>
        <patternFill>
          <bgColor rgb="FFE7F5EC"/>
        </patternFill>
      </fill>
    </dxf>
    <dxf>
      <font>
        <color rgb="FFB42318"/>
      </font>
      <fill>
        <patternFill>
          <bgColor rgb="FFFDE2E2"/>
        </patternFill>
      </fill>
    </dxf>
    <dxf>
      <font>
        <color rgb="FFB42318"/>
      </font>
      <fill>
        <patternFill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Profit vs Hourly Price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Monthly Profit</c:v>
          </c:tx>
          <c:marker>
            <c:symbol val="none"/>
          </c:marker>
          <c:cat>
            <c:numRef>
              <c:f>'Growth &amp; Pricing Strategy'!$AO$3:$AO$7</c:f>
              <c:numCache>
                <c:formatCode>\₹#,##0;[Red]\(\₹#,##0\);\-</c:formatCode>
                <c:ptCount val="5"/>
                <c:pt idx="0">
                  <c:v>249</c:v>
                </c:pt>
                <c:pt idx="1">
                  <c:v>299</c:v>
                </c:pt>
                <c:pt idx="2">
                  <c:v>349</c:v>
                </c:pt>
                <c:pt idx="3">
                  <c:v>399</c:v>
                </c:pt>
                <c:pt idx="4">
                  <c:v>449</c:v>
                </c:pt>
              </c:numCache>
            </c:numRef>
          </c:cat>
          <c:val>
            <c:numRef>
              <c:f>'Growth &amp; Pricing Strategy'!$AP$3:$AP$7</c:f>
              <c:numCache>
                <c:formatCode>\₹#,##0;[Red]\(\₹#,##0\);\-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34-2B4C-8EF7-AAC5B2F6C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Conversion vs Hourly Price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Conversion</c:v>
          </c:tx>
          <c:marker>
            <c:symbol val="none"/>
          </c:marker>
          <c:cat>
            <c:numRef>
              <c:f>'Growth &amp; Pricing Strategy'!$AR$3:$AR$7</c:f>
              <c:numCache>
                <c:formatCode>\₹#,##0;[Red]\(\₹#,##0\);\-</c:formatCode>
                <c:ptCount val="5"/>
                <c:pt idx="0">
                  <c:v>249</c:v>
                </c:pt>
                <c:pt idx="1">
                  <c:v>299</c:v>
                </c:pt>
                <c:pt idx="2">
                  <c:v>349</c:v>
                </c:pt>
                <c:pt idx="3">
                  <c:v>399</c:v>
                </c:pt>
                <c:pt idx="4">
                  <c:v>449</c:v>
                </c:pt>
              </c:numCache>
            </c:numRef>
          </c:cat>
          <c:val>
            <c:numRef>
              <c:f>'Growth &amp; Pricing Strategy'!$AS$3:$AS$7</c:f>
              <c:numCache>
                <c:formatCode>0.0%;[Red]\(0.0%\);\-</c:formatCode>
                <c:ptCount val="5"/>
                <c:pt idx="0">
                  <c:v>0.5</c:v>
                </c:pt>
                <c:pt idx="1">
                  <c:v>0.45</c:v>
                </c:pt>
                <c:pt idx="2">
                  <c:v>0.4</c:v>
                </c:pt>
                <c:pt idx="3">
                  <c:v>0.37</c:v>
                </c:pt>
                <c:pt idx="4">
                  <c:v>0.35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6B-504D-B8F9-DCBCB0935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Profit vs Journeys / Day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Monthly Profit</c:v>
          </c:tx>
          <c:marker>
            <c:symbol val="none"/>
          </c:marker>
          <c:cat>
            <c:numRef>
              <c:f>'Growth &amp; Pricing Strategy'!$AU$3:$AU$9</c:f>
              <c:numCache>
                <c:formatCode>General</c:formatCode>
                <c:ptCount val="7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  <c:pt idx="6">
                  <c:v>20</c:v>
                </c:pt>
              </c:numCache>
            </c:numRef>
          </c:cat>
          <c:val>
            <c:numRef>
              <c:f>'Growth &amp; Pricing Strategy'!$AV$3:$AV$9</c:f>
              <c:numCache>
                <c:formatCode>\₹#,##0;[Red]\(\₹#,##0\);\-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644-4141-9B98-A9BC8071C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Profit vs Angel Utilization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Monthly Profit</c:v>
          </c:tx>
          <c:marker>
            <c:symbol val="none"/>
          </c:marker>
          <c:cat>
            <c:numRef>
              <c:f>'Growth &amp; Pricing Strategy'!$AX$3:$AX$9</c:f>
              <c:numCache>
                <c:formatCode>0.0%;[Red]\(0.0%\);\-</c:formatCode>
                <c:ptCount val="7"/>
                <c:pt idx="0">
                  <c:v>0.3</c:v>
                </c:pt>
                <c:pt idx="1">
                  <c:v>0.4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</c:numCache>
            </c:numRef>
          </c:cat>
          <c:val>
            <c:numRef>
              <c:f>'Growth &amp; Pricing Strategy'!$AY$3:$AY$9</c:f>
              <c:numCache>
                <c:formatCode>\₹#,##0;[Red]\(\₹#,##0\);\-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40-E04D-96C4-318A1F48B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-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Profit vs Fixed Cost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Monthly Profit</c:v>
          </c:tx>
          <c:marker>
            <c:symbol val="none"/>
          </c:marker>
          <c:cat>
            <c:numRef>
              <c:f>'Growth &amp; Pricing Strategy'!$AO$13:$AO$19</c:f>
              <c:numCache>
                <c:formatCode>\₹#,##0;[Red]\(\₹#,##0\);\-</c:formatCode>
                <c:ptCount val="7"/>
                <c:pt idx="0">
                  <c:v>68000</c:v>
                </c:pt>
                <c:pt idx="1">
                  <c:v>100000</c:v>
                </c:pt>
                <c:pt idx="2">
                  <c:v>140000</c:v>
                </c:pt>
                <c:pt idx="3">
                  <c:v>180000</c:v>
                </c:pt>
                <c:pt idx="4">
                  <c:v>200000</c:v>
                </c:pt>
                <c:pt idx="5">
                  <c:v>240000</c:v>
                </c:pt>
                <c:pt idx="6">
                  <c:v>300000</c:v>
                </c:pt>
              </c:numCache>
            </c:numRef>
          </c:cat>
          <c:val>
            <c:numRef>
              <c:f>'Growth &amp; Pricing Strategy'!$AP$13:$AP$19</c:f>
              <c:numCache>
                <c:formatCode>\₹#,##0;[Red]\(\₹#,##0\);\-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A6-D54C-8C05-B6F336AB8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CAC vs Customer Contribution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Safe CAC</c:v>
          </c:tx>
          <c:marker>
            <c:symbol val="none"/>
          </c:marker>
          <c:cat>
            <c:numRef>
              <c:f>'Growth &amp; Pricing Strategy'!$AR$13:$AR$17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'Growth &amp; Pricing Strategy'!$AS$13:$AS$17</c:f>
              <c:numCache>
                <c:formatCode>\₹#,##0;[Red]\(\₹#,##0\);\-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EA-0446-9E8E-D94C613C0FE0}"/>
            </c:ext>
          </c:extLst>
        </c:ser>
        <c:ser>
          <c:idx val="1"/>
          <c:order val="1"/>
          <c:tx>
            <c:v>Cumulative Contribution</c:v>
          </c:tx>
          <c:marker>
            <c:symbol val="none"/>
          </c:marker>
          <c:cat>
            <c:numRef>
              <c:f>'Growth &amp; Pricing Strategy'!$AR$13:$AR$17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</c:numCache>
            </c:numRef>
          </c:cat>
          <c:val>
            <c:numRef>
              <c:f>'Growth &amp; Pricing Strategy'!$AT$13:$AT$17</c:f>
              <c:numCache>
                <c:formatCode>\₹#,##0;[Red]\(\₹#,##0\);\-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EA-0446-9E8E-D94C613C0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Monthly Recurring Revenue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Monthly Revenue</c:v>
          </c:tx>
          <c:invertIfNegative val="1"/>
          <c:cat>
            <c:strRef>
              <c:f>'Growth &amp; Pricing Strategy'!$AU$13:$AU$19</c:f>
              <c:strCache>
                <c:ptCount val="7"/>
                <c:pt idx="0">
                  <c:v>Dialysis Visit Concierge</c:v>
                </c:pt>
                <c:pt idx="1">
                  <c:v>Chemotherapy Visit Concierge</c:v>
                </c:pt>
                <c:pt idx="2">
                  <c:v>Radiation Therapy Concierge</c:v>
                </c:pt>
                <c:pt idx="3">
                  <c:v>Physiotherapy / Rehab Visit</c:v>
                </c:pt>
                <c:pt idx="4">
                  <c:v>Chronic Care Follow-up</c:v>
                </c:pt>
                <c:pt idx="5">
                  <c:v>NRI Parent Medical Concierge</c:v>
                </c:pt>
                <c:pt idx="6">
                  <c:v>Post-Surgery Follow-up</c:v>
                </c:pt>
              </c:strCache>
            </c:strRef>
          </c:cat>
          <c:val>
            <c:numRef>
              <c:f>'Growth &amp; Pricing Strategy'!$AV$13:$AV$19</c:f>
              <c:numCache>
                <c:formatCode>\₹#,##0;[Red]\(\₹#,##0\);\-</c:formatCode>
                <c:ptCount val="7"/>
                <c:pt idx="0">
                  <c:v>23416</c:v>
                </c:pt>
                <c:pt idx="1">
                  <c:v>7492</c:v>
                </c:pt>
                <c:pt idx="2">
                  <c:v>10226.5</c:v>
                </c:pt>
                <c:pt idx="3">
                  <c:v>8487.5999999999985</c:v>
                </c:pt>
                <c:pt idx="4">
                  <c:v>2937.9</c:v>
                </c:pt>
                <c:pt idx="5">
                  <c:v>9373.2000000000007</c:v>
                </c:pt>
                <c:pt idx="6">
                  <c:v>2132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E-9F4A-BDD0-B3E7E9261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Contribution by Service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Contribution / Journey</c:v>
          </c:tx>
          <c:invertIfNegative val="1"/>
          <c:cat>
            <c:strRef>
              <c:f>'Growth &amp; Pricing Strategy'!$AX$13:$AX$24</c:f>
              <c:strCache>
                <c:ptCount val="12"/>
                <c:pt idx="0">
                  <c:v>Hospital Visit</c:v>
                </c:pt>
                <c:pt idx="1">
                  <c:v>Hospital Visit — Concierge at Hospital</c:v>
                </c:pt>
                <c:pt idx="2">
                  <c:v>Clinic Visit</c:v>
                </c:pt>
                <c:pt idx="3">
                  <c:v>Diagnostic Center Visit</c:v>
                </c:pt>
                <c:pt idx="4">
                  <c:v>Health Check-up Concierge</c:v>
                </c:pt>
                <c:pt idx="5">
                  <c:v>Hospital Admission Concierge</c:v>
                </c:pt>
                <c:pt idx="6">
                  <c:v>Hospital Discharge Concierge</c:v>
                </c:pt>
                <c:pt idx="7">
                  <c:v>Overnight Hospital Concierge</c:v>
                </c:pt>
                <c:pt idx="8">
                  <c:v>Multi-Day Hospital Concierge (per 12h shift)</c:v>
                </c:pt>
                <c:pt idx="9">
                  <c:v>Day Surgery / Procedure Concierge</c:v>
                </c:pt>
                <c:pt idx="10">
                  <c:v>Pre-Surgery Concierge</c:v>
                </c:pt>
                <c:pt idx="11">
                  <c:v>Post-Surgery Follow-up</c:v>
                </c:pt>
              </c:strCache>
            </c:strRef>
          </c:cat>
          <c:val>
            <c:numRef>
              <c:f>'Growth &amp; Pricing Strategy'!$AY$13:$AY$24</c:f>
              <c:numCache>
                <c:formatCode>\₹#,##0;[Red]\(\₹#,##0\);\-</c:formatCode>
                <c:ptCount val="12"/>
                <c:pt idx="0">
                  <c:v>1111.53093220339</c:v>
                </c:pt>
                <c:pt idx="1">
                  <c:v>752.09967796610181</c:v>
                </c:pt>
                <c:pt idx="2">
                  <c:v>625.84376271186443</c:v>
                </c:pt>
                <c:pt idx="3">
                  <c:v>787.31971610169489</c:v>
                </c:pt>
                <c:pt idx="4">
                  <c:v>1215.9317372881358</c:v>
                </c:pt>
                <c:pt idx="5">
                  <c:v>1249.9737118644068</c:v>
                </c:pt>
                <c:pt idx="6">
                  <c:v>1203.8261186440679</c:v>
                </c:pt>
                <c:pt idx="7">
                  <c:v>2702.1604745762716</c:v>
                </c:pt>
                <c:pt idx="8">
                  <c:v>2702.1604745762716</c:v>
                </c:pt>
                <c:pt idx="9">
                  <c:v>1820.6439491525427</c:v>
                </c:pt>
                <c:pt idx="10">
                  <c:v>1203.8261186440679</c:v>
                </c:pt>
                <c:pt idx="11">
                  <c:v>892.97983050847461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0-AC4B-9F7B-0C31E0282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Contribution per Angel Hour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Contribution / Angel Hr</c:v>
          </c:tx>
          <c:invertIfNegative val="1"/>
          <c:cat>
            <c:strRef>
              <c:f>'Growth &amp; Pricing Strategy'!$AO$23:$AO$34</c:f>
              <c:strCache>
                <c:ptCount val="12"/>
                <c:pt idx="0">
                  <c:v>Hospital Visit</c:v>
                </c:pt>
                <c:pt idx="1">
                  <c:v>Hospital Visit — Concierge at Hospital</c:v>
                </c:pt>
                <c:pt idx="2">
                  <c:v>Clinic Visit</c:v>
                </c:pt>
                <c:pt idx="3">
                  <c:v>Diagnostic Center Visit</c:v>
                </c:pt>
                <c:pt idx="4">
                  <c:v>Health Check-up Concierge</c:v>
                </c:pt>
                <c:pt idx="5">
                  <c:v>Hospital Admission Concierge</c:v>
                </c:pt>
                <c:pt idx="6">
                  <c:v>Hospital Discharge Concierge</c:v>
                </c:pt>
                <c:pt idx="7">
                  <c:v>Overnight Hospital Concierge</c:v>
                </c:pt>
                <c:pt idx="8">
                  <c:v>Multi-Day Hospital Concierge (per 12h shift)</c:v>
                </c:pt>
                <c:pt idx="9">
                  <c:v>Day Surgery / Procedure Concierge</c:v>
                </c:pt>
                <c:pt idx="10">
                  <c:v>Pre-Surgery Concierge</c:v>
                </c:pt>
                <c:pt idx="11">
                  <c:v>Post-Surgery Follow-up</c:v>
                </c:pt>
              </c:strCache>
            </c:strRef>
          </c:cat>
          <c:val>
            <c:numRef>
              <c:f>'Growth &amp; Pricing Strategy'!$AP$23:$AP$34</c:f>
              <c:numCache>
                <c:formatCode>\₹#,##0;[Red]\(\₹#,##0\);\-</c:formatCode>
                <c:ptCount val="12"/>
                <c:pt idx="0">
                  <c:v>277.88273305084749</c:v>
                </c:pt>
                <c:pt idx="1">
                  <c:v>250.69989265536728</c:v>
                </c:pt>
                <c:pt idx="2">
                  <c:v>312.92188135593221</c:v>
                </c:pt>
                <c:pt idx="3">
                  <c:v>262.43990536723163</c:v>
                </c:pt>
                <c:pt idx="4">
                  <c:v>243.18634745762716</c:v>
                </c:pt>
                <c:pt idx="5">
                  <c:v>312.49342796610171</c:v>
                </c:pt>
                <c:pt idx="6">
                  <c:v>300.95652966101699</c:v>
                </c:pt>
                <c:pt idx="7">
                  <c:v>225.18003954802262</c:v>
                </c:pt>
                <c:pt idx="8">
                  <c:v>225.18003954802262</c:v>
                </c:pt>
                <c:pt idx="9">
                  <c:v>303.44065819209044</c:v>
                </c:pt>
                <c:pt idx="10">
                  <c:v>300.95652966101699</c:v>
                </c:pt>
                <c:pt idx="11">
                  <c:v>297.65994350282489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A-D945-906D-8B01362B4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Cash Runway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Ending Cash</c:v>
          </c:tx>
          <c:marker>
            <c:symbol val="none"/>
          </c:marker>
          <c:cat>
            <c:strRef>
              <c:f>'Growth &amp; Pricing Strategy'!$AR$23:$AR$34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'Growth &amp; Pricing Strategy'!$AS$23:$AS$34</c:f>
              <c:numCache>
                <c:formatCode>\₹#,##0;[Red]\(\₹#,##0\);\-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64-C549-A4BC-366490977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;[Red]\(\₹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Journey Growth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Monthly Journeys</c:v>
          </c:tx>
          <c:marker>
            <c:symbol val="none"/>
          </c:marker>
          <c:cat>
            <c:strRef>
              <c:f>'Growth &amp; Pricing Strategy'!$AU$23:$AU$34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'Growth &amp; Pricing Strategy'!$AV$23:$AV$34</c:f>
              <c:numCache>
                <c:formatCode>#,##0.0;[Red]\(#,##0.0\);\-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8B-F045-AF2C-6E6F43C35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;[Red]\(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Break-even Progression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Break-even Journeys / Day</c:v>
          </c:tx>
          <c:invertIfNegative val="1"/>
          <c:cat>
            <c:strRef>
              <c:f>'Growth &amp; Pricing Strategy'!$AX$28:$AX$30</c:f>
              <c:strCache>
                <c:ptCount val="3"/>
                <c:pt idx="0">
                  <c:v>Ultra-Lean Pilot</c:v>
                </c:pt>
                <c:pt idx="1">
                  <c:v>Lean MVP</c:v>
                </c:pt>
                <c:pt idx="2">
                  <c:v>Scale / Full Team</c:v>
                </c:pt>
              </c:strCache>
            </c:strRef>
          </c:cat>
          <c:val>
            <c:numRef>
              <c:f>'Growth &amp; Pricing Strategy'!$AY$28:$AY$30</c:f>
              <c:numCache>
                <c:formatCode>#,##0.0;[Red]\(#,##0.0\);\-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5-494F-9808-CDE6BBE0E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;[Red]\(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Customer Service Price</c:v>
          </c:tx>
          <c:marker>
            <c:symbol val="none"/>
          </c:marker>
          <c:cat>
            <c:numRef>
              <c:f>'MVP1 Pricing &amp; SKU'!$A$31:$A$39</c:f>
              <c:numCache>
                <c:formatCode>0.0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</c:numCache>
            </c:numRef>
          </c:cat>
          <c:val>
            <c:numRef>
              <c:f>'MVP1 Pricing &amp; SKU'!$G$31:$G$39</c:f>
              <c:numCache>
                <c:formatCode>\₹#,##0.00;[Red]\(\₹#,##0.00\);\-</c:formatCode>
                <c:ptCount val="9"/>
                <c:pt idx="0">
                  <c:v>797</c:v>
                </c:pt>
                <c:pt idx="1">
                  <c:v>1096</c:v>
                </c:pt>
                <c:pt idx="2">
                  <c:v>1395</c:v>
                </c:pt>
                <c:pt idx="3">
                  <c:v>1694</c:v>
                </c:pt>
                <c:pt idx="4">
                  <c:v>1993</c:v>
                </c:pt>
                <c:pt idx="5">
                  <c:v>2292</c:v>
                </c:pt>
                <c:pt idx="6">
                  <c:v>2591</c:v>
                </c:pt>
                <c:pt idx="7">
                  <c:v>3189</c:v>
                </c:pt>
                <c:pt idx="8">
                  <c:v>3787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50-234A-AB8E-1839432D9C6A}"/>
            </c:ext>
          </c:extLst>
        </c:ser>
        <c:ser>
          <c:idx val="1"/>
          <c:order val="1"/>
          <c:tx>
            <c:v>Blended Contribution</c:v>
          </c:tx>
          <c:marker>
            <c:symbol val="none"/>
          </c:marker>
          <c:cat>
            <c:numRef>
              <c:f>'MVP1 Pricing &amp; SKU'!$A$31:$A$39</c:f>
              <c:numCache>
                <c:formatCode>0.0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</c:numCache>
            </c:numRef>
          </c:cat>
          <c:val>
            <c:numRef>
              <c:f>'MVP1 Pricing &amp; SKU'!$Q$31:$Q$39</c:f>
              <c:numCache>
                <c:formatCode>\₹#,##0.00;[Red]\(\₹#,##0.00\);\-</c:formatCode>
                <c:ptCount val="9"/>
                <c:pt idx="0">
                  <c:v>674.42872881355936</c:v>
                </c:pt>
                <c:pt idx="1">
                  <c:v>917.3535593220339</c:v>
                </c:pt>
                <c:pt idx="2">
                  <c:v>1160.2783898305086</c:v>
                </c:pt>
                <c:pt idx="3">
                  <c:v>1403.2032203389833</c:v>
                </c:pt>
                <c:pt idx="4">
                  <c:v>1646.1280508474579</c:v>
                </c:pt>
                <c:pt idx="5">
                  <c:v>1889.0528813559324</c:v>
                </c:pt>
                <c:pt idx="6">
                  <c:v>2131.977711864407</c:v>
                </c:pt>
                <c:pt idx="7">
                  <c:v>2617.827372881356</c:v>
                </c:pt>
                <c:pt idx="8">
                  <c:v>3103.6770338983051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50-234A-AB8E-1839432D9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₹#,##0.00;[Red]\(\₹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18</xdr:row>
      <xdr:rowOff>0</xdr:rowOff>
    </xdr:from>
    <xdr:to>
      <xdr:col>22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33</xdr:row>
      <xdr:rowOff>0</xdr:rowOff>
    </xdr:from>
    <xdr:to>
      <xdr:col>22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48</xdr:row>
      <xdr:rowOff>0</xdr:rowOff>
    </xdr:from>
    <xdr:to>
      <xdr:col>22</xdr:col>
      <xdr:colOff>0</xdr:colOff>
      <xdr:row>62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63</xdr:row>
      <xdr:rowOff>0</xdr:rowOff>
    </xdr:from>
    <xdr:to>
      <xdr:col>22</xdr:col>
      <xdr:colOff>0</xdr:colOff>
      <xdr:row>77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78</xdr:row>
      <xdr:rowOff>0</xdr:rowOff>
    </xdr:from>
    <xdr:to>
      <xdr:col>22</xdr:col>
      <xdr:colOff>0</xdr:colOff>
      <xdr:row>92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93</xdr:row>
      <xdr:rowOff>0</xdr:rowOff>
    </xdr:from>
    <xdr:to>
      <xdr:col>22</xdr:col>
      <xdr:colOff>0</xdr:colOff>
      <xdr:row>110</xdr:row>
      <xdr:rowOff>0</xdr:rowOff>
    </xdr:to>
    <xdr:graphicFrame macro="">
      <xdr:nvGraphicFramePr>
        <xdr:cNvPr id="8" name="Chart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111</xdr:row>
      <xdr:rowOff>0</xdr:rowOff>
    </xdr:from>
    <xdr:to>
      <xdr:col>22</xdr:col>
      <xdr:colOff>0</xdr:colOff>
      <xdr:row>131</xdr:row>
      <xdr:rowOff>0</xdr:rowOff>
    </xdr:to>
    <xdr:graphicFrame macro="">
      <xdr:nvGraphicFramePr>
        <xdr:cNvPr id="9" name="Chart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0</xdr:colOff>
      <xdr:row>132</xdr:row>
      <xdr:rowOff>0</xdr:rowOff>
    </xdr:from>
    <xdr:to>
      <xdr:col>22</xdr:col>
      <xdr:colOff>0</xdr:colOff>
      <xdr:row>152</xdr:row>
      <xdr:rowOff>0</xdr:rowOff>
    </xdr:to>
    <xdr:graphicFrame macro="">
      <xdr:nvGraphicFramePr>
        <xdr:cNvPr id="10" name="Chart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0</xdr:colOff>
      <xdr:row>153</xdr:row>
      <xdr:rowOff>0</xdr:rowOff>
    </xdr:from>
    <xdr:to>
      <xdr:col>22</xdr:col>
      <xdr:colOff>0</xdr:colOff>
      <xdr:row>170</xdr:row>
      <xdr:rowOff>0</xdr:rowOff>
    </xdr:to>
    <xdr:graphicFrame macro="">
      <xdr:nvGraphicFramePr>
        <xdr:cNvPr id="11" name="Chart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0</xdr:colOff>
      <xdr:row>171</xdr:row>
      <xdr:rowOff>0</xdr:rowOff>
    </xdr:from>
    <xdr:to>
      <xdr:col>22</xdr:col>
      <xdr:colOff>0</xdr:colOff>
      <xdr:row>188</xdr:row>
      <xdr:rowOff>0</xdr:rowOff>
    </xdr:to>
    <xdr:graphicFrame macro="">
      <xdr:nvGraphicFramePr>
        <xdr:cNvPr id="12" name="Chart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0</xdr:colOff>
      <xdr:row>189</xdr:row>
      <xdr:rowOff>0</xdr:rowOff>
    </xdr:from>
    <xdr:to>
      <xdr:col>22</xdr:col>
      <xdr:colOff>0</xdr:colOff>
      <xdr:row>204</xdr:row>
      <xdr:rowOff>0</xdr:rowOff>
    </xdr:to>
    <xdr:graphicFrame macro="">
      <xdr:nvGraphicFramePr>
        <xdr:cNvPr id="13" name="Chart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38</xdr:row>
      <xdr:rowOff>0</xdr:rowOff>
    </xdr:from>
    <xdr:to>
      <xdr:col>31</xdr:col>
      <xdr:colOff>0</xdr:colOff>
      <xdr:row>55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rviceEconomicsTable" displayName="ServiceEconomicsTable" ref="A4:AF34" totalsRowShown="0">
  <tableColumns count="32">
    <tableColumn id="1" xr3:uid="{00000000-0010-0000-0000-000001000000}" name="Service"/>
    <tableColumn id="2" xr3:uid="{00000000-0010-0000-0000-000002000000}" name="Category"/>
    <tableColumn id="3" xr3:uid="{00000000-0010-0000-0000-000003000000}" name="Hours"/>
    <tableColumn id="4" xr3:uid="{00000000-0010-0000-0000-000004000000}" name="Rate Multiplier"/>
    <tableColumn id="5" xr3:uid="{00000000-0010-0000-0000-000005000000}" name="Fixed Premium / Fee"/>
    <tableColumn id="6" xr3:uid="{00000000-0010-0000-0000-000006000000}" name="No. of Angels"/>
    <tableColumn id="7" xr3:uid="{00000000-0010-0000-0000-000007000000}" name="Angel Cost/Hr Override"/>
    <tableColumn id="8" xr3:uid="{00000000-0010-0000-0000-000008000000}" name="Cab Cost Override"/>
    <tableColumn id="9" xr3:uid="{00000000-0010-0000-0000-000009000000}" name="Coord. Fee Override"/>
    <tableColumn id="10" xr3:uid="{00000000-0010-0000-0000-00000A000000}" name="Effective Sell Rate/Hr"/>
    <tableColumn id="11" xr3:uid="{00000000-0010-0000-0000-00000B000000}" name="Customer Service Price_x000a_(Incl GST)"/>
    <tableColumn id="12" xr3:uid="{00000000-0010-0000-0000-00000C000000}" name="Net Service Revenue"/>
    <tableColumn id="13" xr3:uid="{00000000-0010-0000-0000-00000D000000}" name="Effective Angel Cost/Hr"/>
    <tableColumn id="14" xr3:uid="{00000000-0010-0000-0000-00000E000000}" name="Angel Cost"/>
    <tableColumn id="15" xr3:uid="{00000000-0010-0000-0000-00000F000000}" name="Payment Platform Cost"/>
    <tableColumn id="16" xr3:uid="{00000000-0010-0000-0000-000010000000}" name="Other Variable Care Cost"/>
    <tableColumn id="17" xr3:uid="{00000000-0010-0000-0000-000011000000}" name="CASE 1 Total Direct Cost"/>
    <tableColumn id="18" xr3:uid="{00000000-0010-0000-0000-000012000000}" name="CASE 1 Contribution Profit"/>
    <tableColumn id="19" xr3:uid="{00000000-0010-0000-0000-000013000000}" name="CASE 1 Margin"/>
    <tableColumn id="20" xr3:uid="{00000000-0010-0000-0000-000014000000}" name="Effective 3P Cab Cost"/>
    <tableColumn id="21" xr3:uid="{00000000-0010-0000-0000-000015000000}" name="Effective Coordination Fee"/>
    <tableColumn id="22" xr3:uid="{00000000-0010-0000-0000-000016000000}" name="Customer Transport Charge"/>
    <tableColumn id="23" xr3:uid="{00000000-0010-0000-0000-000017000000}" name="Transport Payment Cost"/>
    <tableColumn id="24" xr3:uid="{00000000-0010-0000-0000-000018000000}" name="Transport Ops Cost"/>
    <tableColumn id="25" xr3:uid="{00000000-0010-0000-0000-000019000000}" name="Transport Contribution"/>
    <tableColumn id="26" xr3:uid="{00000000-0010-0000-0000-00001A000000}" name="CASE 2 Total Customer Outflow"/>
    <tableColumn id="27" xr3:uid="{00000000-0010-0000-0000-00001B000000}" name="CASE 2 Total Direct Cost"/>
    <tableColumn id="28" xr3:uid="{00000000-0010-0000-0000-00001C000000}" name="CASE 2 Contribution Profit"/>
    <tableColumn id="29" xr3:uid="{00000000-0010-0000-0000-00001D000000}" name="CASE 2 Profit Uplift"/>
    <tableColumn id="30" xr3:uid="{00000000-0010-0000-0000-00001E000000}" name="CASE 2 Margin vs Net Service Revenue"/>
    <tableColumn id="31" xr3:uid="{00000000-0010-0000-0000-00001F000000}" name="Profit / Service Hour C1"/>
    <tableColumn id="32" xr3:uid="{00000000-0010-0000-0000-000020000000}" name="Profit / Service Hour C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>
      <selection sqref="A1:D1"/>
    </sheetView>
  </sheetViews>
  <sheetFormatPr baseColWidth="10" defaultColWidth="8.83203125" defaultRowHeight="15"/>
  <cols>
    <col min="1" max="1" width="37" customWidth="1"/>
    <col min="2" max="2" width="18" customWidth="1"/>
    <col min="3" max="3" width="22" customWidth="1"/>
    <col min="4" max="4" width="20" customWidth="1"/>
    <col min="5" max="5" width="42" customWidth="1"/>
    <col min="6" max="6" width="22" customWidth="1"/>
  </cols>
  <sheetData>
    <row r="1" spans="1:6" ht="53.25" customHeight="1">
      <c r="A1" s="310" t="s">
        <v>0</v>
      </c>
      <c r="B1" s="310"/>
      <c r="C1" s="310"/>
      <c r="D1" s="310"/>
      <c r="E1" s="1"/>
    </row>
    <row r="2" spans="1:6" ht="53.25" customHeight="1">
      <c r="A2" s="309" t="s">
        <v>621</v>
      </c>
      <c r="B2" s="309"/>
      <c r="C2" s="309"/>
      <c r="D2" s="309"/>
      <c r="E2" s="1"/>
    </row>
    <row r="3" spans="1:6" ht="35.75" customHeight="1">
      <c r="A3" s="1"/>
      <c r="B3" s="1"/>
      <c r="C3" s="1"/>
      <c r="D3" s="1"/>
      <c r="E3" s="1"/>
    </row>
    <row r="4" spans="1:6" ht="35.75" customHeight="1">
      <c r="A4" s="104" t="s">
        <v>1</v>
      </c>
      <c r="B4" s="104" t="s">
        <v>2</v>
      </c>
      <c r="C4" s="104" t="s">
        <v>3</v>
      </c>
      <c r="D4" s="104" t="s">
        <v>4</v>
      </c>
      <c r="E4" s="1"/>
      <c r="F4" s="146" t="s">
        <v>622</v>
      </c>
    </row>
    <row r="5" spans="1:6" ht="35.75" customHeight="1">
      <c r="A5" s="1" t="s">
        <v>623</v>
      </c>
      <c r="B5" s="123">
        <f>'MVP1 Pricing &amp; SKU'!$B$7</f>
        <v>299</v>
      </c>
      <c r="C5" s="1" t="s">
        <v>5</v>
      </c>
      <c r="D5" s="1" t="s">
        <v>624</v>
      </c>
      <c r="E5" s="1"/>
      <c r="F5" s="118" t="s">
        <v>625</v>
      </c>
    </row>
    <row r="6" spans="1:6" ht="35.75" customHeight="1">
      <c r="A6" s="1" t="s">
        <v>6</v>
      </c>
      <c r="B6" s="2">
        <v>0</v>
      </c>
      <c r="C6" s="1" t="s">
        <v>7</v>
      </c>
      <c r="D6" s="1" t="s">
        <v>8</v>
      </c>
      <c r="E6" s="1" t="s">
        <v>9</v>
      </c>
      <c r="F6" s="118" t="s">
        <v>625</v>
      </c>
    </row>
    <row r="7" spans="1:6" ht="35.75" customHeight="1">
      <c r="A7" s="1" t="s">
        <v>10</v>
      </c>
      <c r="B7" s="3">
        <f>'Global Pricing Config'!$B$8</f>
        <v>0.18</v>
      </c>
      <c r="C7" s="1" t="s">
        <v>11</v>
      </c>
      <c r="D7" s="1" t="s">
        <v>12</v>
      </c>
      <c r="E7" s="1"/>
      <c r="F7" s="118" t="s">
        <v>626</v>
      </c>
    </row>
    <row r="8" spans="1:6" ht="35.75" customHeight="1">
      <c r="A8" s="1" t="s">
        <v>13</v>
      </c>
      <c r="B8" s="3">
        <v>0</v>
      </c>
      <c r="C8" s="1" t="s">
        <v>14</v>
      </c>
      <c r="D8" s="1" t="s">
        <v>15</v>
      </c>
      <c r="E8" s="1"/>
      <c r="F8" s="118" t="s">
        <v>627</v>
      </c>
    </row>
    <row r="9" spans="1:6" ht="35.75" customHeight="1">
      <c r="A9" s="1" t="s">
        <v>16</v>
      </c>
      <c r="B9" s="4">
        <v>0</v>
      </c>
      <c r="C9" s="1" t="s">
        <v>17</v>
      </c>
      <c r="D9" s="1" t="s">
        <v>18</v>
      </c>
      <c r="E9" s="1"/>
      <c r="F9" s="118" t="s">
        <v>625</v>
      </c>
    </row>
    <row r="10" spans="1:6" ht="35.75" customHeight="1">
      <c r="A10" s="1" t="s">
        <v>19</v>
      </c>
      <c r="B10" s="4">
        <v>10</v>
      </c>
      <c r="C10" s="1" t="s">
        <v>20</v>
      </c>
      <c r="D10" s="1" t="s">
        <v>21</v>
      </c>
      <c r="E10" s="1"/>
      <c r="F10" s="118" t="s">
        <v>625</v>
      </c>
    </row>
    <row r="11" spans="1:6" ht="35.75" customHeight="1">
      <c r="A11" s="1" t="s">
        <v>22</v>
      </c>
      <c r="B11" s="4">
        <v>10</v>
      </c>
      <c r="C11" s="1" t="s">
        <v>20</v>
      </c>
      <c r="D11" s="1" t="s">
        <v>21</v>
      </c>
      <c r="E11" s="1"/>
      <c r="F11" s="118" t="s">
        <v>625</v>
      </c>
    </row>
    <row r="12" spans="1:6" ht="35.75" customHeight="1">
      <c r="A12" s="1" t="s">
        <v>23</v>
      </c>
      <c r="B12" s="4">
        <v>0.5</v>
      </c>
      <c r="C12" s="1" t="s">
        <v>20</v>
      </c>
      <c r="D12" s="1" t="s">
        <v>21</v>
      </c>
      <c r="E12" s="1"/>
      <c r="F12" s="118" t="s">
        <v>625</v>
      </c>
    </row>
    <row r="13" spans="1:6" ht="35.75" customHeight="1">
      <c r="A13" s="1" t="s">
        <v>24</v>
      </c>
      <c r="B13" s="4">
        <v>0</v>
      </c>
      <c r="C13" s="1" t="s">
        <v>20</v>
      </c>
      <c r="D13" s="1" t="s">
        <v>21</v>
      </c>
      <c r="E13" s="1"/>
      <c r="F13" s="118" t="s">
        <v>625</v>
      </c>
    </row>
    <row r="14" spans="1:6" ht="35.75" customHeight="1">
      <c r="A14" s="1" t="s">
        <v>25</v>
      </c>
      <c r="B14" s="4">
        <v>36</v>
      </c>
      <c r="C14" s="1" t="s">
        <v>20</v>
      </c>
      <c r="D14" s="1" t="s">
        <v>21</v>
      </c>
      <c r="E14" s="1"/>
      <c r="F14" s="118" t="s">
        <v>625</v>
      </c>
    </row>
    <row r="15" spans="1:6" ht="35.75" customHeight="1">
      <c r="A15" s="1" t="s">
        <v>26</v>
      </c>
      <c r="B15" s="4">
        <f>'Global Pricing Config'!$B$10</f>
        <v>500</v>
      </c>
      <c r="C15" s="1" t="s">
        <v>20</v>
      </c>
      <c r="D15" s="1" t="s">
        <v>27</v>
      </c>
      <c r="E15" s="1"/>
      <c r="F15" s="118" t="s">
        <v>625</v>
      </c>
    </row>
    <row r="16" spans="1:6" ht="35.75" customHeight="1">
      <c r="A16" s="1" t="s">
        <v>28</v>
      </c>
      <c r="B16" s="4">
        <f>'Global Pricing Config'!$B$9</f>
        <v>149</v>
      </c>
      <c r="C16" s="1" t="s">
        <v>20</v>
      </c>
      <c r="D16" s="1" t="s">
        <v>27</v>
      </c>
      <c r="E16" s="1"/>
      <c r="F16" s="118" t="s">
        <v>625</v>
      </c>
    </row>
    <row r="17" spans="1:6" ht="35.75" customHeight="1">
      <c r="A17" s="1" t="s">
        <v>29</v>
      </c>
      <c r="B17" s="3">
        <v>0</v>
      </c>
      <c r="C17" s="1" t="s">
        <v>11</v>
      </c>
      <c r="D17" s="1" t="s">
        <v>30</v>
      </c>
      <c r="E17" s="1"/>
      <c r="F17" s="118" t="s">
        <v>626</v>
      </c>
    </row>
    <row r="18" spans="1:6" ht="35.75" customHeight="1">
      <c r="A18" s="1" t="s">
        <v>31</v>
      </c>
      <c r="B18" s="4">
        <v>10</v>
      </c>
      <c r="C18" s="1" t="s">
        <v>20</v>
      </c>
      <c r="D18" s="1" t="s">
        <v>21</v>
      </c>
      <c r="E18" s="1"/>
      <c r="F18" s="118" t="s">
        <v>625</v>
      </c>
    </row>
    <row r="19" spans="1:6" ht="35.75" customHeight="1">
      <c r="A19" s="193" t="s">
        <v>628</v>
      </c>
      <c r="B19" s="194">
        <f>'MVP1 Pricing &amp; SKU'!$B$8</f>
        <v>269</v>
      </c>
      <c r="C19" s="193" t="s">
        <v>5</v>
      </c>
      <c r="D19" s="193" t="s">
        <v>629</v>
      </c>
      <c r="E19" s="1"/>
      <c r="F19" s="118" t="s">
        <v>625</v>
      </c>
    </row>
    <row r="20" spans="1:6" ht="35.75" customHeight="1">
      <c r="A20" s="1" t="s">
        <v>32</v>
      </c>
      <c r="B20" s="4">
        <v>299</v>
      </c>
      <c r="C20" s="1" t="s">
        <v>33</v>
      </c>
      <c r="D20" s="1" t="s">
        <v>34</v>
      </c>
      <c r="E20" s="1"/>
      <c r="F20" s="118" t="s">
        <v>625</v>
      </c>
    </row>
    <row r="21" spans="1:6" ht="35.75" customHeight="1">
      <c r="A21" s="1" t="s">
        <v>35</v>
      </c>
      <c r="B21" s="105">
        <v>4</v>
      </c>
      <c r="C21" s="1" t="s">
        <v>36</v>
      </c>
      <c r="D21" s="1" t="s">
        <v>37</v>
      </c>
      <c r="E21" s="1"/>
      <c r="F21" s="118" t="s">
        <v>625</v>
      </c>
    </row>
    <row r="22" spans="1:6" ht="35.75" customHeight="1">
      <c r="A22" s="1" t="s">
        <v>630</v>
      </c>
      <c r="B22" s="124">
        <f>'Global Pricing Config'!$B$6</f>
        <v>2</v>
      </c>
      <c r="C22" s="1" t="s">
        <v>36</v>
      </c>
      <c r="D22" s="1" t="s">
        <v>631</v>
      </c>
      <c r="E22" s="1"/>
      <c r="F22" s="118" t="s">
        <v>625</v>
      </c>
    </row>
    <row r="23" spans="1:6">
      <c r="F23" s="118"/>
    </row>
    <row r="24" spans="1:6" ht="16">
      <c r="A24" s="136" t="s">
        <v>632</v>
      </c>
      <c r="B24" s="136"/>
      <c r="C24" s="136"/>
      <c r="D24" s="136"/>
      <c r="E24" s="136"/>
      <c r="F24" s="118"/>
    </row>
    <row r="25" spans="1:6" ht="16">
      <c r="A25" s="1" t="s">
        <v>633</v>
      </c>
      <c r="B25" s="137">
        <v>3</v>
      </c>
      <c r="C25" s="1" t="s">
        <v>595</v>
      </c>
      <c r="D25" s="1" t="s">
        <v>625</v>
      </c>
      <c r="E25" s="1" t="s">
        <v>634</v>
      </c>
      <c r="F25" s="118" t="str">
        <f t="shared" ref="F25:F35" si="0">D25</f>
        <v>Founder Assumption</v>
      </c>
    </row>
    <row r="26" spans="1:6" ht="16">
      <c r="A26" s="1" t="s">
        <v>635</v>
      </c>
      <c r="B26" s="137">
        <v>14000</v>
      </c>
      <c r="C26" s="1" t="s">
        <v>636</v>
      </c>
      <c r="D26" s="1" t="s">
        <v>625</v>
      </c>
      <c r="E26" s="1" t="s">
        <v>637</v>
      </c>
      <c r="F26" s="118" t="str">
        <f t="shared" si="0"/>
        <v>Founder Assumption</v>
      </c>
    </row>
    <row r="27" spans="1:6" ht="16">
      <c r="A27" s="1" t="s">
        <v>638</v>
      </c>
      <c r="B27" s="137">
        <v>26</v>
      </c>
      <c r="C27" s="1" t="s">
        <v>639</v>
      </c>
      <c r="D27" s="1" t="s">
        <v>625</v>
      </c>
      <c r="E27" s="1" t="s">
        <v>18</v>
      </c>
      <c r="F27" s="118" t="str">
        <f t="shared" si="0"/>
        <v>Founder Assumption</v>
      </c>
    </row>
    <row r="28" spans="1:6" ht="16">
      <c r="A28" s="1" t="s">
        <v>640</v>
      </c>
      <c r="B28" s="137">
        <v>8</v>
      </c>
      <c r="C28" s="1" t="s">
        <v>36</v>
      </c>
      <c r="D28" s="1" t="s">
        <v>625</v>
      </c>
      <c r="E28" s="1" t="s">
        <v>18</v>
      </c>
      <c r="F28" s="118" t="str">
        <f t="shared" si="0"/>
        <v>Founder Assumption</v>
      </c>
    </row>
    <row r="29" spans="1:6" ht="16">
      <c r="A29" s="1" t="s">
        <v>641</v>
      </c>
      <c r="B29" s="138">
        <v>0.65</v>
      </c>
      <c r="C29" s="1" t="s">
        <v>11</v>
      </c>
      <c r="D29" s="1" t="s">
        <v>625</v>
      </c>
      <c r="E29" s="1" t="s">
        <v>642</v>
      </c>
      <c r="F29" s="118" t="str">
        <f t="shared" si="0"/>
        <v>Founder Assumption</v>
      </c>
    </row>
    <row r="30" spans="1:6" ht="16">
      <c r="A30" s="1" t="s">
        <v>643</v>
      </c>
      <c r="B30" s="139">
        <f>B25*B26</f>
        <v>42000</v>
      </c>
      <c r="C30" s="1" t="s">
        <v>644</v>
      </c>
      <c r="D30" s="1" t="s">
        <v>645</v>
      </c>
      <c r="E30" s="1" t="s">
        <v>646</v>
      </c>
      <c r="F30" s="118" t="str">
        <f t="shared" si="0"/>
        <v>Derived Formula</v>
      </c>
    </row>
    <row r="31" spans="1:6" ht="16">
      <c r="A31" s="1" t="s">
        <v>647</v>
      </c>
      <c r="B31" s="139">
        <f>B25*B27*B28</f>
        <v>624</v>
      </c>
      <c r="C31" s="1" t="s">
        <v>648</v>
      </c>
      <c r="D31" s="1" t="s">
        <v>645</v>
      </c>
      <c r="E31" s="1" t="s">
        <v>649</v>
      </c>
      <c r="F31" s="118" t="str">
        <f t="shared" si="0"/>
        <v>Derived Formula</v>
      </c>
    </row>
    <row r="32" spans="1:6" ht="16">
      <c r="A32" s="1" t="s">
        <v>650</v>
      </c>
      <c r="B32" s="139">
        <f>B31*B29</f>
        <v>405.6</v>
      </c>
      <c r="C32" s="1" t="s">
        <v>648</v>
      </c>
      <c r="D32" s="1" t="s">
        <v>645</v>
      </c>
      <c r="E32" s="1" t="s">
        <v>651</v>
      </c>
      <c r="F32" s="118" t="str">
        <f t="shared" si="0"/>
        <v>Derived Formula</v>
      </c>
    </row>
    <row r="33" spans="1:6" ht="32">
      <c r="A33" s="1" t="s">
        <v>652</v>
      </c>
      <c r="B33" s="139">
        <f>IF(B32=0,0,B30/B32)</f>
        <v>103.55029585798816</v>
      </c>
      <c r="C33" s="1" t="s">
        <v>653</v>
      </c>
      <c r="D33" s="1" t="s">
        <v>645</v>
      </c>
      <c r="E33" s="1" t="s">
        <v>654</v>
      </c>
      <c r="F33" s="118" t="str">
        <f t="shared" si="0"/>
        <v>Derived Formula</v>
      </c>
    </row>
    <row r="34" spans="1:6" ht="32">
      <c r="A34" s="1" t="s">
        <v>655</v>
      </c>
      <c r="B34" s="139" t="e">
        <f>#REF!*#REF!</f>
        <v>#REF!</v>
      </c>
      <c r="C34" s="1" t="s">
        <v>648</v>
      </c>
      <c r="D34" s="1" t="s">
        <v>645</v>
      </c>
      <c r="E34" s="1" t="s">
        <v>656</v>
      </c>
      <c r="F34" s="118" t="str">
        <f t="shared" si="0"/>
        <v>Derived Formula</v>
      </c>
    </row>
    <row r="35" spans="1:6" ht="32">
      <c r="A35" s="1" t="s">
        <v>657</v>
      </c>
      <c r="B35" s="139" t="e">
        <f>IF(B34=0,0,B30/B34)</f>
        <v>#REF!</v>
      </c>
      <c r="C35" s="1" t="s">
        <v>653</v>
      </c>
      <c r="D35" s="1" t="s">
        <v>645</v>
      </c>
      <c r="E35" s="1" t="s">
        <v>658</v>
      </c>
      <c r="F35" s="118" t="str">
        <f t="shared" si="0"/>
        <v>Derived Formula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34"/>
  <sheetViews>
    <sheetView workbookViewId="0">
      <selection sqref="A1:AF1"/>
    </sheetView>
  </sheetViews>
  <sheetFormatPr baseColWidth="10" defaultColWidth="8.83203125" defaultRowHeight="15"/>
  <cols>
    <col min="1" max="1" width="34" customWidth="1"/>
    <col min="2" max="2" width="22" customWidth="1"/>
    <col min="3" max="9" width="13" customWidth="1"/>
    <col min="10" max="32" width="15" customWidth="1"/>
    <col min="33" max="33" width="18" customWidth="1"/>
    <col min="34" max="34" width="30" customWidth="1"/>
    <col min="35" max="43" width="18" customWidth="1"/>
    <col min="44" max="44" width="42" customWidth="1"/>
  </cols>
  <sheetData>
    <row r="1" spans="1:44" ht="49.75" customHeight="1">
      <c r="A1" s="311" t="s">
        <v>659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</row>
    <row r="2" spans="1:44" ht="49.75" customHeight="1">
      <c r="A2" s="309" t="s">
        <v>660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</row>
    <row r="4" spans="1:44" ht="81.75" customHeight="1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661</v>
      </c>
      <c r="K4" s="5" t="s">
        <v>662</v>
      </c>
      <c r="L4" s="5" t="s">
        <v>47</v>
      </c>
      <c r="M4" s="5" t="s">
        <v>48</v>
      </c>
      <c r="N4" s="5" t="s">
        <v>49</v>
      </c>
      <c r="O4" s="5" t="s">
        <v>50</v>
      </c>
      <c r="P4" s="5" t="s">
        <v>51</v>
      </c>
      <c r="Q4" s="5" t="s">
        <v>663</v>
      </c>
      <c r="R4" s="5" t="s">
        <v>664</v>
      </c>
      <c r="S4" s="5" t="s">
        <v>665</v>
      </c>
      <c r="T4" s="5" t="s">
        <v>52</v>
      </c>
      <c r="U4" s="5" t="s">
        <v>53</v>
      </c>
      <c r="V4" s="5" t="s">
        <v>54</v>
      </c>
      <c r="W4" s="5" t="s">
        <v>55</v>
      </c>
      <c r="X4" s="5" t="s">
        <v>56</v>
      </c>
      <c r="Y4" s="5" t="s">
        <v>666</v>
      </c>
      <c r="Z4" s="5" t="s">
        <v>57</v>
      </c>
      <c r="AA4" s="5" t="s">
        <v>667</v>
      </c>
      <c r="AB4" s="5" t="s">
        <v>668</v>
      </c>
      <c r="AC4" s="5" t="s">
        <v>58</v>
      </c>
      <c r="AD4" s="5" t="s">
        <v>669</v>
      </c>
      <c r="AE4" s="5" t="s">
        <v>670</v>
      </c>
      <c r="AF4" s="5" t="s">
        <v>671</v>
      </c>
      <c r="AG4" s="94" t="s">
        <v>672</v>
      </c>
      <c r="AH4" s="125" t="s">
        <v>673</v>
      </c>
      <c r="AI4" s="140" t="s">
        <v>674</v>
      </c>
      <c r="AJ4" s="140" t="s">
        <v>607</v>
      </c>
      <c r="AK4" s="140" t="s">
        <v>675</v>
      </c>
      <c r="AL4" s="140" t="s">
        <v>676</v>
      </c>
      <c r="AM4" s="140" t="s">
        <v>677</v>
      </c>
      <c r="AN4" s="140" t="s">
        <v>678</v>
      </c>
      <c r="AO4" s="140" t="s">
        <v>679</v>
      </c>
      <c r="AP4" s="140" t="s">
        <v>680</v>
      </c>
      <c r="AQ4" s="140" t="s">
        <v>681</v>
      </c>
      <c r="AR4" s="140" t="s">
        <v>682</v>
      </c>
    </row>
    <row r="5" spans="1:44" ht="39" customHeight="1">
      <c r="A5" s="1" t="s">
        <v>59</v>
      </c>
      <c r="B5" s="1" t="s">
        <v>60</v>
      </c>
      <c r="C5" s="8">
        <v>4</v>
      </c>
      <c r="D5" s="141">
        <v>1</v>
      </c>
      <c r="E5" s="9">
        <v>0</v>
      </c>
      <c r="F5" s="10">
        <v>1</v>
      </c>
      <c r="G5" s="9"/>
      <c r="H5" s="9"/>
      <c r="I5" s="9"/>
      <c r="J5" s="11">
        <f>'MVP1 Pricing &amp; SKU'!$B$7*D5</f>
        <v>299</v>
      </c>
      <c r="K5" s="153">
        <v>1395</v>
      </c>
      <c r="L5" s="154">
        <f>K5/(1+'Global Inputs'!$B$7)</f>
        <v>1182.2033898305085</v>
      </c>
      <c r="M5" s="153">
        <f>IF(G5="",'Global Inputs'!$B$6,G5)</f>
        <v>0</v>
      </c>
      <c r="N5" s="154">
        <f t="shared" ref="N5:N34" si="0">C5*F5*M5</f>
        <v>0</v>
      </c>
      <c r="O5" s="154">
        <f>K5*'Global Inputs'!$B$8+'Global Inputs'!$B$9</f>
        <v>0</v>
      </c>
      <c r="P5" s="153">
        <f>SUM('Global Inputs'!$B$10:$B$14)</f>
        <v>56.5</v>
      </c>
      <c r="Q5" s="154">
        <f t="shared" ref="Q5:Q34" si="1">SUM(N5:P5)+AG5</f>
        <v>105.32499999999999</v>
      </c>
      <c r="R5" s="154">
        <f t="shared" ref="R5:R34" si="2">L5-Q5</f>
        <v>1076.8783898305085</v>
      </c>
      <c r="S5" s="142">
        <f t="shared" ref="S5:S34" si="3">IF(L5=0,0,R5/L5)</f>
        <v>0.91090788530465949</v>
      </c>
      <c r="T5" s="153">
        <f>IF(H5="",'Global Inputs'!$B$15,H5)</f>
        <v>500</v>
      </c>
      <c r="U5" s="153">
        <f>IF(I5="",'Global Inputs'!$B$16,I5)</f>
        <v>149</v>
      </c>
      <c r="V5" s="154">
        <f t="shared" ref="V5:V34" si="4">T5+U5</f>
        <v>649</v>
      </c>
      <c r="W5" s="154">
        <f>V5*'Global Inputs'!$B$8</f>
        <v>0</v>
      </c>
      <c r="X5" s="153">
        <f>'Global Inputs'!$B$18</f>
        <v>10</v>
      </c>
      <c r="Y5" s="154">
        <f>U5/(1+'Global Inputs'!$B$17)-W5-X5</f>
        <v>139</v>
      </c>
      <c r="Z5" s="154">
        <f t="shared" ref="Z5:Z34" si="5">K5+V5</f>
        <v>2044</v>
      </c>
      <c r="AA5" s="154">
        <f t="shared" ref="AA5:AA34" si="6">Q5+T5+W5+X5</f>
        <v>615.32500000000005</v>
      </c>
      <c r="AB5" s="154">
        <f t="shared" ref="AB5:AB34" si="7">R5+Y5</f>
        <v>1215.8783898305085</v>
      </c>
      <c r="AC5" s="12">
        <f t="shared" ref="AC5:AC34" si="8">AB5-R5</f>
        <v>139</v>
      </c>
      <c r="AD5" s="142">
        <v>0.91336785882532689</v>
      </c>
      <c r="AE5" s="154">
        <f t="shared" ref="AE5:AE34" si="9">IF(C5=0,0,R5/C5)</f>
        <v>269.21959745762712</v>
      </c>
      <c r="AF5" s="154">
        <f t="shared" ref="AF5:AF34" si="10">IF(C5=0,0,AB5/C5)</f>
        <v>303.96959745762712</v>
      </c>
      <c r="AG5" s="152">
        <f>L5*'NC Credits'!$B$15</f>
        <v>48.824999999999996</v>
      </c>
      <c r="AH5" s="154" t="str">
        <f t="shared" ref="AH5:AH34" si="11">IF(OR(ISNUMBER(SEARCH("Overnight",A5)),ISNUMBER(SEARCH("Multi-Day",A5)),ISNUMBER(SEARCH("Medical Tourism",A5))),"MANUAL","AUTO")</f>
        <v>AUTO</v>
      </c>
      <c r="AI5" s="152">
        <f t="shared" ref="AI5:AI34" si="12">M5</f>
        <v>0</v>
      </c>
      <c r="AJ5" s="152">
        <f>'Global Inputs'!$B$33</f>
        <v>103.55029585798816</v>
      </c>
      <c r="AK5" s="152">
        <f t="shared" ref="AK5:AK34" si="13">C5*F5*AJ5</f>
        <v>414.20118343195264</v>
      </c>
      <c r="AL5" s="152">
        <f t="shared" ref="AL5:AL34" si="14">R5+N5-AK5</f>
        <v>662.67720639855588</v>
      </c>
      <c r="AM5" s="143">
        <f t="shared" ref="AM5:AM34" si="15">IF(L5=0,0,AL5/L5)</f>
        <v>0.5605441602511082</v>
      </c>
      <c r="AN5" s="152">
        <f t="shared" ref="AN5:AN34" si="16">AB5+N5-AK5</f>
        <v>801.67720639855588</v>
      </c>
      <c r="AO5" s="143">
        <f>IF((L5+U5/(1+'Global Inputs'!$B$17))=0,0,AN5/(L5+U5/(1+'Global Inputs'!$B$17)))</f>
        <v>0.6022199256122891</v>
      </c>
      <c r="AP5" s="152">
        <f t="shared" ref="AP5:AP34" si="17">IF(C5*F5=0,0,AL5/(C5*F5))</f>
        <v>165.66930159963897</v>
      </c>
      <c r="AQ5" s="144">
        <v>5</v>
      </c>
      <c r="AR5" s="145" t="s">
        <v>683</v>
      </c>
    </row>
    <row r="6" spans="1:44" ht="39" customHeight="1">
      <c r="A6" s="1" t="s">
        <v>599</v>
      </c>
      <c r="B6" s="1" t="s">
        <v>60</v>
      </c>
      <c r="C6" s="8">
        <v>3</v>
      </c>
      <c r="D6" s="141">
        <v>0.8</v>
      </c>
      <c r="E6" s="9">
        <v>0</v>
      </c>
      <c r="F6" s="10">
        <v>1</v>
      </c>
      <c r="G6" s="9"/>
      <c r="H6" s="9"/>
      <c r="I6" s="9"/>
      <c r="J6" s="11">
        <f>'MVP1 Pricing &amp; SKU'!$B$7*D6</f>
        <v>239.20000000000002</v>
      </c>
      <c r="K6" s="153">
        <v>916.6</v>
      </c>
      <c r="L6" s="154">
        <f>K6/(1+'Global Inputs'!$B$7)</f>
        <v>776.77966101694926</v>
      </c>
      <c r="M6" s="153">
        <f>IF(G6="",'Global Inputs'!$B$6,G6)</f>
        <v>0</v>
      </c>
      <c r="N6" s="154">
        <f t="shared" si="0"/>
        <v>0</v>
      </c>
      <c r="O6" s="154">
        <f>K6*'Global Inputs'!$B$8+'Global Inputs'!$B$9</f>
        <v>0</v>
      </c>
      <c r="P6" s="153">
        <f>SUM('Global Inputs'!$B$10:$B$14)</f>
        <v>56.5</v>
      </c>
      <c r="Q6" s="154">
        <f t="shared" si="1"/>
        <v>88.581000000000003</v>
      </c>
      <c r="R6" s="154">
        <f t="shared" si="2"/>
        <v>688.19866101694925</v>
      </c>
      <c r="S6" s="142">
        <f t="shared" si="3"/>
        <v>0.88596380100370931</v>
      </c>
      <c r="T6" s="153">
        <f>IF(H6="",'Global Inputs'!$B$15,H6)</f>
        <v>500</v>
      </c>
      <c r="U6" s="153">
        <f>IF(I6="",'Global Inputs'!$B$16,I6)</f>
        <v>149</v>
      </c>
      <c r="V6" s="154">
        <f t="shared" si="4"/>
        <v>649</v>
      </c>
      <c r="W6" s="154">
        <f>V6*'Global Inputs'!$B$8</f>
        <v>0</v>
      </c>
      <c r="X6" s="153">
        <f>'Global Inputs'!$B$18</f>
        <v>10</v>
      </c>
      <c r="Y6" s="154">
        <f>U6/(1+'Global Inputs'!$B$17)-W6-X6</f>
        <v>139</v>
      </c>
      <c r="Z6" s="154">
        <f t="shared" si="5"/>
        <v>1565.6</v>
      </c>
      <c r="AA6" s="154">
        <f t="shared" si="6"/>
        <v>598.58100000000002</v>
      </c>
      <c r="AB6" s="154">
        <f t="shared" si="7"/>
        <v>827.19866101694925</v>
      </c>
      <c r="AC6" s="12">
        <f t="shared" si="8"/>
        <v>139</v>
      </c>
      <c r="AD6" s="142">
        <v>0.89351569909009354</v>
      </c>
      <c r="AE6" s="154">
        <f t="shared" si="9"/>
        <v>229.39955367231642</v>
      </c>
      <c r="AF6" s="154">
        <f t="shared" si="10"/>
        <v>275.73288700564973</v>
      </c>
      <c r="AG6" s="152">
        <f>L6*'NC Credits'!$B$15</f>
        <v>32.081000000000003</v>
      </c>
      <c r="AH6" s="154" t="str">
        <f t="shared" si="11"/>
        <v>AUTO</v>
      </c>
      <c r="AI6" s="152">
        <f t="shared" si="12"/>
        <v>0</v>
      </c>
      <c r="AJ6" s="152">
        <f>'Global Inputs'!$B$33</f>
        <v>103.55029585798816</v>
      </c>
      <c r="AK6" s="152">
        <f t="shared" si="13"/>
        <v>310.6508875739645</v>
      </c>
      <c r="AL6" s="152">
        <f t="shared" si="14"/>
        <v>377.54777344298475</v>
      </c>
      <c r="AM6" s="143">
        <f t="shared" si="15"/>
        <v>0.48604230052664404</v>
      </c>
      <c r="AN6" s="152">
        <f t="shared" si="16"/>
        <v>516.54777344298475</v>
      </c>
      <c r="AO6" s="143">
        <f>IF((L6+U6/(1+'Global Inputs'!$B$17))=0,0,AN6/(L6+U6/(1+'Global Inputs'!$B$17)))</f>
        <v>0.55795973404251287</v>
      </c>
      <c r="AP6" s="152">
        <f t="shared" si="17"/>
        <v>125.84925781432825</v>
      </c>
      <c r="AQ6" s="144">
        <v>4</v>
      </c>
      <c r="AR6" s="145" t="s">
        <v>684</v>
      </c>
    </row>
    <row r="7" spans="1:44" ht="39" customHeight="1">
      <c r="A7" s="1" t="s">
        <v>61</v>
      </c>
      <c r="B7" s="1" t="s">
        <v>60</v>
      </c>
      <c r="C7" s="8">
        <v>2</v>
      </c>
      <c r="D7" s="141">
        <v>0.9</v>
      </c>
      <c r="E7" s="9">
        <v>0</v>
      </c>
      <c r="F7" s="10">
        <v>1</v>
      </c>
      <c r="G7" s="9"/>
      <c r="H7" s="9"/>
      <c r="I7" s="9"/>
      <c r="J7" s="11">
        <f>'MVP1 Pricing &amp; SKU'!$B$7*D7</f>
        <v>269.10000000000002</v>
      </c>
      <c r="K7" s="153">
        <v>737.2</v>
      </c>
      <c r="L7" s="154">
        <f>K7/(1+'Global Inputs'!$B$7)</f>
        <v>624.74576271186447</v>
      </c>
      <c r="M7" s="153">
        <f>IF(G7="",'Global Inputs'!$B$6,G7)</f>
        <v>0</v>
      </c>
      <c r="N7" s="154">
        <f t="shared" si="0"/>
        <v>0</v>
      </c>
      <c r="O7" s="154">
        <f>K7*'Global Inputs'!$B$8+'Global Inputs'!$B$9</f>
        <v>0</v>
      </c>
      <c r="P7" s="153">
        <f>SUM('Global Inputs'!$B$10:$B$14)</f>
        <v>56.5</v>
      </c>
      <c r="Q7" s="154">
        <f t="shared" si="1"/>
        <v>82.301999999999992</v>
      </c>
      <c r="R7" s="154">
        <f t="shared" si="2"/>
        <v>542.44376271186445</v>
      </c>
      <c r="S7" s="142">
        <f t="shared" si="3"/>
        <v>0.86826321215409652</v>
      </c>
      <c r="T7" s="153">
        <f>IF(H7="",'Global Inputs'!$B$15,H7)</f>
        <v>500</v>
      </c>
      <c r="U7" s="153">
        <f>IF(I7="",'Global Inputs'!$B$16,I7)</f>
        <v>149</v>
      </c>
      <c r="V7" s="154">
        <f t="shared" si="4"/>
        <v>649</v>
      </c>
      <c r="W7" s="154">
        <f>V7*'Global Inputs'!$B$8</f>
        <v>0</v>
      </c>
      <c r="X7" s="153">
        <f>'Global Inputs'!$B$18</f>
        <v>10</v>
      </c>
      <c r="Y7" s="154">
        <f>U7/(1+'Global Inputs'!$B$17)-W7-X7</f>
        <v>139</v>
      </c>
      <c r="Z7" s="154">
        <f t="shared" si="5"/>
        <v>1386.2</v>
      </c>
      <c r="AA7" s="154">
        <f t="shared" si="6"/>
        <v>592.30200000000002</v>
      </c>
      <c r="AB7" s="154">
        <f t="shared" si="7"/>
        <v>681.44376271186445</v>
      </c>
      <c r="AC7" s="12">
        <f t="shared" si="8"/>
        <v>139</v>
      </c>
      <c r="AD7" s="142">
        <v>0.88070758581411135</v>
      </c>
      <c r="AE7" s="154">
        <f t="shared" si="9"/>
        <v>271.22188135593223</v>
      </c>
      <c r="AF7" s="154">
        <f t="shared" si="10"/>
        <v>340.72188135593223</v>
      </c>
      <c r="AG7" s="152">
        <f>L7*'NC Credits'!$B$15</f>
        <v>25.802</v>
      </c>
      <c r="AH7" s="154" t="str">
        <f t="shared" si="11"/>
        <v>AUTO</v>
      </c>
      <c r="AI7" s="152">
        <f t="shared" si="12"/>
        <v>0</v>
      </c>
      <c r="AJ7" s="152">
        <f>'Global Inputs'!$B$33</f>
        <v>103.55029585798816</v>
      </c>
      <c r="AK7" s="152">
        <f t="shared" si="13"/>
        <v>207.10059171597632</v>
      </c>
      <c r="AL7" s="152">
        <f t="shared" si="14"/>
        <v>335.34317099588816</v>
      </c>
      <c r="AM7" s="143">
        <f t="shared" si="15"/>
        <v>0.53676741966243624</v>
      </c>
      <c r="AN7" s="152">
        <f t="shared" si="16"/>
        <v>474.34317099588816</v>
      </c>
      <c r="AO7" s="143">
        <f>IF((L7+U7/(1+'Global Inputs'!$B$17))=0,0,AN7/(L7+U7/(1+'Global Inputs'!$B$17)))</f>
        <v>0.6130478431744627</v>
      </c>
      <c r="AP7" s="152">
        <f t="shared" si="17"/>
        <v>167.67158549794408</v>
      </c>
      <c r="AQ7" s="144">
        <v>4</v>
      </c>
      <c r="AR7" s="145" t="s">
        <v>685</v>
      </c>
    </row>
    <row r="8" spans="1:44" ht="39" customHeight="1">
      <c r="A8" s="1" t="s">
        <v>62</v>
      </c>
      <c r="B8" s="1" t="s">
        <v>60</v>
      </c>
      <c r="C8" s="8">
        <v>3</v>
      </c>
      <c r="D8" s="141">
        <v>0.85</v>
      </c>
      <c r="E8" s="9">
        <v>0</v>
      </c>
      <c r="F8" s="10">
        <v>1</v>
      </c>
      <c r="G8" s="9"/>
      <c r="H8" s="9"/>
      <c r="I8" s="9"/>
      <c r="J8" s="11">
        <f>'MVP1 Pricing &amp; SKU'!$B$7*D8</f>
        <v>254.15</v>
      </c>
      <c r="K8" s="153">
        <v>961.44999999999993</v>
      </c>
      <c r="L8" s="154">
        <f>K8/(1+'Global Inputs'!$B$7)</f>
        <v>814.78813559322032</v>
      </c>
      <c r="M8" s="153">
        <f>IF(G8="",'Global Inputs'!$B$6,G8)</f>
        <v>0</v>
      </c>
      <c r="N8" s="154">
        <f t="shared" si="0"/>
        <v>0</v>
      </c>
      <c r="O8" s="154">
        <f>K8*'Global Inputs'!$B$8+'Global Inputs'!$B$9</f>
        <v>0</v>
      </c>
      <c r="P8" s="153">
        <f>SUM('Global Inputs'!$B$10:$B$14)</f>
        <v>56.5</v>
      </c>
      <c r="Q8" s="154">
        <f t="shared" si="1"/>
        <v>90.150749999999988</v>
      </c>
      <c r="R8" s="154">
        <f t="shared" si="2"/>
        <v>724.6373855932203</v>
      </c>
      <c r="S8" s="142">
        <f t="shared" si="3"/>
        <v>0.88935682042747932</v>
      </c>
      <c r="T8" s="153">
        <f>IF(H8="",'Global Inputs'!$B$15,H8)</f>
        <v>500</v>
      </c>
      <c r="U8" s="153">
        <f>IF(I8="",'Global Inputs'!$B$16,I8)</f>
        <v>149</v>
      </c>
      <c r="V8" s="154">
        <f t="shared" si="4"/>
        <v>649</v>
      </c>
      <c r="W8" s="154">
        <f>V8*'Global Inputs'!$B$8</f>
        <v>0</v>
      </c>
      <c r="X8" s="153">
        <f>'Global Inputs'!$B$18</f>
        <v>10</v>
      </c>
      <c r="Y8" s="154">
        <f>U8/(1+'Global Inputs'!$B$17)-W8-X8</f>
        <v>139</v>
      </c>
      <c r="Z8" s="154">
        <f t="shared" si="5"/>
        <v>1610.4499999999998</v>
      </c>
      <c r="AA8" s="154">
        <f t="shared" si="6"/>
        <v>600.15075000000002</v>
      </c>
      <c r="AB8" s="154">
        <f t="shared" si="7"/>
        <v>863.6373855932203</v>
      </c>
      <c r="AC8" s="12">
        <f t="shared" si="8"/>
        <v>139</v>
      </c>
      <c r="AD8" s="142">
        <v>0.89608634273303611</v>
      </c>
      <c r="AE8" s="154">
        <f t="shared" si="9"/>
        <v>241.54579519774009</v>
      </c>
      <c r="AF8" s="154">
        <f t="shared" si="10"/>
        <v>287.87912853107343</v>
      </c>
      <c r="AG8" s="152">
        <f>L8*'NC Credits'!$B$15</f>
        <v>33.650749999999995</v>
      </c>
      <c r="AH8" s="154" t="str">
        <f t="shared" si="11"/>
        <v>AUTO</v>
      </c>
      <c r="AI8" s="152">
        <f t="shared" si="12"/>
        <v>0</v>
      </c>
      <c r="AJ8" s="152">
        <f>'Global Inputs'!$B$33</f>
        <v>103.55029585798816</v>
      </c>
      <c r="AK8" s="152">
        <f t="shared" si="13"/>
        <v>310.6508875739645</v>
      </c>
      <c r="AL8" s="152">
        <f t="shared" si="14"/>
        <v>413.98649801925581</v>
      </c>
      <c r="AM8" s="143">
        <f t="shared" si="15"/>
        <v>0.50809097473890674</v>
      </c>
      <c r="AN8" s="152">
        <f t="shared" si="16"/>
        <v>552.98649801925581</v>
      </c>
      <c r="AO8" s="143">
        <f>IF((L8+U8/(1+'Global Inputs'!$B$17))=0,0,AN8/(L8+U8/(1+'Global Inputs'!$B$17)))</f>
        <v>0.5737635457391137</v>
      </c>
      <c r="AP8" s="152">
        <f t="shared" si="17"/>
        <v>137.99549933975194</v>
      </c>
      <c r="AQ8" s="144">
        <v>4</v>
      </c>
      <c r="AR8" s="145" t="s">
        <v>686</v>
      </c>
    </row>
    <row r="9" spans="1:44" ht="39" customHeight="1">
      <c r="A9" s="1" t="s">
        <v>63</v>
      </c>
      <c r="B9" s="1" t="s">
        <v>60</v>
      </c>
      <c r="C9" s="8">
        <v>5</v>
      </c>
      <c r="D9" s="141">
        <v>0.9</v>
      </c>
      <c r="E9" s="9">
        <v>0</v>
      </c>
      <c r="F9" s="10">
        <v>1</v>
      </c>
      <c r="G9" s="9"/>
      <c r="H9" s="9"/>
      <c r="I9" s="9"/>
      <c r="J9" s="11">
        <f>'MVP1 Pricing &amp; SKU'!$B$7*D9</f>
        <v>269.10000000000002</v>
      </c>
      <c r="K9" s="153">
        <v>1544.5</v>
      </c>
      <c r="L9" s="154">
        <f>K9/(1+'Global Inputs'!$B$7)</f>
        <v>1308.8983050847457</v>
      </c>
      <c r="M9" s="153">
        <f>IF(G9="",'Global Inputs'!$B$6,G9)</f>
        <v>0</v>
      </c>
      <c r="N9" s="154">
        <f t="shared" si="0"/>
        <v>0</v>
      </c>
      <c r="O9" s="154">
        <f>K9*'Global Inputs'!$B$8+'Global Inputs'!$B$9</f>
        <v>0</v>
      </c>
      <c r="P9" s="153">
        <f>SUM('Global Inputs'!$B$10:$B$14)</f>
        <v>56.5</v>
      </c>
      <c r="Q9" s="154">
        <f t="shared" si="1"/>
        <v>110.5575</v>
      </c>
      <c r="R9" s="154">
        <f t="shared" si="2"/>
        <v>1198.3408050847456</v>
      </c>
      <c r="S9" s="142">
        <f t="shared" si="3"/>
        <v>0.91553392683716406</v>
      </c>
      <c r="T9" s="153">
        <f>IF(H9="",'Global Inputs'!$B$15,H9)</f>
        <v>500</v>
      </c>
      <c r="U9" s="153">
        <f>IF(I9="",'Global Inputs'!$B$16,I9)</f>
        <v>149</v>
      </c>
      <c r="V9" s="154">
        <f t="shared" si="4"/>
        <v>649</v>
      </c>
      <c r="W9" s="154">
        <f>V9*'Global Inputs'!$B$8</f>
        <v>0</v>
      </c>
      <c r="X9" s="153">
        <f>'Global Inputs'!$B$18</f>
        <v>10</v>
      </c>
      <c r="Y9" s="154">
        <f>U9/(1+'Global Inputs'!$B$17)-W9-X9</f>
        <v>139</v>
      </c>
      <c r="Z9" s="154">
        <f t="shared" si="5"/>
        <v>2193.5</v>
      </c>
      <c r="AA9" s="154">
        <f t="shared" si="6"/>
        <v>620.5575</v>
      </c>
      <c r="AB9" s="154">
        <f t="shared" si="7"/>
        <v>1337.3408050847456</v>
      </c>
      <c r="AC9" s="12">
        <f t="shared" si="8"/>
        <v>139</v>
      </c>
      <c r="AD9" s="142">
        <v>0.91730733235677075</v>
      </c>
      <c r="AE9" s="154">
        <f t="shared" si="9"/>
        <v>239.66816101694911</v>
      </c>
      <c r="AF9" s="154">
        <f t="shared" si="10"/>
        <v>267.46816101694913</v>
      </c>
      <c r="AG9" s="152">
        <f>L9*'NC Credits'!$B$15</f>
        <v>54.057499999999997</v>
      </c>
      <c r="AH9" s="154" t="str">
        <f t="shared" si="11"/>
        <v>AUTO</v>
      </c>
      <c r="AI9" s="152">
        <f t="shared" si="12"/>
        <v>0</v>
      </c>
      <c r="AJ9" s="152">
        <f>'Global Inputs'!$B$33</f>
        <v>103.55029585798816</v>
      </c>
      <c r="AK9" s="152">
        <f t="shared" si="13"/>
        <v>517.75147928994079</v>
      </c>
      <c r="AL9" s="152">
        <f t="shared" si="14"/>
        <v>680.58932579480484</v>
      </c>
      <c r="AM9" s="143">
        <f t="shared" si="15"/>
        <v>0.51997112621422448</v>
      </c>
      <c r="AN9" s="152">
        <f t="shared" si="16"/>
        <v>819.58932579480484</v>
      </c>
      <c r="AO9" s="143">
        <f>IF((L9+U9/(1+'Global Inputs'!$B$17))=0,0,AN9/(L9+U9/(1+'Global Inputs'!$B$17)))</f>
        <v>0.56217180782521259</v>
      </c>
      <c r="AP9" s="152">
        <f t="shared" si="17"/>
        <v>136.11786515896097</v>
      </c>
      <c r="AQ9" s="144">
        <v>3</v>
      </c>
      <c r="AR9" s="145" t="s">
        <v>687</v>
      </c>
    </row>
    <row r="10" spans="1:44" ht="39" customHeight="1">
      <c r="A10" s="1" t="s">
        <v>64</v>
      </c>
      <c r="B10" s="1" t="s">
        <v>65</v>
      </c>
      <c r="C10" s="8">
        <v>4</v>
      </c>
      <c r="D10" s="141">
        <v>1.1499999999999999</v>
      </c>
      <c r="E10" s="9">
        <v>0</v>
      </c>
      <c r="F10" s="10">
        <v>1</v>
      </c>
      <c r="G10" s="9"/>
      <c r="H10" s="9"/>
      <c r="I10" s="9"/>
      <c r="J10" s="11">
        <f>'MVP1 Pricing &amp; SKU'!$B$7*D10</f>
        <v>343.84999999999997</v>
      </c>
      <c r="K10" s="153">
        <v>1574.3999999999999</v>
      </c>
      <c r="L10" s="154">
        <f>K10/(1+'Global Inputs'!$B$7)</f>
        <v>1334.2372881355932</v>
      </c>
      <c r="M10" s="153">
        <f>IF(G10="",'Global Inputs'!$B$6,G10)</f>
        <v>0</v>
      </c>
      <c r="N10" s="154">
        <f t="shared" si="0"/>
        <v>0</v>
      </c>
      <c r="O10" s="154">
        <f>K10*'Global Inputs'!$B$8+'Global Inputs'!$B$9</f>
        <v>0</v>
      </c>
      <c r="P10" s="153">
        <f>SUM('Global Inputs'!$B$10:$B$14)</f>
        <v>56.5</v>
      </c>
      <c r="Q10" s="154">
        <f t="shared" si="1"/>
        <v>111.60399999999998</v>
      </c>
      <c r="R10" s="154">
        <f t="shared" si="2"/>
        <v>1222.6332881355931</v>
      </c>
      <c r="S10" s="142">
        <f t="shared" si="3"/>
        <v>0.91635370934959348</v>
      </c>
      <c r="T10" s="153">
        <f>IF(H10="",'Global Inputs'!$B$15,H10)</f>
        <v>500</v>
      </c>
      <c r="U10" s="153">
        <f>IF(I10="",'Global Inputs'!$B$16,I10)</f>
        <v>149</v>
      </c>
      <c r="V10" s="154">
        <f t="shared" si="4"/>
        <v>649</v>
      </c>
      <c r="W10" s="154">
        <f>V10*'Global Inputs'!$B$8</f>
        <v>0</v>
      </c>
      <c r="X10" s="153">
        <f>'Global Inputs'!$B$18</f>
        <v>10</v>
      </c>
      <c r="Y10" s="154">
        <f>U10/(1+'Global Inputs'!$B$17)-W10-X10</f>
        <v>139</v>
      </c>
      <c r="Z10" s="154">
        <f t="shared" si="5"/>
        <v>2223.3999999999996</v>
      </c>
      <c r="AA10" s="154">
        <f t="shared" si="6"/>
        <v>621.60400000000004</v>
      </c>
      <c r="AB10" s="154">
        <f t="shared" si="7"/>
        <v>1361.6332881355931</v>
      </c>
      <c r="AC10" s="12">
        <f t="shared" si="8"/>
        <v>139</v>
      </c>
      <c r="AD10" s="142">
        <v>0.918014466752751</v>
      </c>
      <c r="AE10" s="154">
        <f t="shared" si="9"/>
        <v>305.65832203389829</v>
      </c>
      <c r="AF10" s="154">
        <f t="shared" si="10"/>
        <v>340.40832203389829</v>
      </c>
      <c r="AG10" s="152">
        <f>L10*'NC Credits'!$B$15</f>
        <v>55.103999999999992</v>
      </c>
      <c r="AH10" s="154" t="str">
        <f t="shared" si="11"/>
        <v>AUTO</v>
      </c>
      <c r="AI10" s="152">
        <f t="shared" si="12"/>
        <v>0</v>
      </c>
      <c r="AJ10" s="152">
        <f>'Global Inputs'!$B$33</f>
        <v>103.55029585798816</v>
      </c>
      <c r="AK10" s="152">
        <f t="shared" si="13"/>
        <v>414.20118343195264</v>
      </c>
      <c r="AL10" s="152">
        <f t="shared" si="14"/>
        <v>808.43210470364056</v>
      </c>
      <c r="AM10" s="143">
        <f t="shared" si="15"/>
        <v>0.60591328985664117</v>
      </c>
      <c r="AN10" s="152">
        <f t="shared" si="16"/>
        <v>947.43210470364056</v>
      </c>
      <c r="AO10" s="143">
        <f>IF((L10+U10/(1+'Global Inputs'!$B$17))=0,0,AN10/(L10+U10/(1+'Global Inputs'!$B$17)))</f>
        <v>0.63875963224640098</v>
      </c>
      <c r="AP10" s="152">
        <f t="shared" si="17"/>
        <v>202.10802617591014</v>
      </c>
      <c r="AQ10" s="144">
        <v>3</v>
      </c>
      <c r="AR10" s="145" t="s">
        <v>688</v>
      </c>
    </row>
    <row r="11" spans="1:44" ht="39" customHeight="1">
      <c r="A11" s="1" t="s">
        <v>66</v>
      </c>
      <c r="B11" s="1" t="s">
        <v>65</v>
      </c>
      <c r="C11" s="8">
        <v>4</v>
      </c>
      <c r="D11" s="141">
        <v>1.1000000000000001</v>
      </c>
      <c r="E11" s="9">
        <v>0</v>
      </c>
      <c r="F11" s="10">
        <v>1</v>
      </c>
      <c r="G11" s="9"/>
      <c r="H11" s="9"/>
      <c r="I11" s="9"/>
      <c r="J11" s="11">
        <f>'MVP1 Pricing &amp; SKU'!$B$7*D11</f>
        <v>328.90000000000003</v>
      </c>
      <c r="K11" s="153">
        <v>1514.6000000000001</v>
      </c>
      <c r="L11" s="154">
        <f>K11/(1+'Global Inputs'!$B$7)</f>
        <v>1283.5593220338985</v>
      </c>
      <c r="M11" s="153">
        <f>IF(G11="",'Global Inputs'!$B$6,G11)</f>
        <v>0</v>
      </c>
      <c r="N11" s="154">
        <f t="shared" si="0"/>
        <v>0</v>
      </c>
      <c r="O11" s="154">
        <f>K11*'Global Inputs'!$B$8+'Global Inputs'!$B$9</f>
        <v>0</v>
      </c>
      <c r="P11" s="153">
        <f>SUM('Global Inputs'!$B$10:$B$14)</f>
        <v>56.5</v>
      </c>
      <c r="Q11" s="154">
        <f t="shared" si="1"/>
        <v>109.511</v>
      </c>
      <c r="R11" s="154">
        <f t="shared" si="2"/>
        <v>1174.0483220338986</v>
      </c>
      <c r="S11" s="142">
        <f t="shared" si="3"/>
        <v>0.91468177736696166</v>
      </c>
      <c r="T11" s="153">
        <f>IF(H11="",'Global Inputs'!$B$15,H11)</f>
        <v>500</v>
      </c>
      <c r="U11" s="153">
        <f>IF(I11="",'Global Inputs'!$B$16,I11)</f>
        <v>149</v>
      </c>
      <c r="V11" s="154">
        <f t="shared" si="4"/>
        <v>649</v>
      </c>
      <c r="W11" s="154">
        <f>V11*'Global Inputs'!$B$8</f>
        <v>0</v>
      </c>
      <c r="X11" s="153">
        <f>'Global Inputs'!$B$18</f>
        <v>10</v>
      </c>
      <c r="Y11" s="154">
        <f>U11/(1+'Global Inputs'!$B$17)-W11-X11</f>
        <v>139</v>
      </c>
      <c r="Z11" s="154">
        <f t="shared" si="5"/>
        <v>2163.6000000000004</v>
      </c>
      <c r="AA11" s="154">
        <f t="shared" si="6"/>
        <v>619.51099999999997</v>
      </c>
      <c r="AB11" s="154">
        <f t="shared" si="7"/>
        <v>1313.0483220338986</v>
      </c>
      <c r="AC11" s="12">
        <f t="shared" si="8"/>
        <v>139</v>
      </c>
      <c r="AD11" s="142">
        <v>0.91657518249902392</v>
      </c>
      <c r="AE11" s="154">
        <f t="shared" si="9"/>
        <v>293.51208050847464</v>
      </c>
      <c r="AF11" s="154">
        <f t="shared" si="10"/>
        <v>328.26208050847464</v>
      </c>
      <c r="AG11" s="152">
        <f>L11*'NC Credits'!$B$15</f>
        <v>53.011000000000003</v>
      </c>
      <c r="AH11" s="154" t="str">
        <f t="shared" si="11"/>
        <v>AUTO</v>
      </c>
      <c r="AI11" s="152">
        <f t="shared" si="12"/>
        <v>0</v>
      </c>
      <c r="AJ11" s="152">
        <f>'Global Inputs'!$B$33</f>
        <v>103.55029585798816</v>
      </c>
      <c r="AK11" s="152">
        <f t="shared" si="13"/>
        <v>414.20118343195264</v>
      </c>
      <c r="AL11" s="152">
        <f t="shared" si="14"/>
        <v>759.84713860194597</v>
      </c>
      <c r="AM11" s="143">
        <f t="shared" si="15"/>
        <v>0.59198443387712674</v>
      </c>
      <c r="AN11" s="152">
        <f t="shared" si="16"/>
        <v>898.84713860194597</v>
      </c>
      <c r="AO11" s="143">
        <f>IF((L11+U11/(1+'Global Inputs'!$B$17))=0,0,AN11/(L11+U11/(1+'Global Inputs'!$B$17)))</f>
        <v>0.62744147818311191</v>
      </c>
      <c r="AP11" s="152">
        <f t="shared" si="17"/>
        <v>189.96178465048649</v>
      </c>
      <c r="AQ11" s="144">
        <v>3</v>
      </c>
      <c r="AR11" s="145" t="s">
        <v>689</v>
      </c>
    </row>
    <row r="12" spans="1:44" ht="39" customHeight="1">
      <c r="A12" s="1" t="s">
        <v>67</v>
      </c>
      <c r="B12" s="1" t="s">
        <v>65</v>
      </c>
      <c r="C12" s="8">
        <v>12</v>
      </c>
      <c r="D12" s="141">
        <v>0.85</v>
      </c>
      <c r="E12" s="9">
        <v>299</v>
      </c>
      <c r="F12" s="10">
        <v>1</v>
      </c>
      <c r="G12" s="9"/>
      <c r="H12" s="9"/>
      <c r="I12" s="9"/>
      <c r="J12" s="11">
        <f>'MVP1 Pricing &amp; SKU'!$B$7*D12</f>
        <v>254.15</v>
      </c>
      <c r="K12" s="153">
        <v>3547.7999999999997</v>
      </c>
      <c r="L12" s="154">
        <f>K12/(1+'Global Inputs'!$B$7)</f>
        <v>3006.6101694915255</v>
      </c>
      <c r="M12" s="153">
        <f>IF(G12="",'Global Inputs'!$B$6,G12)</f>
        <v>0</v>
      </c>
      <c r="N12" s="154">
        <f t="shared" si="0"/>
        <v>0</v>
      </c>
      <c r="O12" s="154">
        <f>K12*'Global Inputs'!$B$8+'Global Inputs'!$B$9</f>
        <v>0</v>
      </c>
      <c r="P12" s="153">
        <f>SUM('Global Inputs'!$B$10:$B$14)</f>
        <v>56.5</v>
      </c>
      <c r="Q12" s="154">
        <f t="shared" si="1"/>
        <v>180.673</v>
      </c>
      <c r="R12" s="154">
        <f t="shared" si="2"/>
        <v>2825.9371694915253</v>
      </c>
      <c r="S12" s="142">
        <f t="shared" si="3"/>
        <v>0.93990807260837694</v>
      </c>
      <c r="T12" s="153">
        <f>IF(H12="",'Global Inputs'!$B$15,H12)</f>
        <v>500</v>
      </c>
      <c r="U12" s="153">
        <f>IF(I12="",'Global Inputs'!$B$16,I12)</f>
        <v>149</v>
      </c>
      <c r="V12" s="154">
        <f t="shared" si="4"/>
        <v>649</v>
      </c>
      <c r="W12" s="154">
        <f>V12*'Global Inputs'!$B$8</f>
        <v>0</v>
      </c>
      <c r="X12" s="153">
        <f>'Global Inputs'!$B$18</f>
        <v>10</v>
      </c>
      <c r="Y12" s="154">
        <f>U12/(1+'Global Inputs'!$B$17)-W12-X12</f>
        <v>139</v>
      </c>
      <c r="Z12" s="154">
        <f t="shared" si="5"/>
        <v>4196.7999999999993</v>
      </c>
      <c r="AA12" s="154">
        <f t="shared" si="6"/>
        <v>690.673</v>
      </c>
      <c r="AB12" s="154">
        <f t="shared" si="7"/>
        <v>2964.9371694915253</v>
      </c>
      <c r="AC12" s="12">
        <f t="shared" si="8"/>
        <v>139</v>
      </c>
      <c r="AD12" s="142">
        <v>0.93957650351002509</v>
      </c>
      <c r="AE12" s="154">
        <f t="shared" si="9"/>
        <v>235.49476412429377</v>
      </c>
      <c r="AF12" s="154">
        <f t="shared" si="10"/>
        <v>247.07809745762711</v>
      </c>
      <c r="AG12" s="152">
        <f>L12*'NC Credits'!$B$15</f>
        <v>124.17299999999999</v>
      </c>
      <c r="AH12" s="154" t="str">
        <f t="shared" si="11"/>
        <v>MANUAL</v>
      </c>
      <c r="AI12" s="152">
        <f t="shared" si="12"/>
        <v>0</v>
      </c>
      <c r="AJ12" s="152">
        <f>'Global Inputs'!$B$33</f>
        <v>103.55029585798816</v>
      </c>
      <c r="AK12" s="152">
        <f t="shared" si="13"/>
        <v>1242.603550295858</v>
      </c>
      <c r="AL12" s="152">
        <f t="shared" si="14"/>
        <v>1583.3336191956673</v>
      </c>
      <c r="AM12" s="143">
        <f t="shared" si="15"/>
        <v>0.52661752935647088</v>
      </c>
      <c r="AN12" s="152">
        <f t="shared" si="16"/>
        <v>1722.3336191956673</v>
      </c>
      <c r="AO12" s="143">
        <f>IF((L12+U12/(1+'Global Inputs'!$B$17))=0,0,AN12/(L12+U12/(1+'Global Inputs'!$B$17)))</f>
        <v>0.54580050344849562</v>
      </c>
      <c r="AP12" s="152">
        <f t="shared" si="17"/>
        <v>131.94446826630562</v>
      </c>
      <c r="AQ12" s="144">
        <v>2</v>
      </c>
      <c r="AR12" s="145" t="s">
        <v>690</v>
      </c>
    </row>
    <row r="13" spans="1:44" ht="39" customHeight="1">
      <c r="A13" s="1" t="s">
        <v>68</v>
      </c>
      <c r="B13" s="1" t="s">
        <v>65</v>
      </c>
      <c r="C13" s="8">
        <v>12</v>
      </c>
      <c r="D13" s="141">
        <v>0.85</v>
      </c>
      <c r="E13" s="9">
        <v>299</v>
      </c>
      <c r="F13" s="10">
        <v>1</v>
      </c>
      <c r="G13" s="9"/>
      <c r="H13" s="9"/>
      <c r="I13" s="9"/>
      <c r="J13" s="11">
        <f>'MVP1 Pricing &amp; SKU'!$B$7*D13</f>
        <v>254.15</v>
      </c>
      <c r="K13" s="153">
        <v>3547.7999999999997</v>
      </c>
      <c r="L13" s="154">
        <f>K13/(1+'Global Inputs'!$B$7)</f>
        <v>3006.6101694915255</v>
      </c>
      <c r="M13" s="153">
        <f>IF(G13="",'Global Inputs'!$B$6,G13)</f>
        <v>0</v>
      </c>
      <c r="N13" s="154">
        <f t="shared" si="0"/>
        <v>0</v>
      </c>
      <c r="O13" s="154">
        <f>K13*'Global Inputs'!$B$8+'Global Inputs'!$B$9</f>
        <v>0</v>
      </c>
      <c r="P13" s="153">
        <f>SUM('Global Inputs'!$B$10:$B$14)</f>
        <v>56.5</v>
      </c>
      <c r="Q13" s="154">
        <f t="shared" si="1"/>
        <v>180.673</v>
      </c>
      <c r="R13" s="154">
        <f t="shared" si="2"/>
        <v>2825.9371694915253</v>
      </c>
      <c r="S13" s="142">
        <f t="shared" si="3"/>
        <v>0.93990807260837694</v>
      </c>
      <c r="T13" s="153">
        <f>IF(H13="",'Global Inputs'!$B$15,H13)</f>
        <v>500</v>
      </c>
      <c r="U13" s="153">
        <f>IF(I13="",'Global Inputs'!$B$16,I13)</f>
        <v>149</v>
      </c>
      <c r="V13" s="154">
        <f t="shared" si="4"/>
        <v>649</v>
      </c>
      <c r="W13" s="154">
        <f>V13*'Global Inputs'!$B$8</f>
        <v>0</v>
      </c>
      <c r="X13" s="153">
        <f>'Global Inputs'!$B$18</f>
        <v>10</v>
      </c>
      <c r="Y13" s="154">
        <f>U13/(1+'Global Inputs'!$B$17)-W13-X13</f>
        <v>139</v>
      </c>
      <c r="Z13" s="154">
        <f t="shared" si="5"/>
        <v>4196.7999999999993</v>
      </c>
      <c r="AA13" s="154">
        <f t="shared" si="6"/>
        <v>690.673</v>
      </c>
      <c r="AB13" s="154">
        <f t="shared" si="7"/>
        <v>2964.9371694915253</v>
      </c>
      <c r="AC13" s="12">
        <f t="shared" si="8"/>
        <v>139</v>
      </c>
      <c r="AD13" s="142">
        <v>0.93957650351002509</v>
      </c>
      <c r="AE13" s="154">
        <f t="shared" si="9"/>
        <v>235.49476412429377</v>
      </c>
      <c r="AF13" s="154">
        <f t="shared" si="10"/>
        <v>247.07809745762711</v>
      </c>
      <c r="AG13" s="152">
        <f>L13*'NC Credits'!$B$15</f>
        <v>124.17299999999999</v>
      </c>
      <c r="AH13" s="154" t="str">
        <f t="shared" si="11"/>
        <v>MANUAL</v>
      </c>
      <c r="AI13" s="152">
        <f t="shared" si="12"/>
        <v>0</v>
      </c>
      <c r="AJ13" s="152">
        <f>'Global Inputs'!$B$33</f>
        <v>103.55029585798816</v>
      </c>
      <c r="AK13" s="152">
        <f t="shared" si="13"/>
        <v>1242.603550295858</v>
      </c>
      <c r="AL13" s="152">
        <f t="shared" si="14"/>
        <v>1583.3336191956673</v>
      </c>
      <c r="AM13" s="143">
        <f t="shared" si="15"/>
        <v>0.52661752935647088</v>
      </c>
      <c r="AN13" s="152">
        <f t="shared" si="16"/>
        <v>1722.3336191956673</v>
      </c>
      <c r="AO13" s="143">
        <f>IF((L13+U13/(1+'Global Inputs'!$B$17))=0,0,AN13/(L13+U13/(1+'Global Inputs'!$B$17)))</f>
        <v>0.54580050344849562</v>
      </c>
      <c r="AP13" s="152">
        <f t="shared" si="17"/>
        <v>131.94446826630562</v>
      </c>
      <c r="AQ13" s="144">
        <v>2</v>
      </c>
      <c r="AR13" s="145" t="s">
        <v>691</v>
      </c>
    </row>
    <row r="14" spans="1:44" ht="39" customHeight="1">
      <c r="A14" s="1" t="s">
        <v>69</v>
      </c>
      <c r="B14" s="1" t="s">
        <v>70</v>
      </c>
      <c r="C14" s="8">
        <v>6</v>
      </c>
      <c r="D14" s="141">
        <v>1.2</v>
      </c>
      <c r="E14" s="9">
        <v>0</v>
      </c>
      <c r="F14" s="10">
        <v>1</v>
      </c>
      <c r="G14" s="9"/>
      <c r="H14" s="9"/>
      <c r="I14" s="9"/>
      <c r="J14" s="11">
        <f>'MVP1 Pricing &amp; SKU'!$B$7*D14</f>
        <v>358.8</v>
      </c>
      <c r="K14" s="153">
        <v>2351.7999999999997</v>
      </c>
      <c r="L14" s="154">
        <f>K14/(1+'Global Inputs'!$B$7)</f>
        <v>1993.050847457627</v>
      </c>
      <c r="M14" s="153">
        <f>IF(G14="",'Global Inputs'!$B$6,G14)</f>
        <v>0</v>
      </c>
      <c r="N14" s="154">
        <f t="shared" si="0"/>
        <v>0</v>
      </c>
      <c r="O14" s="154">
        <f>K14*'Global Inputs'!$B$8+'Global Inputs'!$B$9</f>
        <v>0</v>
      </c>
      <c r="P14" s="153">
        <f>SUM('Global Inputs'!$B$10:$B$14)</f>
        <v>56.5</v>
      </c>
      <c r="Q14" s="154">
        <f t="shared" si="1"/>
        <v>138.81299999999999</v>
      </c>
      <c r="R14" s="154">
        <f t="shared" si="2"/>
        <v>1854.2378474576271</v>
      </c>
      <c r="S14" s="142">
        <f t="shared" si="3"/>
        <v>0.93035150097797437</v>
      </c>
      <c r="T14" s="153">
        <f>IF(H14="",'Global Inputs'!$B$15,H14)</f>
        <v>500</v>
      </c>
      <c r="U14" s="153">
        <f>IF(I14="",'Global Inputs'!$B$16,I14)</f>
        <v>149</v>
      </c>
      <c r="V14" s="154">
        <f t="shared" si="4"/>
        <v>649</v>
      </c>
      <c r="W14" s="154">
        <f>V14*'Global Inputs'!$B$8</f>
        <v>0</v>
      </c>
      <c r="X14" s="153">
        <f>'Global Inputs'!$B$18</f>
        <v>10</v>
      </c>
      <c r="Y14" s="154">
        <f>U14/(1+'Global Inputs'!$B$17)-W14-X14</f>
        <v>139</v>
      </c>
      <c r="Z14" s="154">
        <f t="shared" si="5"/>
        <v>3000.7999999999997</v>
      </c>
      <c r="AA14" s="154">
        <f t="shared" si="6"/>
        <v>648.81299999999999</v>
      </c>
      <c r="AB14" s="154">
        <f t="shared" si="7"/>
        <v>1993.2378474576271</v>
      </c>
      <c r="AC14" s="12">
        <f t="shared" si="8"/>
        <v>139</v>
      </c>
      <c r="AD14" s="142">
        <v>0.93052779294355947</v>
      </c>
      <c r="AE14" s="154">
        <f t="shared" si="9"/>
        <v>309.03964124293788</v>
      </c>
      <c r="AF14" s="154">
        <f t="shared" si="10"/>
        <v>332.2063079096045</v>
      </c>
      <c r="AG14" s="152">
        <f>L14*'NC Credits'!$B$15</f>
        <v>82.312999999999988</v>
      </c>
      <c r="AH14" s="154" t="str">
        <f t="shared" si="11"/>
        <v>AUTO</v>
      </c>
      <c r="AI14" s="152">
        <f t="shared" si="12"/>
        <v>0</v>
      </c>
      <c r="AJ14" s="152">
        <f>'Global Inputs'!$B$33</f>
        <v>103.55029585798816</v>
      </c>
      <c r="AK14" s="152">
        <f t="shared" si="13"/>
        <v>621.30177514792899</v>
      </c>
      <c r="AL14" s="152">
        <f t="shared" si="14"/>
        <v>1232.9360723096981</v>
      </c>
      <c r="AM14" s="143">
        <f t="shared" si="15"/>
        <v>0.61861746973613563</v>
      </c>
      <c r="AN14" s="152">
        <f t="shared" si="16"/>
        <v>1371.9360723096981</v>
      </c>
      <c r="AO14" s="143">
        <f>IF((L14+U14/(1+'Global Inputs'!$B$17))=0,0,AN14/(L14+U14/(1+'Global Inputs'!$B$17)))</f>
        <v>0.64047782709641632</v>
      </c>
      <c r="AP14" s="152">
        <f t="shared" si="17"/>
        <v>205.4893453849497</v>
      </c>
      <c r="AQ14" s="144">
        <v>3</v>
      </c>
      <c r="AR14" s="145" t="s">
        <v>692</v>
      </c>
    </row>
    <row r="15" spans="1:44" ht="39" customHeight="1">
      <c r="A15" s="1" t="s">
        <v>71</v>
      </c>
      <c r="B15" s="1" t="s">
        <v>70</v>
      </c>
      <c r="C15" s="8">
        <v>4</v>
      </c>
      <c r="D15" s="141">
        <v>1.1000000000000001</v>
      </c>
      <c r="E15" s="9">
        <v>0</v>
      </c>
      <c r="F15" s="10">
        <v>1</v>
      </c>
      <c r="G15" s="9"/>
      <c r="H15" s="9"/>
      <c r="I15" s="9"/>
      <c r="J15" s="11">
        <f>'MVP1 Pricing &amp; SKU'!$B$7*D15</f>
        <v>328.90000000000003</v>
      </c>
      <c r="K15" s="153">
        <v>1514.6000000000001</v>
      </c>
      <c r="L15" s="154">
        <f>K15/(1+'Global Inputs'!$B$7)</f>
        <v>1283.5593220338985</v>
      </c>
      <c r="M15" s="153">
        <f>IF(G15="",'Global Inputs'!$B$6,G15)</f>
        <v>0</v>
      </c>
      <c r="N15" s="154">
        <f t="shared" si="0"/>
        <v>0</v>
      </c>
      <c r="O15" s="154">
        <f>K15*'Global Inputs'!$B$8+'Global Inputs'!$B$9</f>
        <v>0</v>
      </c>
      <c r="P15" s="153">
        <f>SUM('Global Inputs'!$B$10:$B$14)</f>
        <v>56.5</v>
      </c>
      <c r="Q15" s="154">
        <f t="shared" si="1"/>
        <v>109.511</v>
      </c>
      <c r="R15" s="154">
        <f t="shared" si="2"/>
        <v>1174.0483220338986</v>
      </c>
      <c r="S15" s="142">
        <f t="shared" si="3"/>
        <v>0.91468177736696166</v>
      </c>
      <c r="T15" s="153">
        <f>IF(H15="",'Global Inputs'!$B$15,H15)</f>
        <v>500</v>
      </c>
      <c r="U15" s="153">
        <f>IF(I15="",'Global Inputs'!$B$16,I15)</f>
        <v>149</v>
      </c>
      <c r="V15" s="154">
        <f t="shared" si="4"/>
        <v>649</v>
      </c>
      <c r="W15" s="154">
        <f>V15*'Global Inputs'!$B$8</f>
        <v>0</v>
      </c>
      <c r="X15" s="153">
        <f>'Global Inputs'!$B$18</f>
        <v>10</v>
      </c>
      <c r="Y15" s="154">
        <f>U15/(1+'Global Inputs'!$B$17)-W15-X15</f>
        <v>139</v>
      </c>
      <c r="Z15" s="154">
        <f t="shared" si="5"/>
        <v>2163.6000000000004</v>
      </c>
      <c r="AA15" s="154">
        <f t="shared" si="6"/>
        <v>619.51099999999997</v>
      </c>
      <c r="AB15" s="154">
        <f t="shared" si="7"/>
        <v>1313.0483220338986</v>
      </c>
      <c r="AC15" s="12">
        <f t="shared" si="8"/>
        <v>139</v>
      </c>
      <c r="AD15" s="142">
        <v>0.91657518249902392</v>
      </c>
      <c r="AE15" s="154">
        <f t="shared" si="9"/>
        <v>293.51208050847464</v>
      </c>
      <c r="AF15" s="154">
        <f t="shared" si="10"/>
        <v>328.26208050847464</v>
      </c>
      <c r="AG15" s="152">
        <f>L15*'NC Credits'!$B$15</f>
        <v>53.011000000000003</v>
      </c>
      <c r="AH15" s="154" t="str">
        <f t="shared" si="11"/>
        <v>AUTO</v>
      </c>
      <c r="AI15" s="152">
        <f t="shared" si="12"/>
        <v>0</v>
      </c>
      <c r="AJ15" s="152">
        <f>'Global Inputs'!$B$33</f>
        <v>103.55029585798816</v>
      </c>
      <c r="AK15" s="152">
        <f t="shared" si="13"/>
        <v>414.20118343195264</v>
      </c>
      <c r="AL15" s="152">
        <f t="shared" si="14"/>
        <v>759.84713860194597</v>
      </c>
      <c r="AM15" s="143">
        <f t="shared" si="15"/>
        <v>0.59198443387712674</v>
      </c>
      <c r="AN15" s="152">
        <f t="shared" si="16"/>
        <v>898.84713860194597</v>
      </c>
      <c r="AO15" s="143">
        <f>IF((L15+U15/(1+'Global Inputs'!$B$17))=0,0,AN15/(L15+U15/(1+'Global Inputs'!$B$17)))</f>
        <v>0.62744147818311191</v>
      </c>
      <c r="AP15" s="152">
        <f t="shared" si="17"/>
        <v>189.96178465048649</v>
      </c>
      <c r="AQ15" s="144">
        <v>2</v>
      </c>
      <c r="AR15" s="145" t="s">
        <v>693</v>
      </c>
    </row>
    <row r="16" spans="1:44" ht="39" customHeight="1">
      <c r="A16" s="1" t="s">
        <v>72</v>
      </c>
      <c r="B16" s="1" t="s">
        <v>70</v>
      </c>
      <c r="C16" s="8">
        <v>3</v>
      </c>
      <c r="D16" s="141">
        <v>1</v>
      </c>
      <c r="E16" s="9">
        <v>0</v>
      </c>
      <c r="F16" s="10">
        <v>1</v>
      </c>
      <c r="G16" s="9"/>
      <c r="H16" s="9"/>
      <c r="I16" s="9"/>
      <c r="J16" s="11">
        <f>'MVP1 Pricing &amp; SKU'!$B$7*D16</f>
        <v>299</v>
      </c>
      <c r="K16" s="153">
        <v>1096</v>
      </c>
      <c r="L16" s="154">
        <f>K16/(1+'Global Inputs'!$B$7)</f>
        <v>928.81355932203394</v>
      </c>
      <c r="M16" s="153">
        <f>IF(G16="",'Global Inputs'!$B$6,G16)</f>
        <v>0</v>
      </c>
      <c r="N16" s="154">
        <f t="shared" si="0"/>
        <v>0</v>
      </c>
      <c r="O16" s="154">
        <f>K16*'Global Inputs'!$B$8+'Global Inputs'!$B$9</f>
        <v>0</v>
      </c>
      <c r="P16" s="153">
        <f>SUM('Global Inputs'!$B$10:$B$14)</f>
        <v>56.5</v>
      </c>
      <c r="Q16" s="154">
        <f t="shared" si="1"/>
        <v>94.86</v>
      </c>
      <c r="R16" s="154">
        <f t="shared" si="2"/>
        <v>833.95355932203393</v>
      </c>
      <c r="S16" s="142">
        <f t="shared" si="3"/>
        <v>0.89786970802919708</v>
      </c>
      <c r="T16" s="153">
        <f>IF(H16="",'Global Inputs'!$B$15,H16)</f>
        <v>500</v>
      </c>
      <c r="U16" s="153">
        <f>IF(I16="",'Global Inputs'!$B$16,I16)</f>
        <v>149</v>
      </c>
      <c r="V16" s="154">
        <f t="shared" si="4"/>
        <v>649</v>
      </c>
      <c r="W16" s="154">
        <f>V16*'Global Inputs'!$B$8</f>
        <v>0</v>
      </c>
      <c r="X16" s="153">
        <f>'Global Inputs'!$B$18</f>
        <v>10</v>
      </c>
      <c r="Y16" s="154">
        <f>U16/(1+'Global Inputs'!$B$17)-W16-X16</f>
        <v>139</v>
      </c>
      <c r="Z16" s="154">
        <f t="shared" si="5"/>
        <v>1745</v>
      </c>
      <c r="AA16" s="154">
        <f t="shared" si="6"/>
        <v>604.86</v>
      </c>
      <c r="AB16" s="154">
        <f t="shared" si="7"/>
        <v>972.95355932203393</v>
      </c>
      <c r="AC16" s="12">
        <f t="shared" si="8"/>
        <v>139</v>
      </c>
      <c r="AD16" s="142">
        <v>0.90271044644682408</v>
      </c>
      <c r="AE16" s="154">
        <f t="shared" si="9"/>
        <v>277.98451977401129</v>
      </c>
      <c r="AF16" s="154">
        <f t="shared" si="10"/>
        <v>324.31785310734466</v>
      </c>
      <c r="AG16" s="152">
        <f>L16*'NC Credits'!$B$15</f>
        <v>38.36</v>
      </c>
      <c r="AH16" s="154" t="str">
        <f t="shared" si="11"/>
        <v>AUTO</v>
      </c>
      <c r="AI16" s="152">
        <f t="shared" si="12"/>
        <v>0</v>
      </c>
      <c r="AJ16" s="152">
        <f>'Global Inputs'!$B$33</f>
        <v>103.55029585798816</v>
      </c>
      <c r="AK16" s="152">
        <f t="shared" si="13"/>
        <v>310.6508875739645</v>
      </c>
      <c r="AL16" s="152">
        <f t="shared" si="14"/>
        <v>523.30267174806943</v>
      </c>
      <c r="AM16" s="143">
        <f t="shared" si="15"/>
        <v>0.56340981082365138</v>
      </c>
      <c r="AN16" s="152">
        <f t="shared" si="16"/>
        <v>662.30267174806943</v>
      </c>
      <c r="AO16" s="143">
        <f>IF((L16+U16/(1+'Global Inputs'!$B$17))=0,0,AN16/(L16+U16/(1+'Global Inputs'!$B$17)))</f>
        <v>0.6144872329910851</v>
      </c>
      <c r="AP16" s="152">
        <f t="shared" si="17"/>
        <v>174.43422391602314</v>
      </c>
      <c r="AQ16" s="144">
        <v>3</v>
      </c>
      <c r="AR16" s="145" t="s">
        <v>694</v>
      </c>
    </row>
    <row r="17" spans="1:44" ht="39" customHeight="1">
      <c r="A17" s="1" t="s">
        <v>73</v>
      </c>
      <c r="B17" s="1" t="s">
        <v>74</v>
      </c>
      <c r="C17" s="8">
        <v>5</v>
      </c>
      <c r="D17" s="141">
        <v>0.9</v>
      </c>
      <c r="E17" s="9">
        <v>0</v>
      </c>
      <c r="F17" s="10">
        <v>1</v>
      </c>
      <c r="G17" s="9"/>
      <c r="H17" s="9"/>
      <c r="I17" s="9"/>
      <c r="J17" s="11">
        <f>'MVP1 Pricing &amp; SKU'!$B$7*D17</f>
        <v>269.10000000000002</v>
      </c>
      <c r="K17" s="153">
        <v>1544.5</v>
      </c>
      <c r="L17" s="154">
        <f>K17/(1+'Global Inputs'!$B$7)</f>
        <v>1308.8983050847457</v>
      </c>
      <c r="M17" s="153">
        <f>IF(G17="",'Global Inputs'!$B$6,G17)</f>
        <v>0</v>
      </c>
      <c r="N17" s="154">
        <f t="shared" si="0"/>
        <v>0</v>
      </c>
      <c r="O17" s="154">
        <f>K17*'Global Inputs'!$B$8+'Global Inputs'!$B$9</f>
        <v>0</v>
      </c>
      <c r="P17" s="153">
        <f>SUM('Global Inputs'!$B$10:$B$14)</f>
        <v>56.5</v>
      </c>
      <c r="Q17" s="154">
        <f t="shared" si="1"/>
        <v>110.5575</v>
      </c>
      <c r="R17" s="154">
        <f t="shared" si="2"/>
        <v>1198.3408050847456</v>
      </c>
      <c r="S17" s="142">
        <f t="shared" si="3"/>
        <v>0.91553392683716406</v>
      </c>
      <c r="T17" s="153">
        <f>IF(H17="",'Global Inputs'!$B$15,H17)</f>
        <v>500</v>
      </c>
      <c r="U17" s="153">
        <f>IF(I17="",'Global Inputs'!$B$16,I17)</f>
        <v>149</v>
      </c>
      <c r="V17" s="154">
        <f t="shared" si="4"/>
        <v>649</v>
      </c>
      <c r="W17" s="154">
        <f>V17*'Global Inputs'!$B$8</f>
        <v>0</v>
      </c>
      <c r="X17" s="153">
        <f>'Global Inputs'!$B$18</f>
        <v>10</v>
      </c>
      <c r="Y17" s="154">
        <f>U17/(1+'Global Inputs'!$B$17)-W17-X17</f>
        <v>139</v>
      </c>
      <c r="Z17" s="154">
        <f t="shared" si="5"/>
        <v>2193.5</v>
      </c>
      <c r="AA17" s="154">
        <f t="shared" si="6"/>
        <v>620.5575</v>
      </c>
      <c r="AB17" s="154">
        <f t="shared" si="7"/>
        <v>1337.3408050847456</v>
      </c>
      <c r="AC17" s="12">
        <f t="shared" si="8"/>
        <v>139</v>
      </c>
      <c r="AD17" s="142">
        <v>0.91730733235677075</v>
      </c>
      <c r="AE17" s="154">
        <f t="shared" si="9"/>
        <v>239.66816101694911</v>
      </c>
      <c r="AF17" s="154">
        <f t="shared" si="10"/>
        <v>267.46816101694913</v>
      </c>
      <c r="AG17" s="152">
        <f>L17*'NC Credits'!$B$15</f>
        <v>54.057499999999997</v>
      </c>
      <c r="AH17" s="154" t="str">
        <f t="shared" si="11"/>
        <v>AUTO</v>
      </c>
      <c r="AI17" s="152">
        <f t="shared" si="12"/>
        <v>0</v>
      </c>
      <c r="AJ17" s="152">
        <f>'Global Inputs'!$B$33</f>
        <v>103.55029585798816</v>
      </c>
      <c r="AK17" s="152">
        <f t="shared" si="13"/>
        <v>517.75147928994079</v>
      </c>
      <c r="AL17" s="152">
        <f t="shared" si="14"/>
        <v>680.58932579480484</v>
      </c>
      <c r="AM17" s="143">
        <f t="shared" si="15"/>
        <v>0.51997112621422448</v>
      </c>
      <c r="AN17" s="152">
        <f t="shared" si="16"/>
        <v>819.58932579480484</v>
      </c>
      <c r="AO17" s="143">
        <f>IF((L17+U17/(1+'Global Inputs'!$B$17))=0,0,AN17/(L17+U17/(1+'Global Inputs'!$B$17)))</f>
        <v>0.56217180782521259</v>
      </c>
      <c r="AP17" s="152">
        <f t="shared" si="17"/>
        <v>136.11786515896097</v>
      </c>
      <c r="AQ17" s="144">
        <v>5</v>
      </c>
      <c r="AR17" s="145" t="s">
        <v>695</v>
      </c>
    </row>
    <row r="18" spans="1:44" ht="39" customHeight="1">
      <c r="A18" s="1" t="s">
        <v>75</v>
      </c>
      <c r="B18" s="1" t="s">
        <v>74</v>
      </c>
      <c r="C18" s="8">
        <v>6</v>
      </c>
      <c r="D18" s="141">
        <v>1</v>
      </c>
      <c r="E18" s="9">
        <v>0</v>
      </c>
      <c r="F18" s="10">
        <v>1</v>
      </c>
      <c r="G18" s="9"/>
      <c r="H18" s="9"/>
      <c r="I18" s="9"/>
      <c r="J18" s="11">
        <f>'MVP1 Pricing &amp; SKU'!$B$7*D18</f>
        <v>299</v>
      </c>
      <c r="K18" s="153">
        <v>1993</v>
      </c>
      <c r="L18" s="154">
        <f>K18/(1+'Global Inputs'!$B$7)</f>
        <v>1688.9830508474577</v>
      </c>
      <c r="M18" s="153">
        <f>IF(G18="",'Global Inputs'!$B$6,G18)</f>
        <v>0</v>
      </c>
      <c r="N18" s="154">
        <f t="shared" si="0"/>
        <v>0</v>
      </c>
      <c r="O18" s="154">
        <f>K18*'Global Inputs'!$B$8+'Global Inputs'!$B$9</f>
        <v>0</v>
      </c>
      <c r="P18" s="153">
        <f>SUM('Global Inputs'!$B$10:$B$14)</f>
        <v>56.5</v>
      </c>
      <c r="Q18" s="154">
        <f t="shared" si="1"/>
        <v>126.255</v>
      </c>
      <c r="R18" s="154">
        <f t="shared" si="2"/>
        <v>1562.7280508474578</v>
      </c>
      <c r="S18" s="142">
        <f t="shared" si="3"/>
        <v>0.925247917711992</v>
      </c>
      <c r="T18" s="153">
        <f>IF(H18="",'Global Inputs'!$B$15,H18)</f>
        <v>500</v>
      </c>
      <c r="U18" s="153">
        <f>IF(I18="",'Global Inputs'!$B$16,I18)</f>
        <v>149</v>
      </c>
      <c r="V18" s="154">
        <f t="shared" si="4"/>
        <v>649</v>
      </c>
      <c r="W18" s="154">
        <f>V18*'Global Inputs'!$B$8</f>
        <v>0</v>
      </c>
      <c r="X18" s="153">
        <f>'Global Inputs'!$B$18</f>
        <v>10</v>
      </c>
      <c r="Y18" s="154">
        <f>U18/(1+'Global Inputs'!$B$17)-W18-X18</f>
        <v>139</v>
      </c>
      <c r="Z18" s="154">
        <f t="shared" si="5"/>
        <v>2642</v>
      </c>
      <c r="AA18" s="154">
        <f t="shared" si="6"/>
        <v>636.255</v>
      </c>
      <c r="AB18" s="154">
        <f t="shared" si="7"/>
        <v>1701.7280508474578</v>
      </c>
      <c r="AC18" s="12">
        <f t="shared" si="8"/>
        <v>139</v>
      </c>
      <c r="AD18" s="142">
        <v>0.92586710745935585</v>
      </c>
      <c r="AE18" s="154">
        <f t="shared" si="9"/>
        <v>260.45467514124294</v>
      </c>
      <c r="AF18" s="154">
        <f t="shared" si="10"/>
        <v>283.62134180790963</v>
      </c>
      <c r="AG18" s="152">
        <f>L18*'NC Credits'!$B$15</f>
        <v>69.754999999999995</v>
      </c>
      <c r="AH18" s="154" t="str">
        <f t="shared" si="11"/>
        <v>AUTO</v>
      </c>
      <c r="AI18" s="152">
        <f t="shared" si="12"/>
        <v>0</v>
      </c>
      <c r="AJ18" s="152">
        <f>'Global Inputs'!$B$33</f>
        <v>103.55029585798816</v>
      </c>
      <c r="AK18" s="152">
        <f t="shared" si="13"/>
        <v>621.30177514792899</v>
      </c>
      <c r="AL18" s="152">
        <f t="shared" si="14"/>
        <v>941.42627569952879</v>
      </c>
      <c r="AM18" s="143">
        <f t="shared" si="15"/>
        <v>0.55739237597864721</v>
      </c>
      <c r="AN18" s="152">
        <f t="shared" si="16"/>
        <v>1080.4262756995288</v>
      </c>
      <c r="AO18" s="143">
        <f>IF((L18+U18/(1+'Global Inputs'!$B$17))=0,0,AN18/(L18+U18/(1+'Global Inputs'!$B$17)))</f>
        <v>0.58783255656322053</v>
      </c>
      <c r="AP18" s="152">
        <f t="shared" si="17"/>
        <v>156.9043792832548</v>
      </c>
      <c r="AQ18" s="144">
        <v>5</v>
      </c>
      <c r="AR18" s="145" t="s">
        <v>696</v>
      </c>
    </row>
    <row r="19" spans="1:44" ht="39" customHeight="1">
      <c r="A19" s="1" t="s">
        <v>76</v>
      </c>
      <c r="B19" s="1" t="s">
        <v>74</v>
      </c>
      <c r="C19" s="8">
        <v>3</v>
      </c>
      <c r="D19" s="141">
        <v>0.95</v>
      </c>
      <c r="E19" s="9">
        <v>0</v>
      </c>
      <c r="F19" s="10">
        <v>1</v>
      </c>
      <c r="G19" s="9"/>
      <c r="H19" s="9"/>
      <c r="I19" s="9"/>
      <c r="J19" s="11">
        <f>'MVP1 Pricing &amp; SKU'!$B$7*D19</f>
        <v>284.05</v>
      </c>
      <c r="K19" s="153">
        <v>1051.1500000000001</v>
      </c>
      <c r="L19" s="154">
        <f>K19/(1+'Global Inputs'!$B$7)</f>
        <v>890.80508474576288</v>
      </c>
      <c r="M19" s="153">
        <f>IF(G19="",'Global Inputs'!$B$6,G19)</f>
        <v>0</v>
      </c>
      <c r="N19" s="154">
        <f t="shared" si="0"/>
        <v>0</v>
      </c>
      <c r="O19" s="154">
        <f>K19*'Global Inputs'!$B$8+'Global Inputs'!$B$9</f>
        <v>0</v>
      </c>
      <c r="P19" s="153">
        <f>SUM('Global Inputs'!$B$10:$B$14)</f>
        <v>56.5</v>
      </c>
      <c r="Q19" s="154">
        <f t="shared" si="1"/>
        <v>93.290250000000015</v>
      </c>
      <c r="R19" s="154">
        <f t="shared" si="2"/>
        <v>797.51483474576287</v>
      </c>
      <c r="S19" s="142">
        <f t="shared" si="3"/>
        <v>0.89527422822622837</v>
      </c>
      <c r="T19" s="153">
        <f>IF(H19="",'Global Inputs'!$B$15,H19)</f>
        <v>500</v>
      </c>
      <c r="U19" s="153">
        <f>IF(I19="",'Global Inputs'!$B$16,I19)</f>
        <v>149</v>
      </c>
      <c r="V19" s="154">
        <f t="shared" si="4"/>
        <v>649</v>
      </c>
      <c r="W19" s="154">
        <f>V19*'Global Inputs'!$B$8</f>
        <v>0</v>
      </c>
      <c r="X19" s="153">
        <f>'Global Inputs'!$B$18</f>
        <v>10</v>
      </c>
      <c r="Y19" s="154">
        <f>U19/(1+'Global Inputs'!$B$17)-W19-X19</f>
        <v>139</v>
      </c>
      <c r="Z19" s="154">
        <f t="shared" si="5"/>
        <v>1700.15</v>
      </c>
      <c r="AA19" s="154">
        <f t="shared" si="6"/>
        <v>603.29025000000001</v>
      </c>
      <c r="AB19" s="154">
        <f t="shared" si="7"/>
        <v>936.51483474576287</v>
      </c>
      <c r="AC19" s="12">
        <f t="shared" si="8"/>
        <v>139</v>
      </c>
      <c r="AD19" s="142">
        <v>0.90066383448658072</v>
      </c>
      <c r="AE19" s="154">
        <f t="shared" si="9"/>
        <v>265.83827824858764</v>
      </c>
      <c r="AF19" s="154">
        <f t="shared" si="10"/>
        <v>312.17161158192096</v>
      </c>
      <c r="AG19" s="152">
        <f>L19*'NC Credits'!$B$15</f>
        <v>36.790250000000007</v>
      </c>
      <c r="AH19" s="154" t="str">
        <f t="shared" si="11"/>
        <v>AUTO</v>
      </c>
      <c r="AI19" s="152">
        <f t="shared" si="12"/>
        <v>0</v>
      </c>
      <c r="AJ19" s="152">
        <f>'Global Inputs'!$B$33</f>
        <v>103.55029585798816</v>
      </c>
      <c r="AK19" s="152">
        <f t="shared" si="13"/>
        <v>310.6508875739645</v>
      </c>
      <c r="AL19" s="152">
        <f t="shared" si="14"/>
        <v>486.86394717179837</v>
      </c>
      <c r="AM19" s="143">
        <f t="shared" si="15"/>
        <v>0.54654374510081527</v>
      </c>
      <c r="AN19" s="152">
        <f t="shared" si="16"/>
        <v>625.86394717179837</v>
      </c>
      <c r="AO19" s="143">
        <f>IF((L19+U19/(1+'Global Inputs'!$B$17))=0,0,AN19/(L19+U19/(1+'Global Inputs'!$B$17)))</f>
        <v>0.6019050650486335</v>
      </c>
      <c r="AP19" s="152">
        <f t="shared" si="17"/>
        <v>162.28798239059947</v>
      </c>
      <c r="AQ19" s="144">
        <v>5</v>
      </c>
      <c r="AR19" s="145" t="s">
        <v>697</v>
      </c>
    </row>
    <row r="20" spans="1:44" ht="39" customHeight="1">
      <c r="A20" s="1" t="s">
        <v>77</v>
      </c>
      <c r="B20" s="1" t="s">
        <v>74</v>
      </c>
      <c r="C20" s="8">
        <v>2</v>
      </c>
      <c r="D20" s="141">
        <v>0.85</v>
      </c>
      <c r="E20" s="9">
        <v>0</v>
      </c>
      <c r="F20" s="10">
        <v>1</v>
      </c>
      <c r="G20" s="9"/>
      <c r="H20" s="9"/>
      <c r="I20" s="9"/>
      <c r="J20" s="11">
        <f>'MVP1 Pricing &amp; SKU'!$B$7*D20</f>
        <v>254.15</v>
      </c>
      <c r="K20" s="153">
        <v>707.3</v>
      </c>
      <c r="L20" s="154">
        <f>K20/(1+'Global Inputs'!$B$7)</f>
        <v>599.40677966101691</v>
      </c>
      <c r="M20" s="153">
        <f>IF(G20="",'Global Inputs'!$B$6,G20)</f>
        <v>0</v>
      </c>
      <c r="N20" s="154">
        <f t="shared" si="0"/>
        <v>0</v>
      </c>
      <c r="O20" s="154">
        <f>K20*'Global Inputs'!$B$8+'Global Inputs'!$B$9</f>
        <v>0</v>
      </c>
      <c r="P20" s="153">
        <f>SUM('Global Inputs'!$B$10:$B$14)</f>
        <v>56.5</v>
      </c>
      <c r="Q20" s="154">
        <f t="shared" si="1"/>
        <v>81.255499999999998</v>
      </c>
      <c r="R20" s="154">
        <f t="shared" si="2"/>
        <v>518.15127966101693</v>
      </c>
      <c r="S20" s="142">
        <f t="shared" si="3"/>
        <v>0.86444013855506863</v>
      </c>
      <c r="T20" s="153">
        <f>IF(H20="",'Global Inputs'!$B$15,H20)</f>
        <v>500</v>
      </c>
      <c r="U20" s="153">
        <f>IF(I20="",'Global Inputs'!$B$16,I20)</f>
        <v>149</v>
      </c>
      <c r="V20" s="154">
        <f t="shared" si="4"/>
        <v>649</v>
      </c>
      <c r="W20" s="154">
        <f>V20*'Global Inputs'!$B$8</f>
        <v>0</v>
      </c>
      <c r="X20" s="153">
        <f>'Global Inputs'!$B$18</f>
        <v>10</v>
      </c>
      <c r="Y20" s="154">
        <f>U20/(1+'Global Inputs'!$B$17)-W20-X20</f>
        <v>139</v>
      </c>
      <c r="Z20" s="154">
        <f t="shared" si="5"/>
        <v>1356.3</v>
      </c>
      <c r="AA20" s="154">
        <f t="shared" si="6"/>
        <v>591.25549999999998</v>
      </c>
      <c r="AB20" s="154">
        <f t="shared" si="7"/>
        <v>657.15127966101693</v>
      </c>
      <c r="AC20" s="12">
        <f t="shared" si="8"/>
        <v>139</v>
      </c>
      <c r="AD20" s="142">
        <v>0.87806697844007608</v>
      </c>
      <c r="AE20" s="154">
        <f t="shared" si="9"/>
        <v>259.07563983050846</v>
      </c>
      <c r="AF20" s="154">
        <f t="shared" si="10"/>
        <v>328.57563983050846</v>
      </c>
      <c r="AG20" s="152">
        <f>L20*'NC Credits'!$B$15</f>
        <v>24.755499999999998</v>
      </c>
      <c r="AH20" s="154" t="str">
        <f t="shared" si="11"/>
        <v>AUTO</v>
      </c>
      <c r="AI20" s="152">
        <f t="shared" si="12"/>
        <v>0</v>
      </c>
      <c r="AJ20" s="152">
        <f>'Global Inputs'!$B$33</f>
        <v>103.55029585798816</v>
      </c>
      <c r="AK20" s="152">
        <f t="shared" si="13"/>
        <v>207.10059171597632</v>
      </c>
      <c r="AL20" s="152">
        <f t="shared" si="14"/>
        <v>311.05068794504064</v>
      </c>
      <c r="AM20" s="143">
        <f t="shared" si="15"/>
        <v>0.51893088049646252</v>
      </c>
      <c r="AN20" s="152">
        <f t="shared" si="16"/>
        <v>450.05068794504064</v>
      </c>
      <c r="AO20" s="143">
        <f>IF((L20+U20/(1+'Global Inputs'!$B$17))=0,0,AN20/(L20+U20/(1+'Global Inputs'!$B$17)))</f>
        <v>0.60134501741003255</v>
      </c>
      <c r="AP20" s="152">
        <f t="shared" si="17"/>
        <v>155.52534397252032</v>
      </c>
      <c r="AQ20" s="144">
        <v>5</v>
      </c>
      <c r="AR20" s="145" t="s">
        <v>698</v>
      </c>
    </row>
    <row r="21" spans="1:44" ht="39" customHeight="1">
      <c r="A21" s="1" t="s">
        <v>78</v>
      </c>
      <c r="B21" s="1" t="s">
        <v>79</v>
      </c>
      <c r="C21" s="8">
        <v>3</v>
      </c>
      <c r="D21" s="141">
        <v>0.9</v>
      </c>
      <c r="E21" s="9">
        <v>0</v>
      </c>
      <c r="F21" s="10">
        <v>1</v>
      </c>
      <c r="G21" s="9"/>
      <c r="H21" s="9"/>
      <c r="I21" s="9"/>
      <c r="J21" s="11">
        <f>'MVP1 Pricing &amp; SKU'!$B$7*D21</f>
        <v>269.10000000000002</v>
      </c>
      <c r="K21" s="153">
        <v>1006.3000000000001</v>
      </c>
      <c r="L21" s="154">
        <f>K21/(1+'Global Inputs'!$B$7)</f>
        <v>852.7966101694916</v>
      </c>
      <c r="M21" s="153">
        <f>IF(G21="",'Global Inputs'!$B$6,G21)</f>
        <v>0</v>
      </c>
      <c r="N21" s="154">
        <f t="shared" si="0"/>
        <v>0</v>
      </c>
      <c r="O21" s="154">
        <f>K21*'Global Inputs'!$B$8+'Global Inputs'!$B$9</f>
        <v>0</v>
      </c>
      <c r="P21" s="153">
        <f>SUM('Global Inputs'!$B$10:$B$14)</f>
        <v>56.5</v>
      </c>
      <c r="Q21" s="154">
        <f t="shared" si="1"/>
        <v>91.720500000000001</v>
      </c>
      <c r="R21" s="154">
        <f t="shared" si="2"/>
        <v>761.07611016949159</v>
      </c>
      <c r="S21" s="142">
        <f t="shared" si="3"/>
        <v>0.89244739143396601</v>
      </c>
      <c r="T21" s="153">
        <f>IF(H21="",'Global Inputs'!$B$15,H21)</f>
        <v>500</v>
      </c>
      <c r="U21" s="153">
        <f>IF(I21="",'Global Inputs'!$B$16,I21)</f>
        <v>149</v>
      </c>
      <c r="V21" s="154">
        <f t="shared" si="4"/>
        <v>649</v>
      </c>
      <c r="W21" s="154">
        <f>V21*'Global Inputs'!$B$8</f>
        <v>0</v>
      </c>
      <c r="X21" s="153">
        <f>'Global Inputs'!$B$18</f>
        <v>10</v>
      </c>
      <c r="Y21" s="154">
        <f>U21/(1+'Global Inputs'!$B$17)-W21-X21</f>
        <v>139</v>
      </c>
      <c r="Z21" s="154">
        <f t="shared" si="5"/>
        <v>1655.3000000000002</v>
      </c>
      <c r="AA21" s="154">
        <f t="shared" si="6"/>
        <v>601.72050000000002</v>
      </c>
      <c r="AB21" s="154">
        <f t="shared" si="7"/>
        <v>900.07611016949159</v>
      </c>
      <c r="AC21" s="12">
        <f t="shared" si="8"/>
        <v>139</v>
      </c>
      <c r="AD21" s="142">
        <v>0.89846192433932259</v>
      </c>
      <c r="AE21" s="154">
        <f t="shared" si="9"/>
        <v>253.69203672316385</v>
      </c>
      <c r="AF21" s="154">
        <f t="shared" si="10"/>
        <v>300.0253700564972</v>
      </c>
      <c r="AG21" s="152">
        <f>L21*'NC Credits'!$B$15</f>
        <v>35.220500000000001</v>
      </c>
      <c r="AH21" s="154" t="str">
        <f t="shared" si="11"/>
        <v>AUTO</v>
      </c>
      <c r="AI21" s="152">
        <f t="shared" si="12"/>
        <v>0</v>
      </c>
      <c r="AJ21" s="152">
        <f>'Global Inputs'!$B$33</f>
        <v>103.55029585798816</v>
      </c>
      <c r="AK21" s="152">
        <f t="shared" si="13"/>
        <v>310.6508875739645</v>
      </c>
      <c r="AL21" s="152">
        <f t="shared" si="14"/>
        <v>450.42522259552709</v>
      </c>
      <c r="AM21" s="143">
        <f t="shared" si="15"/>
        <v>0.52817426479451646</v>
      </c>
      <c r="AN21" s="152">
        <f t="shared" si="16"/>
        <v>589.42522259552709</v>
      </c>
      <c r="AO21" s="143">
        <f>IF((L21+U21/(1+'Global Inputs'!$B$17))=0,0,AN21/(L21+U21/(1+'Global Inputs'!$B$17)))</f>
        <v>0.58836815438595225</v>
      </c>
      <c r="AP21" s="152">
        <f t="shared" si="17"/>
        <v>150.14174086517571</v>
      </c>
      <c r="AQ21" s="144">
        <v>5</v>
      </c>
      <c r="AR21" s="145" t="s">
        <v>699</v>
      </c>
    </row>
    <row r="22" spans="1:44" ht="39" customHeight="1">
      <c r="A22" s="1" t="s">
        <v>80</v>
      </c>
      <c r="B22" s="1" t="s">
        <v>79</v>
      </c>
      <c r="C22" s="8">
        <v>4</v>
      </c>
      <c r="D22" s="141">
        <v>1.2</v>
      </c>
      <c r="E22" s="9">
        <v>0</v>
      </c>
      <c r="F22" s="10">
        <v>1</v>
      </c>
      <c r="G22" s="9"/>
      <c r="H22" s="9"/>
      <c r="I22" s="9"/>
      <c r="J22" s="11">
        <f>'MVP1 Pricing &amp; SKU'!$B$7*D22</f>
        <v>358.8</v>
      </c>
      <c r="K22" s="153">
        <v>1634.2</v>
      </c>
      <c r="L22" s="154">
        <f>K22/(1+'Global Inputs'!$B$7)</f>
        <v>1384.9152542372883</v>
      </c>
      <c r="M22" s="153">
        <f>IF(G22="",'Global Inputs'!$B$6,G22)</f>
        <v>0</v>
      </c>
      <c r="N22" s="154">
        <f t="shared" si="0"/>
        <v>0</v>
      </c>
      <c r="O22" s="154">
        <f>K22*'Global Inputs'!$B$8+'Global Inputs'!$B$9</f>
        <v>0</v>
      </c>
      <c r="P22" s="153">
        <f>SUM('Global Inputs'!$B$10:$B$14)</f>
        <v>56.5</v>
      </c>
      <c r="Q22" s="154">
        <f t="shared" si="1"/>
        <v>113.697</v>
      </c>
      <c r="R22" s="154">
        <f t="shared" si="2"/>
        <v>1271.2182542372884</v>
      </c>
      <c r="S22" s="142">
        <f t="shared" si="3"/>
        <v>0.91790327989230214</v>
      </c>
      <c r="T22" s="153">
        <f>IF(H22="",'Global Inputs'!$B$15,H22)</f>
        <v>500</v>
      </c>
      <c r="U22" s="153">
        <f>IF(I22="",'Global Inputs'!$B$16,I22)</f>
        <v>149</v>
      </c>
      <c r="V22" s="154">
        <f t="shared" si="4"/>
        <v>649</v>
      </c>
      <c r="W22" s="154">
        <f>V22*'Global Inputs'!$B$8</f>
        <v>0</v>
      </c>
      <c r="X22" s="153">
        <f>'Global Inputs'!$B$18</f>
        <v>10</v>
      </c>
      <c r="Y22" s="154">
        <f>U22/(1+'Global Inputs'!$B$17)-W22-X22</f>
        <v>139</v>
      </c>
      <c r="Z22" s="154">
        <f t="shared" si="5"/>
        <v>2283.1999999999998</v>
      </c>
      <c r="AA22" s="154">
        <f t="shared" si="6"/>
        <v>623.697</v>
      </c>
      <c r="AB22" s="154">
        <f t="shared" si="7"/>
        <v>1410.2182542372884</v>
      </c>
      <c r="AC22" s="12">
        <f t="shared" si="8"/>
        <v>139</v>
      </c>
      <c r="AD22" s="142">
        <v>0.91935864797074074</v>
      </c>
      <c r="AE22" s="154">
        <f t="shared" si="9"/>
        <v>317.8045635593221</v>
      </c>
      <c r="AF22" s="154">
        <f t="shared" si="10"/>
        <v>352.5545635593221</v>
      </c>
      <c r="AG22" s="152">
        <f>L22*'NC Credits'!$B$15</f>
        <v>57.197000000000003</v>
      </c>
      <c r="AH22" s="154" t="str">
        <f t="shared" si="11"/>
        <v>AUTO</v>
      </c>
      <c r="AI22" s="152">
        <f t="shared" si="12"/>
        <v>0</v>
      </c>
      <c r="AJ22" s="152">
        <f>'Global Inputs'!$B$33</f>
        <v>103.55029585798816</v>
      </c>
      <c r="AK22" s="152">
        <f t="shared" si="13"/>
        <v>414.20118343195264</v>
      </c>
      <c r="AL22" s="152">
        <f t="shared" si="14"/>
        <v>857.01707080533583</v>
      </c>
      <c r="AM22" s="143">
        <f t="shared" si="15"/>
        <v>0.61882275336574233</v>
      </c>
      <c r="AN22" s="152">
        <f t="shared" si="16"/>
        <v>996.01707080533583</v>
      </c>
      <c r="AO22" s="143">
        <f>IF((L22+U22/(1+'Global Inputs'!$B$17))=0,0,AN22/(L22+U22/(1+'Global Inputs'!$B$17)))</f>
        <v>0.64932992096788777</v>
      </c>
      <c r="AP22" s="152">
        <f t="shared" si="17"/>
        <v>214.25426770133396</v>
      </c>
      <c r="AQ22" s="144">
        <v>5</v>
      </c>
      <c r="AR22" s="145" t="s">
        <v>700</v>
      </c>
    </row>
    <row r="23" spans="1:44" ht="39" customHeight="1">
      <c r="A23" s="1" t="s">
        <v>81</v>
      </c>
      <c r="B23" s="1" t="s">
        <v>82</v>
      </c>
      <c r="C23" s="8">
        <v>2.5</v>
      </c>
      <c r="D23" s="141">
        <v>0.85</v>
      </c>
      <c r="E23" s="9">
        <v>0</v>
      </c>
      <c r="F23" s="10">
        <v>1</v>
      </c>
      <c r="G23" s="9"/>
      <c r="H23" s="9"/>
      <c r="I23" s="9"/>
      <c r="J23" s="11">
        <f>'MVP1 Pricing &amp; SKU'!$B$7*D23</f>
        <v>254.15</v>
      </c>
      <c r="K23" s="153">
        <v>834.375</v>
      </c>
      <c r="L23" s="154">
        <f>K23/(1+'Global Inputs'!$B$7)</f>
        <v>707.09745762711873</v>
      </c>
      <c r="M23" s="153">
        <f>IF(G23="",'Global Inputs'!$B$6,G23)</f>
        <v>0</v>
      </c>
      <c r="N23" s="154">
        <f t="shared" si="0"/>
        <v>0</v>
      </c>
      <c r="O23" s="154">
        <f>K23*'Global Inputs'!$B$8+'Global Inputs'!$B$9</f>
        <v>0</v>
      </c>
      <c r="P23" s="153">
        <f>SUM('Global Inputs'!$B$10:$B$14)</f>
        <v>56.5</v>
      </c>
      <c r="Q23" s="154">
        <f t="shared" si="1"/>
        <v>85.703125</v>
      </c>
      <c r="R23" s="154">
        <f t="shared" si="2"/>
        <v>621.39433262711873</v>
      </c>
      <c r="S23" s="142">
        <f t="shared" si="3"/>
        <v>0.8787958801498128</v>
      </c>
      <c r="T23" s="153">
        <f>IF(H23="",'Global Inputs'!$B$15,H23)</f>
        <v>500</v>
      </c>
      <c r="U23" s="153">
        <f>IF(I23="",'Global Inputs'!$B$16,I23)</f>
        <v>149</v>
      </c>
      <c r="V23" s="154">
        <f t="shared" si="4"/>
        <v>649</v>
      </c>
      <c r="W23" s="154">
        <f>V23*'Global Inputs'!$B$8</f>
        <v>0</v>
      </c>
      <c r="X23" s="153">
        <f>'Global Inputs'!$B$18</f>
        <v>10</v>
      </c>
      <c r="Y23" s="154">
        <f>U23/(1+'Global Inputs'!$B$17)-W23-X23</f>
        <v>139</v>
      </c>
      <c r="Z23" s="154">
        <f t="shared" si="5"/>
        <v>1483.375</v>
      </c>
      <c r="AA23" s="154">
        <f t="shared" si="6"/>
        <v>595.703125</v>
      </c>
      <c r="AB23" s="154">
        <f t="shared" si="7"/>
        <v>760.39433262711873</v>
      </c>
      <c r="AC23" s="12">
        <f t="shared" si="8"/>
        <v>139</v>
      </c>
      <c r="AD23" s="142">
        <v>0.88821001143343614</v>
      </c>
      <c r="AE23" s="154">
        <f t="shared" si="9"/>
        <v>248.5577330508475</v>
      </c>
      <c r="AF23" s="154">
        <f t="shared" si="10"/>
        <v>304.15773305084747</v>
      </c>
      <c r="AG23" s="152">
        <f>L23*'NC Credits'!$B$15</f>
        <v>29.203125</v>
      </c>
      <c r="AH23" s="154" t="str">
        <f t="shared" si="11"/>
        <v>AUTO</v>
      </c>
      <c r="AI23" s="152">
        <f t="shared" si="12"/>
        <v>0</v>
      </c>
      <c r="AJ23" s="152">
        <f>'Global Inputs'!$B$33</f>
        <v>103.55029585798816</v>
      </c>
      <c r="AK23" s="152">
        <f t="shared" si="13"/>
        <v>258.87573964497039</v>
      </c>
      <c r="AL23" s="152">
        <f t="shared" si="14"/>
        <v>362.51859298214833</v>
      </c>
      <c r="AM23" s="143">
        <f t="shared" si="15"/>
        <v>0.51268547082419169</v>
      </c>
      <c r="AN23" s="152">
        <f t="shared" si="16"/>
        <v>501.51859298214833</v>
      </c>
      <c r="AO23" s="143">
        <f>IF((L23+U23/(1+'Global Inputs'!$B$17))=0,0,AN23/(L23+U23/(1+'Global Inputs'!$B$17)))</f>
        <v>0.58581950981635722</v>
      </c>
      <c r="AP23" s="152">
        <f t="shared" si="17"/>
        <v>145.00743719285933</v>
      </c>
      <c r="AQ23" s="144">
        <v>3</v>
      </c>
      <c r="AR23" s="145" t="s">
        <v>701</v>
      </c>
    </row>
    <row r="24" spans="1:44" ht="39" customHeight="1">
      <c r="A24" s="1" t="s">
        <v>83</v>
      </c>
      <c r="B24" s="1" t="s">
        <v>82</v>
      </c>
      <c r="C24" s="8">
        <v>1.5</v>
      </c>
      <c r="D24" s="141">
        <v>0.65</v>
      </c>
      <c r="E24" s="9">
        <v>0</v>
      </c>
      <c r="F24" s="10">
        <v>1</v>
      </c>
      <c r="G24" s="9"/>
      <c r="H24" s="9"/>
      <c r="I24" s="9"/>
      <c r="J24" s="11">
        <f>'MVP1 Pricing &amp; SKU'!$B$7*D24</f>
        <v>194.35</v>
      </c>
      <c r="K24" s="153">
        <v>587.70000000000005</v>
      </c>
      <c r="L24" s="154">
        <f>K24/(1+'Global Inputs'!$B$7)</f>
        <v>498.05084745762719</v>
      </c>
      <c r="M24" s="153">
        <f>IF(G24="",'Global Inputs'!$B$6,G24)</f>
        <v>0</v>
      </c>
      <c r="N24" s="154">
        <f t="shared" si="0"/>
        <v>0</v>
      </c>
      <c r="O24" s="154">
        <f>K24*'Global Inputs'!$B$8+'Global Inputs'!$B$9</f>
        <v>0</v>
      </c>
      <c r="P24" s="153">
        <f>SUM('Global Inputs'!$B$10:$B$14)</f>
        <v>56.5</v>
      </c>
      <c r="Q24" s="154">
        <f t="shared" si="1"/>
        <v>77.069500000000005</v>
      </c>
      <c r="R24" s="154">
        <f t="shared" si="2"/>
        <v>420.98134745762718</v>
      </c>
      <c r="S24" s="142">
        <f t="shared" si="3"/>
        <v>0.84525776756848736</v>
      </c>
      <c r="T24" s="153">
        <f>IF(H24="",'Global Inputs'!$B$15,H24)</f>
        <v>500</v>
      </c>
      <c r="U24" s="153">
        <f>IF(I24="",'Global Inputs'!$B$16,I24)</f>
        <v>149</v>
      </c>
      <c r="V24" s="154">
        <f t="shared" si="4"/>
        <v>649</v>
      </c>
      <c r="W24" s="154">
        <f>V24*'Global Inputs'!$B$8</f>
        <v>0</v>
      </c>
      <c r="X24" s="153">
        <f>'Global Inputs'!$B$18</f>
        <v>10</v>
      </c>
      <c r="Y24" s="154">
        <f>U24/(1+'Global Inputs'!$B$17)-W24-X24</f>
        <v>139</v>
      </c>
      <c r="Z24" s="154">
        <f t="shared" si="5"/>
        <v>1236.7</v>
      </c>
      <c r="AA24" s="154">
        <f t="shared" si="6"/>
        <v>587.06950000000006</v>
      </c>
      <c r="AB24" s="154">
        <f t="shared" si="7"/>
        <v>559.98134745762718</v>
      </c>
      <c r="AC24" s="12">
        <f t="shared" si="8"/>
        <v>139</v>
      </c>
      <c r="AD24" s="142">
        <v>0.86543638673512147</v>
      </c>
      <c r="AE24" s="154">
        <f t="shared" si="9"/>
        <v>280.65423163841814</v>
      </c>
      <c r="AF24" s="154">
        <f t="shared" si="10"/>
        <v>373.32089830508477</v>
      </c>
      <c r="AG24" s="152">
        <f>L24*'NC Credits'!$B$15</f>
        <v>20.569500000000001</v>
      </c>
      <c r="AH24" s="154" t="str">
        <f t="shared" si="11"/>
        <v>AUTO</v>
      </c>
      <c r="AI24" s="152">
        <f t="shared" si="12"/>
        <v>0</v>
      </c>
      <c r="AJ24" s="152">
        <f>'Global Inputs'!$B$33</f>
        <v>103.55029585798816</v>
      </c>
      <c r="AK24" s="152">
        <f t="shared" si="13"/>
        <v>155.32544378698225</v>
      </c>
      <c r="AL24" s="152">
        <f t="shared" si="14"/>
        <v>265.65590367064493</v>
      </c>
      <c r="AM24" s="143">
        <f t="shared" si="15"/>
        <v>0.53339112869042193</v>
      </c>
      <c r="AN24" s="152">
        <f t="shared" si="16"/>
        <v>404.65590367064493</v>
      </c>
      <c r="AO24" s="143">
        <f>IF((L24+U24/(1+'Global Inputs'!$B$17))=0,0,AN24/(L24+U24/(1+'Global Inputs'!$B$17)))</f>
        <v>0.62538501457900375</v>
      </c>
      <c r="AP24" s="152">
        <f t="shared" si="17"/>
        <v>177.10393578042996</v>
      </c>
      <c r="AQ24" s="144">
        <v>4</v>
      </c>
      <c r="AR24" s="145" t="s">
        <v>702</v>
      </c>
    </row>
    <row r="25" spans="1:44" ht="39" customHeight="1">
      <c r="A25" s="1" t="s">
        <v>84</v>
      </c>
      <c r="B25" s="1" t="s">
        <v>82</v>
      </c>
      <c r="C25" s="8">
        <v>2</v>
      </c>
      <c r="D25" s="141">
        <v>0.6</v>
      </c>
      <c r="E25" s="9">
        <v>0</v>
      </c>
      <c r="F25" s="10">
        <v>1</v>
      </c>
      <c r="G25" s="9"/>
      <c r="H25" s="9"/>
      <c r="I25" s="9"/>
      <c r="J25" s="11">
        <f>'MVP1 Pricing &amp; SKU'!$B$7*D25</f>
        <v>179.4</v>
      </c>
      <c r="K25" s="153">
        <v>557.79999999999995</v>
      </c>
      <c r="L25" s="154">
        <f>K25/(1+'Global Inputs'!$B$7)</f>
        <v>472.71186440677963</v>
      </c>
      <c r="M25" s="153">
        <f>IF(G25="",'Global Inputs'!$B$6,G25)</f>
        <v>0</v>
      </c>
      <c r="N25" s="154">
        <f t="shared" si="0"/>
        <v>0</v>
      </c>
      <c r="O25" s="154">
        <f>K25*'Global Inputs'!$B$8+'Global Inputs'!$B$9</f>
        <v>0</v>
      </c>
      <c r="P25" s="153">
        <f>SUM('Global Inputs'!$B$10:$B$14)</f>
        <v>56.5</v>
      </c>
      <c r="Q25" s="154">
        <f t="shared" si="1"/>
        <v>76.022999999999996</v>
      </c>
      <c r="R25" s="154">
        <f t="shared" si="2"/>
        <v>396.68886440677966</v>
      </c>
      <c r="S25" s="142">
        <f t="shared" si="3"/>
        <v>0.8391768734313374</v>
      </c>
      <c r="T25" s="153">
        <f>IF(H25="",'Global Inputs'!$B$15,H25)</f>
        <v>500</v>
      </c>
      <c r="U25" s="153">
        <f>IF(I25="",'Global Inputs'!$B$16,I25)</f>
        <v>149</v>
      </c>
      <c r="V25" s="154">
        <f t="shared" si="4"/>
        <v>649</v>
      </c>
      <c r="W25" s="154">
        <f>V25*'Global Inputs'!$B$8</f>
        <v>0</v>
      </c>
      <c r="X25" s="153">
        <f>'Global Inputs'!$B$18</f>
        <v>10</v>
      </c>
      <c r="Y25" s="154">
        <f>U25/(1+'Global Inputs'!$B$17)-W25-X25</f>
        <v>139</v>
      </c>
      <c r="Z25" s="154">
        <f t="shared" si="5"/>
        <v>1206.8</v>
      </c>
      <c r="AA25" s="154">
        <f t="shared" si="6"/>
        <v>586.02300000000002</v>
      </c>
      <c r="AB25" s="154">
        <f t="shared" si="7"/>
        <v>535.68886440677966</v>
      </c>
      <c r="AC25" s="12">
        <f t="shared" si="8"/>
        <v>139</v>
      </c>
      <c r="AD25" s="142">
        <v>0.86163526076170238</v>
      </c>
      <c r="AE25" s="154">
        <f t="shared" si="9"/>
        <v>198.34443220338983</v>
      </c>
      <c r="AF25" s="154">
        <f t="shared" si="10"/>
        <v>267.84443220338983</v>
      </c>
      <c r="AG25" s="152">
        <f>L25*'NC Credits'!$B$15</f>
        <v>19.522999999999996</v>
      </c>
      <c r="AH25" s="154" t="str">
        <f t="shared" si="11"/>
        <v>AUTO</v>
      </c>
      <c r="AI25" s="152">
        <f t="shared" si="12"/>
        <v>0</v>
      </c>
      <c r="AJ25" s="152">
        <f>'Global Inputs'!$B$33</f>
        <v>103.55029585798816</v>
      </c>
      <c r="AK25" s="152">
        <f t="shared" si="13"/>
        <v>207.10059171597632</v>
      </c>
      <c r="AL25" s="152">
        <f t="shared" si="14"/>
        <v>189.58827269080334</v>
      </c>
      <c r="AM25" s="143">
        <f t="shared" si="15"/>
        <v>0.40106518783640721</v>
      </c>
      <c r="AN25" s="152">
        <f t="shared" si="16"/>
        <v>328.58827269080336</v>
      </c>
      <c r="AO25" s="143">
        <f>IF((L25+U25/(1+'Global Inputs'!$B$17))=0,0,AN25/(L25+U25/(1+'Global Inputs'!$B$17)))</f>
        <v>0.52852179844490066</v>
      </c>
      <c r="AP25" s="152">
        <f t="shared" si="17"/>
        <v>94.794136345401668</v>
      </c>
      <c r="AQ25" s="144">
        <v>3</v>
      </c>
      <c r="AR25" s="145" t="s">
        <v>703</v>
      </c>
    </row>
    <row r="26" spans="1:44" ht="39" customHeight="1">
      <c r="A26" s="1" t="s">
        <v>85</v>
      </c>
      <c r="B26" s="1" t="s">
        <v>82</v>
      </c>
      <c r="C26" s="8">
        <v>3</v>
      </c>
      <c r="D26" s="141">
        <v>0.75</v>
      </c>
      <c r="E26" s="9">
        <v>0</v>
      </c>
      <c r="F26" s="10">
        <v>1</v>
      </c>
      <c r="G26" s="9"/>
      <c r="H26" s="9"/>
      <c r="I26" s="9"/>
      <c r="J26" s="11">
        <f>'MVP1 Pricing &amp; SKU'!$B$7*D26</f>
        <v>224.25</v>
      </c>
      <c r="K26" s="153">
        <v>871.75</v>
      </c>
      <c r="L26" s="154">
        <f>K26/(1+'Global Inputs'!$B$7)</f>
        <v>738.77118644067798</v>
      </c>
      <c r="M26" s="153">
        <f>IF(G26="",'Global Inputs'!$B$6,G26)</f>
        <v>0</v>
      </c>
      <c r="N26" s="154">
        <f t="shared" si="0"/>
        <v>0</v>
      </c>
      <c r="O26" s="154">
        <f>K26*'Global Inputs'!$B$8+'Global Inputs'!$B$9</f>
        <v>0</v>
      </c>
      <c r="P26" s="153">
        <f>SUM('Global Inputs'!$B$10:$B$14)</f>
        <v>56.5</v>
      </c>
      <c r="Q26" s="154">
        <f t="shared" si="1"/>
        <v>87.01124999999999</v>
      </c>
      <c r="R26" s="154">
        <f t="shared" si="2"/>
        <v>651.75993644067796</v>
      </c>
      <c r="S26" s="142">
        <f t="shared" si="3"/>
        <v>0.88222165184972756</v>
      </c>
      <c r="T26" s="153">
        <f>IF(H26="",'Global Inputs'!$B$15,H26)</f>
        <v>500</v>
      </c>
      <c r="U26" s="153">
        <f>IF(I26="",'Global Inputs'!$B$16,I26)</f>
        <v>149</v>
      </c>
      <c r="V26" s="154">
        <f t="shared" si="4"/>
        <v>649</v>
      </c>
      <c r="W26" s="154">
        <f>V26*'Global Inputs'!$B$8</f>
        <v>0</v>
      </c>
      <c r="X26" s="153">
        <f>'Global Inputs'!$B$18</f>
        <v>10</v>
      </c>
      <c r="Y26" s="154">
        <f>U26/(1+'Global Inputs'!$B$17)-W26-X26</f>
        <v>139</v>
      </c>
      <c r="Z26" s="154">
        <f t="shared" si="5"/>
        <v>1520.75</v>
      </c>
      <c r="AA26" s="154">
        <f t="shared" si="6"/>
        <v>597.01125000000002</v>
      </c>
      <c r="AB26" s="154">
        <f t="shared" si="7"/>
        <v>790.75993644067796</v>
      </c>
      <c r="AC26" s="12">
        <f t="shared" si="8"/>
        <v>139</v>
      </c>
      <c r="AD26" s="142">
        <v>0.89072493962217325</v>
      </c>
      <c r="AE26" s="154">
        <f t="shared" si="9"/>
        <v>217.25331214689265</v>
      </c>
      <c r="AF26" s="154">
        <f t="shared" si="10"/>
        <v>263.58664548022597</v>
      </c>
      <c r="AG26" s="152">
        <f>L26*'NC Credits'!$B$15</f>
        <v>30.511249999999997</v>
      </c>
      <c r="AH26" s="154" t="str">
        <f t="shared" si="11"/>
        <v>AUTO</v>
      </c>
      <c r="AI26" s="152">
        <f t="shared" si="12"/>
        <v>0</v>
      </c>
      <c r="AJ26" s="152">
        <f>'Global Inputs'!$B$33</f>
        <v>103.55029585798816</v>
      </c>
      <c r="AK26" s="152">
        <f t="shared" si="13"/>
        <v>310.6508875739645</v>
      </c>
      <c r="AL26" s="152">
        <f t="shared" si="14"/>
        <v>341.10904886671347</v>
      </c>
      <c r="AM26" s="143">
        <f t="shared" si="15"/>
        <v>0.4617248955121559</v>
      </c>
      <c r="AN26" s="152">
        <f t="shared" si="16"/>
        <v>480.10904886671347</v>
      </c>
      <c r="AO26" s="143">
        <f>IF((L26+U26/(1+'Global Inputs'!$B$17))=0,0,AN26/(L26+U26/(1+'Global Inputs'!$B$17)))</f>
        <v>0.54080269353143162</v>
      </c>
      <c r="AP26" s="152">
        <f t="shared" si="17"/>
        <v>113.70301628890449</v>
      </c>
      <c r="AQ26" s="144">
        <v>3</v>
      </c>
      <c r="AR26" s="145" t="s">
        <v>704</v>
      </c>
    </row>
    <row r="27" spans="1:44" ht="39" customHeight="1">
      <c r="A27" s="1" t="s">
        <v>86</v>
      </c>
      <c r="B27" s="1" t="s">
        <v>82</v>
      </c>
      <c r="C27" s="8">
        <v>4</v>
      </c>
      <c r="D27" s="141">
        <v>1.1000000000000001</v>
      </c>
      <c r="E27" s="9">
        <v>0</v>
      </c>
      <c r="F27" s="10">
        <v>1</v>
      </c>
      <c r="G27" s="9"/>
      <c r="H27" s="9"/>
      <c r="I27" s="9"/>
      <c r="J27" s="11">
        <f>'MVP1 Pricing &amp; SKU'!$B$7*D27</f>
        <v>328.90000000000003</v>
      </c>
      <c r="K27" s="153">
        <v>1514.6000000000001</v>
      </c>
      <c r="L27" s="154">
        <f>K27/(1+'Global Inputs'!$B$7)</f>
        <v>1283.5593220338985</v>
      </c>
      <c r="M27" s="153">
        <f>IF(G27="",'Global Inputs'!$B$6,G27)</f>
        <v>0</v>
      </c>
      <c r="N27" s="154">
        <f t="shared" si="0"/>
        <v>0</v>
      </c>
      <c r="O27" s="154">
        <f>K27*'Global Inputs'!$B$8+'Global Inputs'!$B$9</f>
        <v>0</v>
      </c>
      <c r="P27" s="153">
        <f>SUM('Global Inputs'!$B$10:$B$14)</f>
        <v>56.5</v>
      </c>
      <c r="Q27" s="154">
        <f t="shared" si="1"/>
        <v>109.511</v>
      </c>
      <c r="R27" s="154">
        <f t="shared" si="2"/>
        <v>1174.0483220338986</v>
      </c>
      <c r="S27" s="142">
        <f t="shared" si="3"/>
        <v>0.91468177736696166</v>
      </c>
      <c r="T27" s="153">
        <f>IF(H27="",'Global Inputs'!$B$15,H27)</f>
        <v>500</v>
      </c>
      <c r="U27" s="153">
        <f>IF(I27="",'Global Inputs'!$B$16,I27)</f>
        <v>149</v>
      </c>
      <c r="V27" s="154">
        <f t="shared" si="4"/>
        <v>649</v>
      </c>
      <c r="W27" s="154">
        <f>V27*'Global Inputs'!$B$8</f>
        <v>0</v>
      </c>
      <c r="X27" s="153">
        <f>'Global Inputs'!$B$18</f>
        <v>10</v>
      </c>
      <c r="Y27" s="154">
        <f>U27/(1+'Global Inputs'!$B$17)-W27-X27</f>
        <v>139</v>
      </c>
      <c r="Z27" s="154">
        <f t="shared" si="5"/>
        <v>2163.6000000000004</v>
      </c>
      <c r="AA27" s="154">
        <f t="shared" si="6"/>
        <v>619.51099999999997</v>
      </c>
      <c r="AB27" s="154">
        <f t="shared" si="7"/>
        <v>1313.0483220338986</v>
      </c>
      <c r="AC27" s="12">
        <f t="shared" si="8"/>
        <v>139</v>
      </c>
      <c r="AD27" s="142">
        <v>0.91657518249902392</v>
      </c>
      <c r="AE27" s="154">
        <f t="shared" si="9"/>
        <v>293.51208050847464</v>
      </c>
      <c r="AF27" s="154">
        <f t="shared" si="10"/>
        <v>328.26208050847464</v>
      </c>
      <c r="AG27" s="152">
        <f>L27*'NC Credits'!$B$15</f>
        <v>53.011000000000003</v>
      </c>
      <c r="AH27" s="154" t="str">
        <f t="shared" si="11"/>
        <v>AUTO</v>
      </c>
      <c r="AI27" s="152">
        <f t="shared" si="12"/>
        <v>0</v>
      </c>
      <c r="AJ27" s="152">
        <f>'Global Inputs'!$B$33</f>
        <v>103.55029585798816</v>
      </c>
      <c r="AK27" s="152">
        <f t="shared" si="13"/>
        <v>414.20118343195264</v>
      </c>
      <c r="AL27" s="152">
        <f t="shared" si="14"/>
        <v>759.84713860194597</v>
      </c>
      <c r="AM27" s="143">
        <f t="shared" si="15"/>
        <v>0.59198443387712674</v>
      </c>
      <c r="AN27" s="152">
        <f t="shared" si="16"/>
        <v>898.84713860194597</v>
      </c>
      <c r="AO27" s="143">
        <f>IF((L27+U27/(1+'Global Inputs'!$B$17))=0,0,AN27/(L27+U27/(1+'Global Inputs'!$B$17)))</f>
        <v>0.62744147818311191</v>
      </c>
      <c r="AP27" s="152">
        <f t="shared" si="17"/>
        <v>189.96178465048649</v>
      </c>
      <c r="AQ27" s="144">
        <v>2</v>
      </c>
      <c r="AR27" s="145" t="s">
        <v>705</v>
      </c>
    </row>
    <row r="28" spans="1:44" ht="39" customHeight="1">
      <c r="A28" s="1" t="s">
        <v>87</v>
      </c>
      <c r="B28" s="1" t="s">
        <v>82</v>
      </c>
      <c r="C28" s="8">
        <v>4</v>
      </c>
      <c r="D28" s="141">
        <v>1.05</v>
      </c>
      <c r="E28" s="9">
        <v>0</v>
      </c>
      <c r="F28" s="10">
        <v>1</v>
      </c>
      <c r="G28" s="9"/>
      <c r="H28" s="9"/>
      <c r="I28" s="9"/>
      <c r="J28" s="11">
        <f>'MVP1 Pricing &amp; SKU'!$B$7*D28</f>
        <v>313.95</v>
      </c>
      <c r="K28" s="153">
        <v>1454.8</v>
      </c>
      <c r="L28" s="154">
        <f>K28/(1+'Global Inputs'!$B$7)</f>
        <v>1232.8813559322034</v>
      </c>
      <c r="M28" s="153">
        <f>IF(G28="",'Global Inputs'!$B$6,G28)</f>
        <v>0</v>
      </c>
      <c r="N28" s="154">
        <f t="shared" si="0"/>
        <v>0</v>
      </c>
      <c r="O28" s="154">
        <f>K28*'Global Inputs'!$B$8+'Global Inputs'!$B$9</f>
        <v>0</v>
      </c>
      <c r="P28" s="153">
        <f>SUM('Global Inputs'!$B$10:$B$14)</f>
        <v>56.5</v>
      </c>
      <c r="Q28" s="154">
        <f t="shared" si="1"/>
        <v>107.41800000000001</v>
      </c>
      <c r="R28" s="154">
        <f t="shared" si="2"/>
        <v>1125.4633559322033</v>
      </c>
      <c r="S28" s="142">
        <f t="shared" si="3"/>
        <v>0.91287239483090454</v>
      </c>
      <c r="T28" s="153">
        <f>IF(H28="",'Global Inputs'!$B$15,H28)</f>
        <v>500</v>
      </c>
      <c r="U28" s="153">
        <f>IF(I28="",'Global Inputs'!$B$16,I28)</f>
        <v>149</v>
      </c>
      <c r="V28" s="154">
        <f t="shared" si="4"/>
        <v>649</v>
      </c>
      <c r="W28" s="154">
        <f>V28*'Global Inputs'!$B$8</f>
        <v>0</v>
      </c>
      <c r="X28" s="153">
        <f>'Global Inputs'!$B$18</f>
        <v>10</v>
      </c>
      <c r="Y28" s="154">
        <f>U28/(1+'Global Inputs'!$B$17)-W28-X28</f>
        <v>139</v>
      </c>
      <c r="Z28" s="154">
        <f t="shared" si="5"/>
        <v>2103.8000000000002</v>
      </c>
      <c r="AA28" s="154">
        <f t="shared" si="6"/>
        <v>617.41800000000001</v>
      </c>
      <c r="AB28" s="154">
        <f t="shared" si="7"/>
        <v>1264.4633559322033</v>
      </c>
      <c r="AC28" s="12">
        <f t="shared" si="8"/>
        <v>139</v>
      </c>
      <c r="AD28" s="142">
        <v>0.91503033202094897</v>
      </c>
      <c r="AE28" s="154">
        <f t="shared" si="9"/>
        <v>281.36583898305082</v>
      </c>
      <c r="AF28" s="154">
        <f t="shared" si="10"/>
        <v>316.11583898305082</v>
      </c>
      <c r="AG28" s="152">
        <f>L28*'NC Credits'!$B$15</f>
        <v>50.917999999999999</v>
      </c>
      <c r="AH28" s="154" t="str">
        <f t="shared" si="11"/>
        <v>AUTO</v>
      </c>
      <c r="AI28" s="152">
        <f t="shared" si="12"/>
        <v>0</v>
      </c>
      <c r="AJ28" s="152">
        <f>'Global Inputs'!$B$33</f>
        <v>103.55029585798816</v>
      </c>
      <c r="AK28" s="152">
        <f t="shared" si="13"/>
        <v>414.20118343195264</v>
      </c>
      <c r="AL28" s="152">
        <f t="shared" si="14"/>
        <v>711.2621725002507</v>
      </c>
      <c r="AM28" s="143">
        <f t="shared" si="15"/>
        <v>0.57691047810715967</v>
      </c>
      <c r="AN28" s="152">
        <f t="shared" si="16"/>
        <v>850.2621725002507</v>
      </c>
      <c r="AO28" s="143">
        <f>IF((L28+U28/(1+'Global Inputs'!$B$17))=0,0,AN28/(L28+U28/(1+'Global Inputs'!$B$17)))</f>
        <v>0.61529317900571301</v>
      </c>
      <c r="AP28" s="152">
        <f t="shared" si="17"/>
        <v>177.81554312506267</v>
      </c>
      <c r="AQ28" s="144">
        <v>2</v>
      </c>
      <c r="AR28" s="145" t="s">
        <v>706</v>
      </c>
    </row>
    <row r="29" spans="1:44" ht="39" customHeight="1">
      <c r="A29" s="1" t="s">
        <v>88</v>
      </c>
      <c r="B29" s="1" t="s">
        <v>89</v>
      </c>
      <c r="C29" s="8">
        <v>4</v>
      </c>
      <c r="D29" s="141">
        <v>1.3</v>
      </c>
      <c r="E29" s="9">
        <v>499</v>
      </c>
      <c r="F29" s="10">
        <v>1</v>
      </c>
      <c r="G29" s="9"/>
      <c r="H29" s="9"/>
      <c r="I29" s="9"/>
      <c r="J29" s="11">
        <f>'MVP1 Pricing &amp; SKU'!$B$7*D29</f>
        <v>388.7</v>
      </c>
      <c r="K29" s="153">
        <v>2252.8000000000002</v>
      </c>
      <c r="L29" s="154">
        <f>K29/(1+'Global Inputs'!$B$7)</f>
        <v>1909.1525423728815</v>
      </c>
      <c r="M29" s="153">
        <f>IF(G29="",'Global Inputs'!$B$6,G29)</f>
        <v>0</v>
      </c>
      <c r="N29" s="154">
        <f t="shared" si="0"/>
        <v>0</v>
      </c>
      <c r="O29" s="154">
        <f>K29*'Global Inputs'!$B$8+'Global Inputs'!$B$9</f>
        <v>0</v>
      </c>
      <c r="P29" s="153">
        <f>SUM('Global Inputs'!$B$10:$B$14)</f>
        <v>56.5</v>
      </c>
      <c r="Q29" s="154">
        <f t="shared" si="1"/>
        <v>135.34800000000001</v>
      </c>
      <c r="R29" s="154">
        <f t="shared" si="2"/>
        <v>1773.8045423728815</v>
      </c>
      <c r="S29" s="142">
        <f t="shared" si="3"/>
        <v>0.9291057173295455</v>
      </c>
      <c r="T29" s="153">
        <f>IF(H29="",'Global Inputs'!$B$15,H29)</f>
        <v>500</v>
      </c>
      <c r="U29" s="153">
        <f>IF(I29="",'Global Inputs'!$B$16,I29)</f>
        <v>149</v>
      </c>
      <c r="V29" s="154">
        <f t="shared" si="4"/>
        <v>649</v>
      </c>
      <c r="W29" s="154">
        <f>V29*'Global Inputs'!$B$8</f>
        <v>0</v>
      </c>
      <c r="X29" s="153">
        <f>'Global Inputs'!$B$18</f>
        <v>10</v>
      </c>
      <c r="Y29" s="154">
        <f>U29/(1+'Global Inputs'!$B$17)-W29-X29</f>
        <v>139</v>
      </c>
      <c r="Z29" s="154">
        <f t="shared" si="5"/>
        <v>2901.8</v>
      </c>
      <c r="AA29" s="154">
        <f t="shared" si="6"/>
        <v>645.34799999999996</v>
      </c>
      <c r="AB29" s="154">
        <f t="shared" si="7"/>
        <v>1912.8045423728815</v>
      </c>
      <c r="AC29" s="12">
        <f t="shared" si="8"/>
        <v>139</v>
      </c>
      <c r="AD29" s="142">
        <v>0.92937938417702226</v>
      </c>
      <c r="AE29" s="154">
        <f t="shared" si="9"/>
        <v>443.45113559322039</v>
      </c>
      <c r="AF29" s="154">
        <f t="shared" si="10"/>
        <v>478.20113559322039</v>
      </c>
      <c r="AG29" s="152">
        <f>L29*'NC Credits'!$B$15</f>
        <v>78.847999999999999</v>
      </c>
      <c r="AH29" s="154" t="str">
        <f t="shared" si="11"/>
        <v>AUTO</v>
      </c>
      <c r="AI29" s="152">
        <f t="shared" si="12"/>
        <v>0</v>
      </c>
      <c r="AJ29" s="152">
        <f>'Global Inputs'!$B$33</f>
        <v>103.55029585798816</v>
      </c>
      <c r="AK29" s="152">
        <f t="shared" si="13"/>
        <v>414.20118343195264</v>
      </c>
      <c r="AL29" s="152">
        <f t="shared" si="14"/>
        <v>1359.603358940929</v>
      </c>
      <c r="AM29" s="143">
        <f t="shared" si="15"/>
        <v>0.71215019688844816</v>
      </c>
      <c r="AN29" s="152">
        <f t="shared" si="16"/>
        <v>1498.603358940929</v>
      </c>
      <c r="AO29" s="143">
        <f>IF((L29+U29/(1+'Global Inputs'!$B$17))=0,0,AN29/(L29+U29/(1+'Global Inputs'!$B$17)))</f>
        <v>0.72813036356049765</v>
      </c>
      <c r="AP29" s="152">
        <f t="shared" si="17"/>
        <v>339.90083973523224</v>
      </c>
      <c r="AQ29" s="144">
        <v>2</v>
      </c>
      <c r="AR29" s="145" t="s">
        <v>707</v>
      </c>
    </row>
    <row r="30" spans="1:44" ht="39" customHeight="1">
      <c r="A30" s="1" t="s">
        <v>90</v>
      </c>
      <c r="B30" s="1" t="s">
        <v>82</v>
      </c>
      <c r="C30" s="8">
        <v>2</v>
      </c>
      <c r="D30" s="141">
        <v>0.85</v>
      </c>
      <c r="E30" s="9">
        <v>0</v>
      </c>
      <c r="F30" s="10">
        <v>1</v>
      </c>
      <c r="G30" s="9"/>
      <c r="H30" s="9"/>
      <c r="I30" s="9"/>
      <c r="J30" s="11">
        <f>'MVP1 Pricing &amp; SKU'!$B$7*D30</f>
        <v>254.15</v>
      </c>
      <c r="K30" s="153">
        <v>707.3</v>
      </c>
      <c r="L30" s="154">
        <f>K30/(1+'Global Inputs'!$B$7)</f>
        <v>599.40677966101691</v>
      </c>
      <c r="M30" s="153">
        <f>IF(G30="",'Global Inputs'!$B$6,G30)</f>
        <v>0</v>
      </c>
      <c r="N30" s="154">
        <f t="shared" si="0"/>
        <v>0</v>
      </c>
      <c r="O30" s="154">
        <f>K30*'Global Inputs'!$B$8+'Global Inputs'!$B$9</f>
        <v>0</v>
      </c>
      <c r="P30" s="153">
        <f>SUM('Global Inputs'!$B$10:$B$14)</f>
        <v>56.5</v>
      </c>
      <c r="Q30" s="154">
        <f t="shared" si="1"/>
        <v>81.255499999999998</v>
      </c>
      <c r="R30" s="154">
        <f t="shared" si="2"/>
        <v>518.15127966101693</v>
      </c>
      <c r="S30" s="142">
        <f t="shared" si="3"/>
        <v>0.86444013855506863</v>
      </c>
      <c r="T30" s="153">
        <f>IF(H30="",'Global Inputs'!$B$15,H30)</f>
        <v>500</v>
      </c>
      <c r="U30" s="153">
        <f>IF(I30="",'Global Inputs'!$B$16,I30)</f>
        <v>149</v>
      </c>
      <c r="V30" s="154">
        <f t="shared" si="4"/>
        <v>649</v>
      </c>
      <c r="W30" s="154">
        <f>V30*'Global Inputs'!$B$8</f>
        <v>0</v>
      </c>
      <c r="X30" s="153">
        <f>'Global Inputs'!$B$18</f>
        <v>10</v>
      </c>
      <c r="Y30" s="154">
        <f>U30/(1+'Global Inputs'!$B$17)-W30-X30</f>
        <v>139</v>
      </c>
      <c r="Z30" s="154">
        <f t="shared" si="5"/>
        <v>1356.3</v>
      </c>
      <c r="AA30" s="154">
        <f t="shared" si="6"/>
        <v>591.25549999999998</v>
      </c>
      <c r="AB30" s="154">
        <f t="shared" si="7"/>
        <v>657.15127966101693</v>
      </c>
      <c r="AC30" s="12">
        <f t="shared" si="8"/>
        <v>139</v>
      </c>
      <c r="AD30" s="142">
        <v>0.87806697844007608</v>
      </c>
      <c r="AE30" s="154">
        <f t="shared" si="9"/>
        <v>259.07563983050846</v>
      </c>
      <c r="AF30" s="154">
        <f t="shared" si="10"/>
        <v>328.57563983050846</v>
      </c>
      <c r="AG30" s="152">
        <f>L30*'NC Credits'!$B$15</f>
        <v>24.755499999999998</v>
      </c>
      <c r="AH30" s="154" t="str">
        <f t="shared" si="11"/>
        <v>AUTO</v>
      </c>
      <c r="AI30" s="152">
        <f t="shared" si="12"/>
        <v>0</v>
      </c>
      <c r="AJ30" s="152">
        <f>'Global Inputs'!$B$33</f>
        <v>103.55029585798816</v>
      </c>
      <c r="AK30" s="152">
        <f t="shared" si="13"/>
        <v>207.10059171597632</v>
      </c>
      <c r="AL30" s="152">
        <f t="shared" si="14"/>
        <v>311.05068794504064</v>
      </c>
      <c r="AM30" s="143">
        <f t="shared" si="15"/>
        <v>0.51893088049646252</v>
      </c>
      <c r="AN30" s="152">
        <f t="shared" si="16"/>
        <v>450.05068794504064</v>
      </c>
      <c r="AO30" s="143">
        <f>IF((L30+U30/(1+'Global Inputs'!$B$17))=0,0,AN30/(L30+U30/(1+'Global Inputs'!$B$17)))</f>
        <v>0.60134501741003255</v>
      </c>
      <c r="AP30" s="152">
        <f t="shared" si="17"/>
        <v>155.52534397252032</v>
      </c>
      <c r="AQ30" s="144">
        <v>3</v>
      </c>
      <c r="AR30" s="145" t="s">
        <v>708</v>
      </c>
    </row>
    <row r="31" spans="1:44" ht="39" customHeight="1">
      <c r="A31" s="1" t="s">
        <v>91</v>
      </c>
      <c r="B31" s="1" t="s">
        <v>82</v>
      </c>
      <c r="C31" s="8">
        <v>2</v>
      </c>
      <c r="D31" s="141">
        <v>0.85</v>
      </c>
      <c r="E31" s="9">
        <v>0</v>
      </c>
      <c r="F31" s="10">
        <v>1</v>
      </c>
      <c r="G31" s="9"/>
      <c r="H31" s="9"/>
      <c r="I31" s="9"/>
      <c r="J31" s="11">
        <f>'MVP1 Pricing &amp; SKU'!$B$7*D31</f>
        <v>254.15</v>
      </c>
      <c r="K31" s="153">
        <v>707.3</v>
      </c>
      <c r="L31" s="154">
        <f>K31/(1+'Global Inputs'!$B$7)</f>
        <v>599.40677966101691</v>
      </c>
      <c r="M31" s="153">
        <f>IF(G31="",'Global Inputs'!$B$6,G31)</f>
        <v>0</v>
      </c>
      <c r="N31" s="154">
        <f t="shared" si="0"/>
        <v>0</v>
      </c>
      <c r="O31" s="154">
        <f>K31*'Global Inputs'!$B$8+'Global Inputs'!$B$9</f>
        <v>0</v>
      </c>
      <c r="P31" s="153">
        <f>SUM('Global Inputs'!$B$10:$B$14)</f>
        <v>56.5</v>
      </c>
      <c r="Q31" s="154">
        <f t="shared" si="1"/>
        <v>81.255499999999998</v>
      </c>
      <c r="R31" s="154">
        <f t="shared" si="2"/>
        <v>518.15127966101693</v>
      </c>
      <c r="S31" s="142">
        <f t="shared" si="3"/>
        <v>0.86444013855506863</v>
      </c>
      <c r="T31" s="153">
        <f>IF(H31="",'Global Inputs'!$B$15,H31)</f>
        <v>500</v>
      </c>
      <c r="U31" s="153">
        <f>IF(I31="",'Global Inputs'!$B$16,I31)</f>
        <v>149</v>
      </c>
      <c r="V31" s="154">
        <f t="shared" si="4"/>
        <v>649</v>
      </c>
      <c r="W31" s="154">
        <f>V31*'Global Inputs'!$B$8</f>
        <v>0</v>
      </c>
      <c r="X31" s="153">
        <f>'Global Inputs'!$B$18</f>
        <v>10</v>
      </c>
      <c r="Y31" s="154">
        <f>U31/(1+'Global Inputs'!$B$17)-W31-X31</f>
        <v>139</v>
      </c>
      <c r="Z31" s="154">
        <f t="shared" si="5"/>
        <v>1356.3</v>
      </c>
      <c r="AA31" s="154">
        <f t="shared" si="6"/>
        <v>591.25549999999998</v>
      </c>
      <c r="AB31" s="154">
        <f t="shared" si="7"/>
        <v>657.15127966101693</v>
      </c>
      <c r="AC31" s="12">
        <f t="shared" si="8"/>
        <v>139</v>
      </c>
      <c r="AD31" s="142">
        <v>0.87806697844007608</v>
      </c>
      <c r="AE31" s="154">
        <f t="shared" si="9"/>
        <v>259.07563983050846</v>
      </c>
      <c r="AF31" s="154">
        <f t="shared" si="10"/>
        <v>328.57563983050846</v>
      </c>
      <c r="AG31" s="152">
        <f>L31*'NC Credits'!$B$15</f>
        <v>24.755499999999998</v>
      </c>
      <c r="AH31" s="154" t="str">
        <f t="shared" si="11"/>
        <v>AUTO</v>
      </c>
      <c r="AI31" s="152">
        <f t="shared" si="12"/>
        <v>0</v>
      </c>
      <c r="AJ31" s="152">
        <f>'Global Inputs'!$B$33</f>
        <v>103.55029585798816</v>
      </c>
      <c r="AK31" s="152">
        <f t="shared" si="13"/>
        <v>207.10059171597632</v>
      </c>
      <c r="AL31" s="152">
        <f t="shared" si="14"/>
        <v>311.05068794504064</v>
      </c>
      <c r="AM31" s="143">
        <f t="shared" si="15"/>
        <v>0.51893088049646252</v>
      </c>
      <c r="AN31" s="152">
        <f t="shared" si="16"/>
        <v>450.05068794504064</v>
      </c>
      <c r="AO31" s="143">
        <f>IF((L31+U31/(1+'Global Inputs'!$B$17))=0,0,AN31/(L31+U31/(1+'Global Inputs'!$B$17)))</f>
        <v>0.60134501741003255</v>
      </c>
      <c r="AP31" s="152">
        <f t="shared" si="17"/>
        <v>155.52534397252032</v>
      </c>
      <c r="AQ31" s="144">
        <v>4</v>
      </c>
      <c r="AR31" s="145" t="s">
        <v>708</v>
      </c>
    </row>
    <row r="32" spans="1:44" ht="39" customHeight="1">
      <c r="A32" s="1" t="s">
        <v>606</v>
      </c>
      <c r="B32" s="1" t="s">
        <v>82</v>
      </c>
      <c r="C32" s="8">
        <v>24</v>
      </c>
      <c r="D32" s="141">
        <v>2</v>
      </c>
      <c r="E32" s="9">
        <v>2999</v>
      </c>
      <c r="F32" s="10">
        <v>1</v>
      </c>
      <c r="G32" s="9"/>
      <c r="H32" s="9"/>
      <c r="I32" s="9"/>
      <c r="J32" s="11">
        <f>'MVP1 Pricing &amp; SKU'!$B$7*D32</f>
        <v>598</v>
      </c>
      <c r="K32" s="153">
        <v>17550</v>
      </c>
      <c r="L32" s="154">
        <f>K32/(1+'Global Inputs'!$B$7)</f>
        <v>14872.881355932204</v>
      </c>
      <c r="M32" s="153">
        <f>IF(G32="",'Global Inputs'!$B$6,G32)</f>
        <v>0</v>
      </c>
      <c r="N32" s="154">
        <f t="shared" si="0"/>
        <v>0</v>
      </c>
      <c r="O32" s="154">
        <f>K32*'Global Inputs'!$B$8+'Global Inputs'!$B$9</f>
        <v>0</v>
      </c>
      <c r="P32" s="153">
        <f>SUM('Global Inputs'!$B$10:$B$14)</f>
        <v>56.5</v>
      </c>
      <c r="Q32" s="154">
        <f t="shared" si="1"/>
        <v>670.75</v>
      </c>
      <c r="R32" s="154">
        <f t="shared" si="2"/>
        <v>14202.131355932204</v>
      </c>
      <c r="S32" s="142">
        <f t="shared" si="3"/>
        <v>0.95490113960113965</v>
      </c>
      <c r="T32" s="153">
        <f>IF(H32="",'Global Inputs'!$B$15,H32)</f>
        <v>500</v>
      </c>
      <c r="U32" s="153">
        <f>IF(I32="",'Global Inputs'!$B$16,I32)</f>
        <v>149</v>
      </c>
      <c r="V32" s="154">
        <f t="shared" si="4"/>
        <v>649</v>
      </c>
      <c r="W32" s="154">
        <f>V32*'Global Inputs'!$B$8</f>
        <v>0</v>
      </c>
      <c r="X32" s="153">
        <f>'Global Inputs'!$B$18</f>
        <v>10</v>
      </c>
      <c r="Y32" s="154">
        <f>U32/(1+'Global Inputs'!$B$17)-W32-X32</f>
        <v>139</v>
      </c>
      <c r="Z32" s="154">
        <f t="shared" si="5"/>
        <v>18199</v>
      </c>
      <c r="AA32" s="154">
        <f t="shared" si="6"/>
        <v>1180.75</v>
      </c>
      <c r="AB32" s="154">
        <f t="shared" si="7"/>
        <v>14341.131355932204</v>
      </c>
      <c r="AC32" s="12">
        <f t="shared" si="8"/>
        <v>139</v>
      </c>
      <c r="AD32" s="142">
        <v>0.95468277349087372</v>
      </c>
      <c r="AE32" s="154">
        <f t="shared" si="9"/>
        <v>591.75547316384188</v>
      </c>
      <c r="AF32" s="154">
        <f t="shared" si="10"/>
        <v>597.54713983050851</v>
      </c>
      <c r="AG32" s="152">
        <f>L32*'NC Credits'!$B$15</f>
        <v>614.25</v>
      </c>
      <c r="AH32" s="154" t="str">
        <f t="shared" si="11"/>
        <v>MANUAL</v>
      </c>
      <c r="AI32" s="152">
        <f t="shared" si="12"/>
        <v>0</v>
      </c>
      <c r="AJ32" s="152">
        <f>'Global Inputs'!$B$33</f>
        <v>103.55029585798816</v>
      </c>
      <c r="AK32" s="152">
        <f t="shared" si="13"/>
        <v>2485.207100591716</v>
      </c>
      <c r="AL32" s="152">
        <f t="shared" si="14"/>
        <v>11716.924255340487</v>
      </c>
      <c r="AM32" s="143">
        <f t="shared" si="15"/>
        <v>0.78780459380636891</v>
      </c>
      <c r="AN32" s="152">
        <f t="shared" si="16"/>
        <v>11855.924255340487</v>
      </c>
      <c r="AO32" s="143">
        <f>IF((L32+U32/(1+'Global Inputs'!$B$17))=0,0,AN32/(L32+U32/(1+'Global Inputs'!$B$17)))</f>
        <v>0.7892436356288044</v>
      </c>
      <c r="AP32" s="152">
        <f t="shared" si="17"/>
        <v>488.20517730585362</v>
      </c>
      <c r="AQ32" s="144">
        <v>2</v>
      </c>
      <c r="AR32" s="145" t="s">
        <v>709</v>
      </c>
    </row>
    <row r="33" spans="1:44" ht="39" hidden="1" customHeight="1">
      <c r="A33" s="1" t="s">
        <v>92</v>
      </c>
      <c r="B33" s="1" t="s">
        <v>82</v>
      </c>
      <c r="C33" s="8">
        <v>1.5</v>
      </c>
      <c r="D33" s="141">
        <v>0.65</v>
      </c>
      <c r="E33" s="9">
        <v>0</v>
      </c>
      <c r="F33" s="10">
        <v>1</v>
      </c>
      <c r="G33" s="9"/>
      <c r="H33" s="9"/>
      <c r="I33" s="9"/>
      <c r="J33" s="11">
        <f>'MVP1 Pricing &amp; SKU'!$B$7*D33</f>
        <v>194.35</v>
      </c>
      <c r="K33" s="153">
        <v>587.70000000000005</v>
      </c>
      <c r="L33" s="154">
        <f>K33/(1+'Global Inputs'!$B$7)</f>
        <v>498.05084745762719</v>
      </c>
      <c r="M33" s="153">
        <f>IF(G33="",'Global Inputs'!$B$6,G33)</f>
        <v>0</v>
      </c>
      <c r="N33" s="154">
        <f t="shared" si="0"/>
        <v>0</v>
      </c>
      <c r="O33" s="154">
        <f>K33*'Global Inputs'!$B$8+'Global Inputs'!$B$9</f>
        <v>0</v>
      </c>
      <c r="P33" s="153">
        <f>SUM('Global Inputs'!$B$10:$B$14)</f>
        <v>56.5</v>
      </c>
      <c r="Q33" s="154">
        <f t="shared" si="1"/>
        <v>77.069500000000005</v>
      </c>
      <c r="R33" s="154">
        <f t="shared" si="2"/>
        <v>420.98134745762718</v>
      </c>
      <c r="S33" s="142">
        <f t="shared" si="3"/>
        <v>0.84525776756848736</v>
      </c>
      <c r="T33" s="153">
        <f>IF(H33="",'Global Inputs'!$B$15,H33)</f>
        <v>500</v>
      </c>
      <c r="U33" s="153">
        <f>IF(I33="",'Global Inputs'!$B$16,I33)</f>
        <v>149</v>
      </c>
      <c r="V33" s="154">
        <f t="shared" si="4"/>
        <v>649</v>
      </c>
      <c r="W33" s="154">
        <f>V33*'Global Inputs'!$B$8</f>
        <v>0</v>
      </c>
      <c r="X33" s="153">
        <f>'Global Inputs'!$B$18</f>
        <v>10</v>
      </c>
      <c r="Y33" s="154">
        <f>U33/(1+'Global Inputs'!$B$17)-W33-X33</f>
        <v>139</v>
      </c>
      <c r="Z33" s="154">
        <f t="shared" si="5"/>
        <v>1236.7</v>
      </c>
      <c r="AA33" s="154">
        <f t="shared" si="6"/>
        <v>587.06950000000006</v>
      </c>
      <c r="AB33" s="154">
        <f t="shared" si="7"/>
        <v>559.98134745762718</v>
      </c>
      <c r="AC33" s="12">
        <f t="shared" si="8"/>
        <v>139</v>
      </c>
      <c r="AD33" s="142">
        <v>0.86543638673512147</v>
      </c>
      <c r="AE33" s="154">
        <f t="shared" si="9"/>
        <v>280.65423163841814</v>
      </c>
      <c r="AF33" s="154">
        <f t="shared" si="10"/>
        <v>373.32089830508477</v>
      </c>
      <c r="AG33" s="152">
        <f>L33*'NC Credits'!$B$15</f>
        <v>20.569500000000001</v>
      </c>
      <c r="AH33" s="154" t="str">
        <f t="shared" si="11"/>
        <v>AUTO</v>
      </c>
      <c r="AI33" s="152">
        <f t="shared" si="12"/>
        <v>0</v>
      </c>
      <c r="AJ33" s="152">
        <f>'Global Inputs'!$B$33</f>
        <v>103.55029585798816</v>
      </c>
      <c r="AK33" s="152">
        <f t="shared" si="13"/>
        <v>155.32544378698225</v>
      </c>
      <c r="AL33" s="152">
        <f t="shared" si="14"/>
        <v>265.65590367064493</v>
      </c>
      <c r="AM33" s="143">
        <f t="shared" si="15"/>
        <v>0.53339112869042193</v>
      </c>
      <c r="AN33" s="152">
        <f t="shared" si="16"/>
        <v>404.65590367064493</v>
      </c>
      <c r="AO33" s="143">
        <f>IF((L33+U33/(1+'Global Inputs'!$B$17))=0,0,AN33/(L33+U33/(1+'Global Inputs'!$B$17)))</f>
        <v>0.62538501457900375</v>
      </c>
      <c r="AP33" s="152">
        <f t="shared" si="17"/>
        <v>177.10393578042996</v>
      </c>
      <c r="AQ33" s="144">
        <v>4</v>
      </c>
      <c r="AR33" s="145" t="s">
        <v>710</v>
      </c>
    </row>
    <row r="34" spans="1:44" ht="39" hidden="1" customHeight="1">
      <c r="A34" s="1" t="s">
        <v>93</v>
      </c>
      <c r="B34" s="1" t="s">
        <v>79</v>
      </c>
      <c r="C34" s="8">
        <v>3</v>
      </c>
      <c r="D34" s="141">
        <v>0.65</v>
      </c>
      <c r="E34" s="9">
        <v>0</v>
      </c>
      <c r="F34" s="10">
        <v>1</v>
      </c>
      <c r="G34" s="9"/>
      <c r="H34" s="9"/>
      <c r="I34" s="9"/>
      <c r="J34" s="11">
        <f>'MVP1 Pricing &amp; SKU'!$B$7*D34</f>
        <v>194.35</v>
      </c>
      <c r="K34" s="153">
        <v>782.05000000000007</v>
      </c>
      <c r="L34" s="154">
        <f>K34/(1+'Global Inputs'!$B$7)</f>
        <v>662.75423728813564</v>
      </c>
      <c r="M34" s="153">
        <f>IF(G34="",'Global Inputs'!$B$6,G34)</f>
        <v>0</v>
      </c>
      <c r="N34" s="154">
        <f t="shared" si="0"/>
        <v>0</v>
      </c>
      <c r="O34" s="154">
        <f>K34*'Global Inputs'!$B$8+'Global Inputs'!$B$9</f>
        <v>0</v>
      </c>
      <c r="P34" s="153">
        <f>SUM('Global Inputs'!$B$10:$B$14)</f>
        <v>56.5</v>
      </c>
      <c r="Q34" s="154">
        <f t="shared" si="1"/>
        <v>83.871749999999992</v>
      </c>
      <c r="R34" s="154">
        <f t="shared" si="2"/>
        <v>578.88248728813562</v>
      </c>
      <c r="S34" s="142">
        <f t="shared" si="3"/>
        <v>0.87344969631097757</v>
      </c>
      <c r="T34" s="153">
        <f>IF(H34="",'Global Inputs'!$B$15,H34)</f>
        <v>500</v>
      </c>
      <c r="U34" s="153">
        <f>IF(I34="",'Global Inputs'!$B$16,I34)</f>
        <v>149</v>
      </c>
      <c r="V34" s="154">
        <f t="shared" si="4"/>
        <v>649</v>
      </c>
      <c r="W34" s="154">
        <f>V34*'Global Inputs'!$B$8</f>
        <v>0</v>
      </c>
      <c r="X34" s="153">
        <f>'Global Inputs'!$B$18</f>
        <v>10</v>
      </c>
      <c r="Y34" s="154">
        <f>U34/(1+'Global Inputs'!$B$17)-W34-X34</f>
        <v>139</v>
      </c>
      <c r="Z34" s="154">
        <f t="shared" si="5"/>
        <v>1431.0500000000002</v>
      </c>
      <c r="AA34" s="154">
        <f t="shared" si="6"/>
        <v>593.87175000000002</v>
      </c>
      <c r="AB34" s="154">
        <f t="shared" si="7"/>
        <v>717.88248728813562</v>
      </c>
      <c r="AC34" s="12">
        <f t="shared" si="8"/>
        <v>139</v>
      </c>
      <c r="AD34" s="142">
        <v>0.88435939636902705</v>
      </c>
      <c r="AE34" s="154">
        <f t="shared" si="9"/>
        <v>192.96082909604522</v>
      </c>
      <c r="AF34" s="154">
        <f t="shared" si="10"/>
        <v>239.29416242937853</v>
      </c>
      <c r="AG34" s="152">
        <f>L34*'NC Credits'!$B$15</f>
        <v>27.371749999999999</v>
      </c>
      <c r="AH34" s="154" t="str">
        <f t="shared" si="11"/>
        <v>AUTO</v>
      </c>
      <c r="AI34" s="152">
        <f t="shared" si="12"/>
        <v>0</v>
      </c>
      <c r="AJ34" s="152">
        <f>'Global Inputs'!$B$33</f>
        <v>103.55029585798816</v>
      </c>
      <c r="AK34" s="152">
        <f t="shared" si="13"/>
        <v>310.6508875739645</v>
      </c>
      <c r="AL34" s="152">
        <f t="shared" si="14"/>
        <v>268.23159971417113</v>
      </c>
      <c r="AM34" s="143">
        <f t="shared" si="15"/>
        <v>0.40472257229425473</v>
      </c>
      <c r="AN34" s="152">
        <f t="shared" si="16"/>
        <v>407.23159971417113</v>
      </c>
      <c r="AO34" s="143">
        <f>IF((L34+U34/(1+'Global Inputs'!$B$17))=0,0,AN34/(L34+U34/(1+'Global Inputs'!$B$17)))</f>
        <v>0.50166858515531532</v>
      </c>
      <c r="AP34" s="152">
        <f t="shared" si="17"/>
        <v>89.410533238057042</v>
      </c>
      <c r="AQ34" s="144">
        <v>5</v>
      </c>
      <c r="AR34" s="145" t="s">
        <v>711</v>
      </c>
    </row>
  </sheetData>
  <mergeCells count="2">
    <mergeCell ref="A1:AF1"/>
    <mergeCell ref="A2:AF2"/>
  </mergeCells>
  <conditionalFormatting sqref="R5:R34">
    <cfRule type="expression" dxfId="41" priority="1">
      <formula>R5&lt;0</formula>
    </cfRule>
  </conditionalFormatting>
  <conditionalFormatting sqref="AB5:AB34">
    <cfRule type="expression" dxfId="40" priority="2">
      <formula>AB5&lt;0</formula>
    </cfRule>
    <cfRule type="dataBar" priority="3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</cfRule>
    <cfRule type="dataBar" priority="5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{2322BD75-956D-5631-3B41-D83821096D9B}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22BD75-956D-5631-3B41-D83821096D9B}">
            <x14:dataBar>
              <x14:cfvo type="min"/>
              <x14:cfvo type="max"/>
              <x14:negativeFillColor auto="1"/>
              <x14:axisColor auto="1"/>
            </x14:dataBar>
          </x14:cfRule>
          <xm:sqref>AB5:AB34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78"/>
  <sheetViews>
    <sheetView workbookViewId="0">
      <selection sqref="A1:AZ1"/>
    </sheetView>
  </sheetViews>
  <sheetFormatPr baseColWidth="10" defaultColWidth="8.83203125" defaultRowHeight="15"/>
  <cols>
    <col min="1" max="1" width="36" customWidth="1"/>
    <col min="2" max="2" width="22" customWidth="1"/>
    <col min="3" max="3" width="10" customWidth="1"/>
    <col min="4" max="14" width="16" customWidth="1"/>
    <col min="15" max="16" width="14" customWidth="1"/>
    <col min="17" max="17" width="32" customWidth="1"/>
    <col min="18" max="20" width="16" customWidth="1"/>
    <col min="21" max="23" width="14" customWidth="1"/>
    <col min="33" max="36" width="20" customWidth="1"/>
    <col min="37" max="37" width="16" customWidth="1"/>
    <col min="38" max="39" width="20" customWidth="1"/>
  </cols>
  <sheetData>
    <row r="1" spans="1:52" ht="49.75" customHeight="1">
      <c r="A1" s="317" t="s">
        <v>712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  <c r="AW1" s="317"/>
      <c r="AX1" s="317"/>
      <c r="AY1" s="317"/>
      <c r="AZ1" s="317"/>
    </row>
    <row r="2" spans="1:52" ht="49.75" customHeight="1">
      <c r="A2" s="314" t="s">
        <v>713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4"/>
      <c r="V2" s="314"/>
      <c r="W2" s="314"/>
      <c r="X2" s="314"/>
      <c r="Y2" s="314"/>
      <c r="Z2" s="314"/>
      <c r="AA2" s="314"/>
      <c r="AB2" s="314"/>
      <c r="AC2" s="314"/>
      <c r="AD2" s="314"/>
      <c r="AE2" s="314"/>
      <c r="AF2" s="314"/>
      <c r="AG2" s="314"/>
      <c r="AH2" s="314"/>
      <c r="AI2" s="314"/>
      <c r="AJ2" s="314"/>
      <c r="AK2" s="314"/>
      <c r="AL2" s="314"/>
      <c r="AM2" s="314"/>
      <c r="AN2" s="314"/>
      <c r="AO2" s="314"/>
      <c r="AP2" s="314"/>
      <c r="AQ2" s="314"/>
      <c r="AR2" s="314"/>
      <c r="AS2" s="314"/>
      <c r="AT2" s="314"/>
      <c r="AU2" s="314"/>
      <c r="AV2" s="314"/>
      <c r="AW2" s="314"/>
      <c r="AX2" s="314"/>
      <c r="AY2" s="314"/>
      <c r="AZ2" s="314"/>
    </row>
    <row r="4" spans="1:52">
      <c r="A4" s="312" t="s">
        <v>127</v>
      </c>
      <c r="B4" s="312"/>
      <c r="C4" s="312"/>
      <c r="D4" s="312"/>
      <c r="E4" s="312"/>
      <c r="F4" s="312"/>
      <c r="G4" s="312"/>
      <c r="H4" s="312"/>
    </row>
    <row r="5" spans="1:52">
      <c r="A5" t="s">
        <v>714</v>
      </c>
      <c r="B5" s="6" t="e">
        <f>INDEX($A$15:$A$44,MATCH(MAX($AL$15:$AL$44),$AL$15:$AL$44,0))</f>
        <v>#REF!</v>
      </c>
      <c r="C5" t="s">
        <v>715</v>
      </c>
      <c r="D5" s="7" t="e">
        <f>MAX($AL$15:$AL$44)</f>
        <v>#REF!</v>
      </c>
    </row>
    <row r="6" spans="1:52">
      <c r="A6" t="s">
        <v>716</v>
      </c>
      <c r="B6" s="6" t="str">
        <f>INDEX($A$15:$A$44,MATCH(MAX($AM$15:$AM$44),$AM$15:$AM$44,0))</f>
        <v>Medical Tourism — Concierge Package (24 HR Basis)</v>
      </c>
      <c r="C6" t="s">
        <v>7</v>
      </c>
      <c r="D6" s="7">
        <f>MAX($AM$15:$AM$44)</f>
        <v>488.20517730585362</v>
      </c>
    </row>
    <row r="7" spans="1:52">
      <c r="A7" t="s">
        <v>717</v>
      </c>
      <c r="B7" s="6" t="str">
        <f>INDEX($A$15:$A$44,MATCH(MAX($AJ$15:$AJ$44),$AJ$15:$AJ$44,0))</f>
        <v>Hospital Visit</v>
      </c>
      <c r="C7" t="s">
        <v>718</v>
      </c>
      <c r="D7" s="7">
        <f>MAX($AJ$15:$AJ$44)</f>
        <v>5</v>
      </c>
    </row>
    <row r="8" spans="1:52">
      <c r="A8" t="s">
        <v>719</v>
      </c>
      <c r="B8" s="6" t="str">
        <f>INDEX('Service Economics'!$A$5:$A$34,MATCH(MIN('Service Economics'!$AM$5:$AM$34),'Service Economics'!$AM$5:$AM$34,0))</f>
        <v>Medical Records Concierge</v>
      </c>
      <c r="C8" t="s">
        <v>720</v>
      </c>
      <c r="D8" s="143">
        <f>MIN('Service Economics'!$AM$5:$AM$34)</f>
        <v>0.40106518783640721</v>
      </c>
    </row>
    <row r="9" spans="1:52">
      <c r="A9" t="s">
        <v>128</v>
      </c>
      <c r="B9" s="6" t="str">
        <f>IF(AVERAGE($G$15:$G$44)&gt;AVERAGE($F$15:$F$44),"Case 2 primary / Case 1 fallback","Case 1 primary")</f>
        <v>Case 2 primary / Case 1 fallback</v>
      </c>
      <c r="C9" t="s">
        <v>129</v>
      </c>
      <c r="D9" s="17" t="e">
        <f>#REF!</f>
        <v>#REF!</v>
      </c>
    </row>
    <row r="10" spans="1:52">
      <c r="A10" t="s">
        <v>130</v>
      </c>
      <c r="B10" s="6" t="e">
        <f>INDEX($A$51:$A$63,MATCH(MAX($I$51:$I$63),$I$51:$I$63,0))</f>
        <v>#REF!</v>
      </c>
      <c r="C10" s="6" t="s">
        <v>131</v>
      </c>
      <c r="D10" s="6" t="e">
        <f>IF(#REF!&lt;#REF!*0.8,"Low Whitefield demand density / Angel under-utilization",IF(#REF!&gt;4,"Long hospital waiting / journey duration","Transport/payment leakage"))</f>
        <v>#REF!</v>
      </c>
    </row>
    <row r="11" spans="1:52">
      <c r="A11" s="318" t="str">
        <f>"Model insight: "&amp;B6&amp;" currently has the highest modeled contribution per Angel hour. Commercial priority must also consider repeat potential, operational complexity and manual-pricing status; do not treat the top modeled service as an automatic launch recommendation."</f>
        <v>Model insight: Medical Tourism — Concierge Package (24 HR Basis) currently has the highest modeled contribution per Angel hour. Commercial priority must also consider repeat potential, operational complexity and manual-pricing status; do not treat the top modeled service as an automatic launch recommendation.</v>
      </c>
      <c r="B11" s="318"/>
      <c r="C11" s="318"/>
      <c r="D11" s="318"/>
      <c r="E11" s="318"/>
      <c r="F11" s="318"/>
      <c r="G11" s="318"/>
      <c r="H11" s="31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52">
      <c r="A12" s="319"/>
      <c r="B12" s="319"/>
      <c r="C12" s="319"/>
      <c r="D12" s="319"/>
      <c r="E12" s="319"/>
      <c r="F12" s="319"/>
      <c r="G12" s="319"/>
      <c r="H12" s="319"/>
    </row>
    <row r="13" spans="1:52">
      <c r="A13" s="313" t="s">
        <v>721</v>
      </c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  <c r="P13" s="313"/>
      <c r="Q13" s="313"/>
      <c r="R13" s="313"/>
      <c r="S13" s="313"/>
      <c r="T13" s="313"/>
      <c r="U13" s="313"/>
      <c r="V13" s="313"/>
      <c r="W13" s="313"/>
    </row>
    <row r="14" spans="1:52" ht="85.25" customHeight="1">
      <c r="A14" s="23" t="s">
        <v>38</v>
      </c>
      <c r="B14" s="23" t="s">
        <v>39</v>
      </c>
      <c r="C14" s="23" t="s">
        <v>40</v>
      </c>
      <c r="D14" s="23" t="s">
        <v>132</v>
      </c>
      <c r="E14" s="23" t="s">
        <v>133</v>
      </c>
      <c r="F14" s="23" t="s">
        <v>134</v>
      </c>
      <c r="G14" s="23" t="s">
        <v>135</v>
      </c>
      <c r="H14" s="23" t="s">
        <v>136</v>
      </c>
      <c r="I14" s="23" t="s">
        <v>137</v>
      </c>
      <c r="J14" s="23" t="s">
        <v>138</v>
      </c>
      <c r="K14" s="23" t="s">
        <v>139</v>
      </c>
      <c r="L14" s="23" t="s">
        <v>140</v>
      </c>
      <c r="M14" s="23" t="s">
        <v>141</v>
      </c>
      <c r="N14" s="23" t="s">
        <v>142</v>
      </c>
      <c r="O14" s="23" t="s">
        <v>143</v>
      </c>
      <c r="P14" s="23" t="s">
        <v>722</v>
      </c>
      <c r="Q14" s="23" t="s">
        <v>144</v>
      </c>
      <c r="R14" s="23" t="s">
        <v>145</v>
      </c>
      <c r="S14" s="23" t="s">
        <v>146</v>
      </c>
      <c r="T14" s="23" t="s">
        <v>723</v>
      </c>
      <c r="U14" s="23" t="s">
        <v>147</v>
      </c>
      <c r="V14" s="23" t="s">
        <v>41</v>
      </c>
      <c r="W14" s="23" t="s">
        <v>148</v>
      </c>
      <c r="X14" s="24" t="s">
        <v>149</v>
      </c>
      <c r="Y14" s="24" t="s">
        <v>150</v>
      </c>
      <c r="Z14" s="24" t="s">
        <v>151</v>
      </c>
      <c r="AA14" s="24" t="s">
        <v>152</v>
      </c>
      <c r="AB14" s="24" t="s">
        <v>153</v>
      </c>
      <c r="AC14" s="24" t="s">
        <v>154</v>
      </c>
      <c r="AD14" s="24" t="s">
        <v>155</v>
      </c>
      <c r="AE14" s="24" t="s">
        <v>156</v>
      </c>
      <c r="AF14" s="24" t="s">
        <v>157</v>
      </c>
      <c r="AG14" s="148" t="s">
        <v>724</v>
      </c>
      <c r="AH14" s="148" t="s">
        <v>725</v>
      </c>
      <c r="AI14" s="148" t="s">
        <v>680</v>
      </c>
      <c r="AJ14" s="148" t="s">
        <v>681</v>
      </c>
      <c r="AK14" s="148" t="s">
        <v>726</v>
      </c>
      <c r="AL14" s="148" t="s">
        <v>727</v>
      </c>
      <c r="AM14" s="148" t="s">
        <v>728</v>
      </c>
    </row>
    <row r="15" spans="1:52" ht="39" customHeight="1">
      <c r="A15" s="25" t="str">
        <f>'Service Economics'!A5</f>
        <v>Hospital Visit</v>
      </c>
      <c r="B15" s="25" t="str">
        <f>'Service Economics'!B5</f>
        <v>Medical Visit</v>
      </c>
      <c r="C15" s="25">
        <f>'Service Economics'!C5</f>
        <v>4</v>
      </c>
      <c r="D15" s="11">
        <f>'Service Economics'!K5</f>
        <v>1395</v>
      </c>
      <c r="E15" s="12">
        <f t="shared" ref="E15:E44" si="0">IF(C15=0,0,D15/C15)</f>
        <v>348.75</v>
      </c>
      <c r="F15" s="11">
        <f>'Service Economics'!R5</f>
        <v>1076.8783898305085</v>
      </c>
      <c r="G15" s="11">
        <f>'Service Economics'!AB5</f>
        <v>1215.8783898305085</v>
      </c>
      <c r="H15" s="12" t="e">
        <f>#REF!*F15+#REF!*G15-#REF!</f>
        <v>#REF!</v>
      </c>
      <c r="I15" s="13" t="e">
        <f>IF(('Service Economics'!L5+#REF!*'Service Economics'!U5/(1+'Global Inputs'!$B$17))=0,0,H15/('Service Economics'!L5+#REF!*'Service Economics'!U5/(1+'Global Inputs'!$B$17)))</f>
        <v>#REF!</v>
      </c>
      <c r="J15" s="12" t="e">
        <f t="shared" ref="J15:J44" si="1">IF(C15=0,0,H15/C15)</f>
        <v>#REF!</v>
      </c>
      <c r="K15" s="26">
        <v>3</v>
      </c>
      <c r="L15" s="26">
        <v>3</v>
      </c>
      <c r="M15" s="26">
        <v>5</v>
      </c>
      <c r="N15" s="30">
        <v>1.2</v>
      </c>
      <c r="O15" s="31" t="e">
        <f t="shared" ref="O15:O44" si="2">IF(MAX($J$15:$J$44)=0,0,J15/MAX($J$15:$J$44)*100)</f>
        <v>#REF!</v>
      </c>
      <c r="P15" s="31" t="e">
        <f t="shared" ref="P15:P44" si="3">(IF(MAX($J$15:$J$44)=0,0,J15/MAX($J$15:$J$44))*0.45+K15/5*0.2+(6-L15)/5*0.15+(6-M15)/5*0.1+N15/1.5*0.1)*100</f>
        <v>#REF!</v>
      </c>
      <c r="Q15" s="27" t="e">
        <f t="shared" ref="Q15:Q44" si="4">IF(H15&lt;=0,"REVIEW — Economics need improvement",IF(AND(J15&gt;=AVERAGE($J$15:$J$44)*1.15,K15&gt;=4,L15&lt;=3),"CORE — Push aggressively",IF(J15&gt;=AVERAGE($J$15:$J$44),"GROW — Attractive economics",IF(K15&gt;=4,"STRATEGIC — Important but lower margin","REVIEW — Economics need improvement"))))</f>
        <v>#REF!</v>
      </c>
      <c r="R15" s="32" t="e">
        <f>#REF!</f>
        <v>#REF!</v>
      </c>
      <c r="S15" s="27" t="e">
        <f t="shared" ref="S15:S44" si="5">MAX(J15,0)^3*(0.5+K15/10)*(0.5+(6-L15)/10)*N15</f>
        <v>#REF!</v>
      </c>
      <c r="T15" s="13" t="e">
        <f t="shared" ref="T15:T44" si="6">IF(SUM($S$15:$S$44)=0,R15,0.2*R15+0.8*S15/SUM($S$15:$S$44))</f>
        <v>#REF!</v>
      </c>
      <c r="U15" s="26" t="s">
        <v>158</v>
      </c>
      <c r="V15" s="1">
        <f>'Service Economics'!D5</f>
        <v>1</v>
      </c>
      <c r="W15" s="33">
        <f>'Service Economics'!E5</f>
        <v>0</v>
      </c>
      <c r="X15">
        <f t="shared" ref="X15:X44" si="7">IF(U15="Yes",J15,0)</f>
        <v>0</v>
      </c>
      <c r="Y15" t="e">
        <f t="shared" ref="Y15:Y44" si="8">R15*C15*V15</f>
        <v>#REF!</v>
      </c>
      <c r="Z15" t="e">
        <f>R15*C15*'Service Economics'!F5</f>
        <v>#REF!</v>
      </c>
      <c r="AA15">
        <f>MAX(C15,$C$53)*'Global Inputs'!$B$5*V15+W15</f>
        <v>1196</v>
      </c>
      <c r="AB15">
        <f>MAX(C15,'Global Inputs'!$B$22)*'Global Inputs'!$B$5*V15*$C$54+W15</f>
        <v>1076.4000000000001</v>
      </c>
      <c r="AC15" t="e">
        <f>D15+#REF!*'Service Economics'!V5</f>
        <v>#REF!</v>
      </c>
      <c r="AD15" t="e">
        <f t="shared" ref="AD15:AD44" si="9">T15*AC15</f>
        <v>#REF!</v>
      </c>
      <c r="AE15" t="e">
        <f t="shared" ref="AE15:AE44" si="10">T15*H15</f>
        <v>#REF!</v>
      </c>
      <c r="AF15" t="e">
        <f t="shared" ref="AF15:AF44" si="11">T15*C15</f>
        <v>#REF!</v>
      </c>
      <c r="AG15" s="7">
        <f>'Service Economics'!AL5</f>
        <v>662.67720639855588</v>
      </c>
      <c r="AH15" s="7">
        <f>'Service Economics'!AN5</f>
        <v>801.67720639855588</v>
      </c>
      <c r="AI15" s="7">
        <f>'Service Economics'!AP5</f>
        <v>165.66930159963897</v>
      </c>
      <c r="AJ15" s="135">
        <f>'Service Economics'!AQ5</f>
        <v>5</v>
      </c>
      <c r="AK15" s="6" t="e">
        <f>#REF!</f>
        <v>#REF!</v>
      </c>
      <c r="AL15" s="7" t="e">
        <f>IF(ISNUMBER(SEARCH("Future",'Service Economics'!AH5)),-1000000000,AG15*(1-#REF!)+AH15*#REF!)</f>
        <v>#REF!</v>
      </c>
      <c r="AM15" s="7">
        <f>IF(ISNUMBER(SEARCH("Future",'Service Economics'!AH5)),-1000000000,AI15)</f>
        <v>165.66930159963897</v>
      </c>
    </row>
    <row r="16" spans="1:52" ht="39" customHeight="1">
      <c r="A16" s="25" t="str">
        <f>'Service Economics'!A6</f>
        <v>Hospital Visit — Concierge at Hospital</v>
      </c>
      <c r="B16" s="25" t="str">
        <f>'Service Economics'!B6</f>
        <v>Medical Visit</v>
      </c>
      <c r="C16" s="25">
        <f>'Service Economics'!C6</f>
        <v>3</v>
      </c>
      <c r="D16" s="11">
        <f>'Service Economics'!K6</f>
        <v>916.6</v>
      </c>
      <c r="E16" s="12">
        <f t="shared" si="0"/>
        <v>305.53333333333336</v>
      </c>
      <c r="F16" s="11">
        <f>'Service Economics'!R6</f>
        <v>688.19866101694925</v>
      </c>
      <c r="G16" s="11">
        <f>'Service Economics'!AB6</f>
        <v>827.19866101694925</v>
      </c>
      <c r="H16" s="12" t="e">
        <f>#REF!*F16+#REF!*G16-#REF!</f>
        <v>#REF!</v>
      </c>
      <c r="I16" s="13" t="e">
        <f>IF(('Service Economics'!L6+#REF!*'Service Economics'!U6/(1+'Global Inputs'!$B$17))=0,0,H16/('Service Economics'!L6+#REF!*'Service Economics'!U6/(1+'Global Inputs'!$B$17)))</f>
        <v>#REF!</v>
      </c>
      <c r="J16" s="12" t="e">
        <f t="shared" si="1"/>
        <v>#REF!</v>
      </c>
      <c r="K16" s="26">
        <v>3</v>
      </c>
      <c r="L16" s="26">
        <v>2</v>
      </c>
      <c r="M16" s="26">
        <v>4</v>
      </c>
      <c r="N16" s="30">
        <v>1</v>
      </c>
      <c r="O16" s="31" t="e">
        <f t="shared" si="2"/>
        <v>#REF!</v>
      </c>
      <c r="P16" s="31" t="e">
        <f t="shared" si="3"/>
        <v>#REF!</v>
      </c>
      <c r="Q16" s="27" t="e">
        <f t="shared" si="4"/>
        <v>#REF!</v>
      </c>
      <c r="R16" s="32" t="e">
        <f>#REF!</f>
        <v>#REF!</v>
      </c>
      <c r="S16" s="27" t="e">
        <f t="shared" si="5"/>
        <v>#REF!</v>
      </c>
      <c r="T16" s="13" t="e">
        <f t="shared" si="6"/>
        <v>#REF!</v>
      </c>
      <c r="U16" s="26" t="s">
        <v>158</v>
      </c>
      <c r="V16" s="1">
        <f>'Service Economics'!D6</f>
        <v>0.8</v>
      </c>
      <c r="W16" s="33">
        <f>'Service Economics'!E6</f>
        <v>0</v>
      </c>
      <c r="X16">
        <f t="shared" si="7"/>
        <v>0</v>
      </c>
      <c r="Y16" t="e">
        <f t="shared" si="8"/>
        <v>#REF!</v>
      </c>
      <c r="Z16" t="e">
        <f>R16*C16*'Service Economics'!F6</f>
        <v>#REF!</v>
      </c>
      <c r="AA16">
        <f>MAX(C16,$C$53)*'Global Inputs'!$B$5*V16+W16</f>
        <v>717.6</v>
      </c>
      <c r="AB16">
        <f>MAX(C16,'Global Inputs'!$B$22)*'Global Inputs'!$B$5*V16*$C$54+W16</f>
        <v>645.84</v>
      </c>
      <c r="AC16" t="e">
        <f>D16+#REF!*'Service Economics'!V6</f>
        <v>#REF!</v>
      </c>
      <c r="AD16" t="e">
        <f t="shared" si="9"/>
        <v>#REF!</v>
      </c>
      <c r="AE16" t="e">
        <f t="shared" si="10"/>
        <v>#REF!</v>
      </c>
      <c r="AF16" t="e">
        <f t="shared" si="11"/>
        <v>#REF!</v>
      </c>
      <c r="AG16" s="7">
        <f>'Service Economics'!AL6</f>
        <v>377.54777344298475</v>
      </c>
      <c r="AH16" s="7">
        <f>'Service Economics'!AN6</f>
        <v>516.54777344298475</v>
      </c>
      <c r="AI16" s="7">
        <f>'Service Economics'!AP6</f>
        <v>125.84925781432825</v>
      </c>
      <c r="AJ16" s="135">
        <f>'Service Economics'!AQ6</f>
        <v>4</v>
      </c>
      <c r="AK16" s="6" t="e">
        <f>#REF!</f>
        <v>#REF!</v>
      </c>
      <c r="AL16" s="7" t="e">
        <f>IF(ISNUMBER(SEARCH("Future",'Service Economics'!AH6)),-1000000000,AG16*(1-#REF!)+AH16*#REF!)</f>
        <v>#REF!</v>
      </c>
      <c r="AM16" s="7">
        <f>IF(ISNUMBER(SEARCH("Future",'Service Economics'!AH6)),-1000000000,AI16)</f>
        <v>125.84925781432825</v>
      </c>
    </row>
    <row r="17" spans="1:39" ht="39" customHeight="1">
      <c r="A17" s="25" t="str">
        <f>'Service Economics'!A7</f>
        <v>Clinic Visit</v>
      </c>
      <c r="B17" s="25" t="str">
        <f>'Service Economics'!B7</f>
        <v>Medical Visit</v>
      </c>
      <c r="C17" s="25">
        <f>'Service Economics'!C7</f>
        <v>2</v>
      </c>
      <c r="D17" s="11">
        <f>'Service Economics'!K7</f>
        <v>737.2</v>
      </c>
      <c r="E17" s="12">
        <f t="shared" si="0"/>
        <v>368.6</v>
      </c>
      <c r="F17" s="11">
        <f>'Service Economics'!R7</f>
        <v>542.44376271186445</v>
      </c>
      <c r="G17" s="11">
        <f>'Service Economics'!AB7</f>
        <v>681.44376271186445</v>
      </c>
      <c r="H17" s="12" t="e">
        <f>#REF!*F17+#REF!*G17-#REF!</f>
        <v>#REF!</v>
      </c>
      <c r="I17" s="13" t="e">
        <f>IF(('Service Economics'!L7+#REF!*'Service Economics'!U7/(1+'Global Inputs'!$B$17))=0,0,H17/('Service Economics'!L7+#REF!*'Service Economics'!U7/(1+'Global Inputs'!$B$17)))</f>
        <v>#REF!</v>
      </c>
      <c r="J17" s="12" t="e">
        <f t="shared" si="1"/>
        <v>#REF!</v>
      </c>
      <c r="K17" s="26">
        <v>3</v>
      </c>
      <c r="L17" s="26">
        <v>2</v>
      </c>
      <c r="M17" s="26">
        <v>4</v>
      </c>
      <c r="N17" s="30">
        <v>1</v>
      </c>
      <c r="O17" s="31" t="e">
        <f t="shared" si="2"/>
        <v>#REF!</v>
      </c>
      <c r="P17" s="31" t="e">
        <f t="shared" si="3"/>
        <v>#REF!</v>
      </c>
      <c r="Q17" s="27" t="e">
        <f t="shared" si="4"/>
        <v>#REF!</v>
      </c>
      <c r="R17" s="32" t="e">
        <f>#REF!</f>
        <v>#REF!</v>
      </c>
      <c r="S17" s="27" t="e">
        <f t="shared" si="5"/>
        <v>#REF!</v>
      </c>
      <c r="T17" s="13" t="e">
        <f t="shared" si="6"/>
        <v>#REF!</v>
      </c>
      <c r="U17" s="26" t="s">
        <v>158</v>
      </c>
      <c r="V17" s="1">
        <f>'Service Economics'!D7</f>
        <v>0.9</v>
      </c>
      <c r="W17" s="33">
        <f>'Service Economics'!E7</f>
        <v>0</v>
      </c>
      <c r="X17">
        <f t="shared" si="7"/>
        <v>0</v>
      </c>
      <c r="Y17" t="e">
        <f t="shared" si="8"/>
        <v>#REF!</v>
      </c>
      <c r="Z17" t="e">
        <f>R17*C17*'Service Economics'!F7</f>
        <v>#REF!</v>
      </c>
      <c r="AA17">
        <f>MAX(C17,$C$53)*'Global Inputs'!$B$5*V17+W17</f>
        <v>807.30000000000007</v>
      </c>
      <c r="AB17">
        <f>MAX(C17,'Global Inputs'!$B$22)*'Global Inputs'!$B$5*V17*$C$54+W17</f>
        <v>484.38000000000005</v>
      </c>
      <c r="AC17" t="e">
        <f>D17+#REF!*'Service Economics'!V7</f>
        <v>#REF!</v>
      </c>
      <c r="AD17" t="e">
        <f t="shared" si="9"/>
        <v>#REF!</v>
      </c>
      <c r="AE17" t="e">
        <f t="shared" si="10"/>
        <v>#REF!</v>
      </c>
      <c r="AF17" t="e">
        <f t="shared" si="11"/>
        <v>#REF!</v>
      </c>
      <c r="AG17" s="7">
        <f>'Service Economics'!AL7</f>
        <v>335.34317099588816</v>
      </c>
      <c r="AH17" s="7">
        <f>'Service Economics'!AN7</f>
        <v>474.34317099588816</v>
      </c>
      <c r="AI17" s="7">
        <f>'Service Economics'!AP7</f>
        <v>167.67158549794408</v>
      </c>
      <c r="AJ17" s="135">
        <f>'Service Economics'!AQ7</f>
        <v>4</v>
      </c>
      <c r="AK17" s="6" t="e">
        <f>#REF!</f>
        <v>#REF!</v>
      </c>
      <c r="AL17" s="7" t="e">
        <f>IF(ISNUMBER(SEARCH("Future",'Service Economics'!AH7)),-1000000000,AG17*(1-#REF!)+AH17*#REF!)</f>
        <v>#REF!</v>
      </c>
      <c r="AM17" s="7">
        <f>IF(ISNUMBER(SEARCH("Future",'Service Economics'!AH7)),-1000000000,AI17)</f>
        <v>167.67158549794408</v>
      </c>
    </row>
    <row r="18" spans="1:39" ht="39" customHeight="1">
      <c r="A18" s="25" t="str">
        <f>'Service Economics'!A8</f>
        <v>Diagnostic Center Visit</v>
      </c>
      <c r="B18" s="25" t="str">
        <f>'Service Economics'!B8</f>
        <v>Medical Visit</v>
      </c>
      <c r="C18" s="25">
        <f>'Service Economics'!C8</f>
        <v>3</v>
      </c>
      <c r="D18" s="11">
        <f>'Service Economics'!K8</f>
        <v>961.44999999999993</v>
      </c>
      <c r="E18" s="12">
        <f t="shared" si="0"/>
        <v>320.48333333333329</v>
      </c>
      <c r="F18" s="11">
        <f>'Service Economics'!R8</f>
        <v>724.6373855932203</v>
      </c>
      <c r="G18" s="11">
        <f>'Service Economics'!AB8</f>
        <v>863.6373855932203</v>
      </c>
      <c r="H18" s="12" t="e">
        <f>#REF!*F18+#REF!*G18-#REF!</f>
        <v>#REF!</v>
      </c>
      <c r="I18" s="13" t="e">
        <f>IF(('Service Economics'!L8+#REF!*'Service Economics'!U8/(1+'Global Inputs'!$B$17))=0,0,H18/('Service Economics'!L8+#REF!*'Service Economics'!U8/(1+'Global Inputs'!$B$17)))</f>
        <v>#REF!</v>
      </c>
      <c r="J18" s="12" t="e">
        <f t="shared" si="1"/>
        <v>#REF!</v>
      </c>
      <c r="K18" s="26">
        <v>3</v>
      </c>
      <c r="L18" s="26">
        <v>2</v>
      </c>
      <c r="M18" s="26">
        <v>4</v>
      </c>
      <c r="N18" s="30">
        <v>1</v>
      </c>
      <c r="O18" s="31" t="e">
        <f t="shared" si="2"/>
        <v>#REF!</v>
      </c>
      <c r="P18" s="31" t="e">
        <f t="shared" si="3"/>
        <v>#REF!</v>
      </c>
      <c r="Q18" s="27" t="e">
        <f t="shared" si="4"/>
        <v>#REF!</v>
      </c>
      <c r="R18" s="32" t="e">
        <f>#REF!</f>
        <v>#REF!</v>
      </c>
      <c r="S18" s="27" t="e">
        <f t="shared" si="5"/>
        <v>#REF!</v>
      </c>
      <c r="T18" s="13" t="e">
        <f t="shared" si="6"/>
        <v>#REF!</v>
      </c>
      <c r="U18" s="26" t="s">
        <v>158</v>
      </c>
      <c r="V18" s="1">
        <f>'Service Economics'!D8</f>
        <v>0.85</v>
      </c>
      <c r="W18" s="33">
        <f>'Service Economics'!E8</f>
        <v>0</v>
      </c>
      <c r="X18">
        <f t="shared" si="7"/>
        <v>0</v>
      </c>
      <c r="Y18" t="e">
        <f t="shared" si="8"/>
        <v>#REF!</v>
      </c>
      <c r="Z18" t="e">
        <f>R18*C18*'Service Economics'!F8</f>
        <v>#REF!</v>
      </c>
      <c r="AA18">
        <f>MAX(C18,$C$53)*'Global Inputs'!$B$5*V18+W18</f>
        <v>762.44999999999993</v>
      </c>
      <c r="AB18">
        <f>MAX(C18,'Global Inputs'!$B$22)*'Global Inputs'!$B$5*V18*$C$54+W18</f>
        <v>686.20499999999993</v>
      </c>
      <c r="AC18" t="e">
        <f>D18+#REF!*'Service Economics'!V8</f>
        <v>#REF!</v>
      </c>
      <c r="AD18" t="e">
        <f t="shared" si="9"/>
        <v>#REF!</v>
      </c>
      <c r="AE18" t="e">
        <f t="shared" si="10"/>
        <v>#REF!</v>
      </c>
      <c r="AF18" t="e">
        <f t="shared" si="11"/>
        <v>#REF!</v>
      </c>
      <c r="AG18" s="7">
        <f>'Service Economics'!AL8</f>
        <v>413.98649801925581</v>
      </c>
      <c r="AH18" s="7">
        <f>'Service Economics'!AN8</f>
        <v>552.98649801925581</v>
      </c>
      <c r="AI18" s="7">
        <f>'Service Economics'!AP8</f>
        <v>137.99549933975194</v>
      </c>
      <c r="AJ18" s="135">
        <f>'Service Economics'!AQ8</f>
        <v>4</v>
      </c>
      <c r="AK18" s="6" t="e">
        <f>#REF!</f>
        <v>#REF!</v>
      </c>
      <c r="AL18" s="7" t="e">
        <f>IF(ISNUMBER(SEARCH("Future",'Service Economics'!AH8)),-1000000000,AG18*(1-#REF!)+AH18*#REF!)</f>
        <v>#REF!</v>
      </c>
      <c r="AM18" s="7">
        <f>IF(ISNUMBER(SEARCH("Future",'Service Economics'!AH8)),-1000000000,AI18)</f>
        <v>137.99549933975194</v>
      </c>
    </row>
    <row r="19" spans="1:39" ht="39" customHeight="1">
      <c r="A19" s="25" t="str">
        <f>'Service Economics'!A9</f>
        <v>Health Check-up Concierge</v>
      </c>
      <c r="B19" s="25" t="str">
        <f>'Service Economics'!B9</f>
        <v>Medical Visit</v>
      </c>
      <c r="C19" s="25">
        <f>'Service Economics'!C9</f>
        <v>5</v>
      </c>
      <c r="D19" s="11">
        <f>'Service Economics'!K9</f>
        <v>1544.5</v>
      </c>
      <c r="E19" s="12">
        <f t="shared" si="0"/>
        <v>308.89999999999998</v>
      </c>
      <c r="F19" s="11">
        <f>'Service Economics'!R9</f>
        <v>1198.3408050847456</v>
      </c>
      <c r="G19" s="11">
        <f>'Service Economics'!AB9</f>
        <v>1337.3408050847456</v>
      </c>
      <c r="H19" s="12" t="e">
        <f>#REF!*F19+#REF!*G19-#REF!</f>
        <v>#REF!</v>
      </c>
      <c r="I19" s="13" t="e">
        <f>IF(('Service Economics'!L9+#REF!*'Service Economics'!U9/(1+'Global Inputs'!$B$17))=0,0,H19/('Service Economics'!L9+#REF!*'Service Economics'!U9/(1+'Global Inputs'!$B$17)))</f>
        <v>#REF!</v>
      </c>
      <c r="J19" s="12" t="e">
        <f t="shared" si="1"/>
        <v>#REF!</v>
      </c>
      <c r="K19" s="26">
        <v>2</v>
      </c>
      <c r="L19" s="26">
        <v>3</v>
      </c>
      <c r="M19" s="26">
        <v>4</v>
      </c>
      <c r="N19" s="30">
        <v>0.9</v>
      </c>
      <c r="O19" s="31" t="e">
        <f t="shared" si="2"/>
        <v>#REF!</v>
      </c>
      <c r="P19" s="31" t="e">
        <f t="shared" si="3"/>
        <v>#REF!</v>
      </c>
      <c r="Q19" s="27" t="e">
        <f t="shared" si="4"/>
        <v>#REF!</v>
      </c>
      <c r="R19" s="32" t="e">
        <f>#REF!</f>
        <v>#REF!</v>
      </c>
      <c r="S19" s="27" t="e">
        <f t="shared" si="5"/>
        <v>#REF!</v>
      </c>
      <c r="T19" s="13" t="e">
        <f t="shared" si="6"/>
        <v>#REF!</v>
      </c>
      <c r="U19" s="26" t="s">
        <v>158</v>
      </c>
      <c r="V19" s="1">
        <f>'Service Economics'!D9</f>
        <v>0.9</v>
      </c>
      <c r="W19" s="33">
        <f>'Service Economics'!E9</f>
        <v>0</v>
      </c>
      <c r="X19">
        <f t="shared" si="7"/>
        <v>0</v>
      </c>
      <c r="Y19" t="e">
        <f t="shared" si="8"/>
        <v>#REF!</v>
      </c>
      <c r="Z19" t="e">
        <f>R19*C19*'Service Economics'!F9</f>
        <v>#REF!</v>
      </c>
      <c r="AA19">
        <f>MAX(C19,$C$53)*'Global Inputs'!$B$5*V19+W19</f>
        <v>1345.5</v>
      </c>
      <c r="AB19">
        <f>MAX(C19,'Global Inputs'!$B$22)*'Global Inputs'!$B$5*V19*$C$54+W19</f>
        <v>1210.95</v>
      </c>
      <c r="AC19" t="e">
        <f>D19+#REF!*'Service Economics'!V9</f>
        <v>#REF!</v>
      </c>
      <c r="AD19" t="e">
        <f t="shared" si="9"/>
        <v>#REF!</v>
      </c>
      <c r="AE19" t="e">
        <f t="shared" si="10"/>
        <v>#REF!</v>
      </c>
      <c r="AF19" t="e">
        <f t="shared" si="11"/>
        <v>#REF!</v>
      </c>
      <c r="AG19" s="7">
        <f>'Service Economics'!AL9</f>
        <v>680.58932579480484</v>
      </c>
      <c r="AH19" s="7">
        <f>'Service Economics'!AN9</f>
        <v>819.58932579480484</v>
      </c>
      <c r="AI19" s="7">
        <f>'Service Economics'!AP9</f>
        <v>136.11786515896097</v>
      </c>
      <c r="AJ19" s="135">
        <f>'Service Economics'!AQ9</f>
        <v>3</v>
      </c>
      <c r="AK19" s="6" t="e">
        <f>#REF!</f>
        <v>#REF!</v>
      </c>
      <c r="AL19" s="7" t="e">
        <f>IF(ISNUMBER(SEARCH("Future",'Service Economics'!AH9)),-1000000000,AG19*(1-#REF!)+AH19*#REF!)</f>
        <v>#REF!</v>
      </c>
      <c r="AM19" s="7">
        <f>IF(ISNUMBER(SEARCH("Future",'Service Economics'!AH9)),-1000000000,AI19)</f>
        <v>136.11786515896097</v>
      </c>
    </row>
    <row r="20" spans="1:39" ht="39" customHeight="1">
      <c r="A20" s="25" t="str">
        <f>'Service Economics'!A10</f>
        <v>Hospital Admission Concierge</v>
      </c>
      <c r="B20" s="25" t="str">
        <f>'Service Economics'!B10</f>
        <v>Hospital Support</v>
      </c>
      <c r="C20" s="25">
        <f>'Service Economics'!C10</f>
        <v>4</v>
      </c>
      <c r="D20" s="11">
        <f>'Service Economics'!K10</f>
        <v>1574.3999999999999</v>
      </c>
      <c r="E20" s="12">
        <f t="shared" si="0"/>
        <v>393.59999999999997</v>
      </c>
      <c r="F20" s="11">
        <f>'Service Economics'!R10</f>
        <v>1222.6332881355931</v>
      </c>
      <c r="G20" s="11">
        <f>'Service Economics'!AB10</f>
        <v>1361.6332881355931</v>
      </c>
      <c r="H20" s="12" t="e">
        <f>#REF!*F20+#REF!*G20-#REF!</f>
        <v>#REF!</v>
      </c>
      <c r="I20" s="13" t="e">
        <f>IF(('Service Economics'!L10+#REF!*'Service Economics'!U10/(1+'Global Inputs'!$B$17))=0,0,H20/('Service Economics'!L10+#REF!*'Service Economics'!U10/(1+'Global Inputs'!$B$17)))</f>
        <v>#REF!</v>
      </c>
      <c r="J20" s="12" t="e">
        <f t="shared" si="1"/>
        <v>#REF!</v>
      </c>
      <c r="K20" s="26">
        <v>2</v>
      </c>
      <c r="L20" s="26">
        <v>4</v>
      </c>
      <c r="M20" s="26">
        <v>4</v>
      </c>
      <c r="N20" s="30">
        <v>1.1000000000000001</v>
      </c>
      <c r="O20" s="31" t="e">
        <f t="shared" si="2"/>
        <v>#REF!</v>
      </c>
      <c r="P20" s="31" t="e">
        <f t="shared" si="3"/>
        <v>#REF!</v>
      </c>
      <c r="Q20" s="27" t="e">
        <f t="shared" si="4"/>
        <v>#REF!</v>
      </c>
      <c r="R20" s="32" t="e">
        <f>#REF!</f>
        <v>#REF!</v>
      </c>
      <c r="S20" s="27" t="e">
        <f t="shared" si="5"/>
        <v>#REF!</v>
      </c>
      <c r="T20" s="13" t="e">
        <f t="shared" si="6"/>
        <v>#REF!</v>
      </c>
      <c r="U20" s="26" t="s">
        <v>158</v>
      </c>
      <c r="V20" s="1">
        <f>'Service Economics'!D10</f>
        <v>1.1499999999999999</v>
      </c>
      <c r="W20" s="33">
        <f>'Service Economics'!E10</f>
        <v>0</v>
      </c>
      <c r="X20">
        <f t="shared" si="7"/>
        <v>0</v>
      </c>
      <c r="Y20" t="e">
        <f t="shared" si="8"/>
        <v>#REF!</v>
      </c>
      <c r="Z20" t="e">
        <f>R20*C20*'Service Economics'!F10</f>
        <v>#REF!</v>
      </c>
      <c r="AA20">
        <f>MAX(C20,$C$53)*'Global Inputs'!$B$5*V20+W20</f>
        <v>1375.3999999999999</v>
      </c>
      <c r="AB20">
        <f>MAX(C20,'Global Inputs'!$B$22)*'Global Inputs'!$B$5*V20*$C$54+W20</f>
        <v>1237.8599999999999</v>
      </c>
      <c r="AC20" t="e">
        <f>D20+#REF!*'Service Economics'!V10</f>
        <v>#REF!</v>
      </c>
      <c r="AD20" t="e">
        <f t="shared" si="9"/>
        <v>#REF!</v>
      </c>
      <c r="AE20" t="e">
        <f t="shared" si="10"/>
        <v>#REF!</v>
      </c>
      <c r="AF20" t="e">
        <f t="shared" si="11"/>
        <v>#REF!</v>
      </c>
      <c r="AG20" s="7">
        <f>'Service Economics'!AL10</f>
        <v>808.43210470364056</v>
      </c>
      <c r="AH20" s="7">
        <f>'Service Economics'!AN10</f>
        <v>947.43210470364056</v>
      </c>
      <c r="AI20" s="7">
        <f>'Service Economics'!AP10</f>
        <v>202.10802617591014</v>
      </c>
      <c r="AJ20" s="135">
        <f>'Service Economics'!AQ10</f>
        <v>3</v>
      </c>
      <c r="AK20" s="6" t="e">
        <f>#REF!</f>
        <v>#REF!</v>
      </c>
      <c r="AL20" s="7" t="e">
        <f>IF(ISNUMBER(SEARCH("Future",'Service Economics'!AH10)),-1000000000,AG20*(1-#REF!)+AH20*#REF!)</f>
        <v>#REF!</v>
      </c>
      <c r="AM20" s="7">
        <f>IF(ISNUMBER(SEARCH("Future",'Service Economics'!AH10)),-1000000000,AI20)</f>
        <v>202.10802617591014</v>
      </c>
    </row>
    <row r="21" spans="1:39" ht="39" customHeight="1">
      <c r="A21" s="25" t="str">
        <f>'Service Economics'!A11</f>
        <v>Hospital Discharge Concierge</v>
      </c>
      <c r="B21" s="25" t="str">
        <f>'Service Economics'!B11</f>
        <v>Hospital Support</v>
      </c>
      <c r="C21" s="25">
        <f>'Service Economics'!C11</f>
        <v>4</v>
      </c>
      <c r="D21" s="11">
        <f>'Service Economics'!K11</f>
        <v>1514.6000000000001</v>
      </c>
      <c r="E21" s="12">
        <f t="shared" si="0"/>
        <v>378.65000000000003</v>
      </c>
      <c r="F21" s="11">
        <f>'Service Economics'!R11</f>
        <v>1174.0483220338986</v>
      </c>
      <c r="G21" s="11">
        <f>'Service Economics'!AB11</f>
        <v>1313.0483220338986</v>
      </c>
      <c r="H21" s="12" t="e">
        <f>#REF!*F21+#REF!*G21-#REF!</f>
        <v>#REF!</v>
      </c>
      <c r="I21" s="13" t="e">
        <f>IF(('Service Economics'!L11+#REF!*'Service Economics'!U11/(1+'Global Inputs'!$B$17))=0,0,H21/('Service Economics'!L11+#REF!*'Service Economics'!U11/(1+'Global Inputs'!$B$17)))</f>
        <v>#REF!</v>
      </c>
      <c r="J21" s="12" t="e">
        <f t="shared" si="1"/>
        <v>#REF!</v>
      </c>
      <c r="K21" s="26">
        <v>2</v>
      </c>
      <c r="L21" s="26">
        <v>4</v>
      </c>
      <c r="M21" s="26">
        <v>4</v>
      </c>
      <c r="N21" s="30">
        <v>1.1000000000000001</v>
      </c>
      <c r="O21" s="31" t="e">
        <f t="shared" si="2"/>
        <v>#REF!</v>
      </c>
      <c r="P21" s="31" t="e">
        <f t="shared" si="3"/>
        <v>#REF!</v>
      </c>
      <c r="Q21" s="27" t="e">
        <f t="shared" si="4"/>
        <v>#REF!</v>
      </c>
      <c r="R21" s="32" t="e">
        <f>#REF!</f>
        <v>#REF!</v>
      </c>
      <c r="S21" s="27" t="e">
        <f t="shared" si="5"/>
        <v>#REF!</v>
      </c>
      <c r="T21" s="13" t="e">
        <f t="shared" si="6"/>
        <v>#REF!</v>
      </c>
      <c r="U21" s="26" t="s">
        <v>158</v>
      </c>
      <c r="V21" s="1">
        <f>'Service Economics'!D11</f>
        <v>1.1000000000000001</v>
      </c>
      <c r="W21" s="33">
        <f>'Service Economics'!E11</f>
        <v>0</v>
      </c>
      <c r="X21">
        <f t="shared" si="7"/>
        <v>0</v>
      </c>
      <c r="Y21" t="e">
        <f t="shared" si="8"/>
        <v>#REF!</v>
      </c>
      <c r="Z21" t="e">
        <f>R21*C21*'Service Economics'!F11</f>
        <v>#REF!</v>
      </c>
      <c r="AA21">
        <f>MAX(C21,$C$53)*'Global Inputs'!$B$5*V21+W21</f>
        <v>1315.6000000000001</v>
      </c>
      <c r="AB21">
        <f>MAX(C21,'Global Inputs'!$B$22)*'Global Inputs'!$B$5*V21*$C$54+W21</f>
        <v>1184.0400000000002</v>
      </c>
      <c r="AC21" t="e">
        <f>D21+#REF!*'Service Economics'!V11</f>
        <v>#REF!</v>
      </c>
      <c r="AD21" t="e">
        <f t="shared" si="9"/>
        <v>#REF!</v>
      </c>
      <c r="AE21" t="e">
        <f t="shared" si="10"/>
        <v>#REF!</v>
      </c>
      <c r="AF21" t="e">
        <f t="shared" si="11"/>
        <v>#REF!</v>
      </c>
      <c r="AG21" s="7">
        <f>'Service Economics'!AL11</f>
        <v>759.84713860194597</v>
      </c>
      <c r="AH21" s="7">
        <f>'Service Economics'!AN11</f>
        <v>898.84713860194597</v>
      </c>
      <c r="AI21" s="7">
        <f>'Service Economics'!AP11</f>
        <v>189.96178465048649</v>
      </c>
      <c r="AJ21" s="135">
        <f>'Service Economics'!AQ11</f>
        <v>3</v>
      </c>
      <c r="AK21" s="6" t="e">
        <f>#REF!</f>
        <v>#REF!</v>
      </c>
      <c r="AL21" s="7" t="e">
        <f>IF(ISNUMBER(SEARCH("Future",'Service Economics'!AH11)),-1000000000,AG21*(1-#REF!)+AH21*#REF!)</f>
        <v>#REF!</v>
      </c>
      <c r="AM21" s="7">
        <f>IF(ISNUMBER(SEARCH("Future",'Service Economics'!AH11)),-1000000000,AI21)</f>
        <v>189.96178465048649</v>
      </c>
    </row>
    <row r="22" spans="1:39" ht="39" customHeight="1">
      <c r="A22" s="25" t="str">
        <f>'Service Economics'!A12</f>
        <v>Overnight Hospital Concierge</v>
      </c>
      <c r="B22" s="25" t="str">
        <f>'Service Economics'!B12</f>
        <v>Hospital Support</v>
      </c>
      <c r="C22" s="25">
        <f>'Service Economics'!C12</f>
        <v>12</v>
      </c>
      <c r="D22" s="11">
        <f>'Service Economics'!K12</f>
        <v>3547.7999999999997</v>
      </c>
      <c r="E22" s="12">
        <f t="shared" si="0"/>
        <v>295.64999999999998</v>
      </c>
      <c r="F22" s="11">
        <f>'Service Economics'!R12</f>
        <v>2825.9371694915253</v>
      </c>
      <c r="G22" s="11">
        <f>'Service Economics'!AB12</f>
        <v>2964.9371694915253</v>
      </c>
      <c r="H22" s="12" t="e">
        <f>#REF!*F22+#REF!*G22-#REF!</f>
        <v>#REF!</v>
      </c>
      <c r="I22" s="13" t="e">
        <f>IF(('Service Economics'!L12+#REF!*'Service Economics'!U12/(1+'Global Inputs'!$B$17))=0,0,H22/('Service Economics'!L12+#REF!*'Service Economics'!U12/(1+'Global Inputs'!$B$17)))</f>
        <v>#REF!</v>
      </c>
      <c r="J22" s="12" t="e">
        <f t="shared" si="1"/>
        <v>#REF!</v>
      </c>
      <c r="K22" s="26">
        <v>2</v>
      </c>
      <c r="L22" s="26">
        <v>4</v>
      </c>
      <c r="M22" s="26">
        <v>2</v>
      </c>
      <c r="N22" s="30">
        <v>0.9</v>
      </c>
      <c r="O22" s="31" t="e">
        <f t="shared" si="2"/>
        <v>#REF!</v>
      </c>
      <c r="P22" s="31" t="e">
        <f t="shared" si="3"/>
        <v>#REF!</v>
      </c>
      <c r="Q22" s="27" t="e">
        <f t="shared" si="4"/>
        <v>#REF!</v>
      </c>
      <c r="R22" s="32" t="e">
        <f>#REF!</f>
        <v>#REF!</v>
      </c>
      <c r="S22" s="27" t="e">
        <f t="shared" si="5"/>
        <v>#REF!</v>
      </c>
      <c r="T22" s="13" t="e">
        <f t="shared" si="6"/>
        <v>#REF!</v>
      </c>
      <c r="U22" s="26" t="s">
        <v>158</v>
      </c>
      <c r="V22" s="1">
        <f>'Service Economics'!D12</f>
        <v>0.85</v>
      </c>
      <c r="W22" s="33">
        <f>'Service Economics'!E12</f>
        <v>299</v>
      </c>
      <c r="X22">
        <f t="shared" si="7"/>
        <v>0</v>
      </c>
      <c r="Y22" t="e">
        <f t="shared" si="8"/>
        <v>#REF!</v>
      </c>
      <c r="Z22" t="e">
        <f>R22*C22*'Service Economics'!F12</f>
        <v>#REF!</v>
      </c>
      <c r="AA22">
        <f>MAX(C22,$C$53)*'Global Inputs'!$B$5*V22+W22</f>
        <v>3348.7999999999997</v>
      </c>
      <c r="AB22">
        <f>MAX(C22,'Global Inputs'!$B$22)*'Global Inputs'!$B$5*V22*$C$54+W22</f>
        <v>3043.8199999999997</v>
      </c>
      <c r="AC22" t="e">
        <f>D22+#REF!*'Service Economics'!V12</f>
        <v>#REF!</v>
      </c>
      <c r="AD22" t="e">
        <f t="shared" si="9"/>
        <v>#REF!</v>
      </c>
      <c r="AE22" t="e">
        <f t="shared" si="10"/>
        <v>#REF!</v>
      </c>
      <c r="AF22" t="e">
        <f t="shared" si="11"/>
        <v>#REF!</v>
      </c>
      <c r="AG22" s="7">
        <f>'Service Economics'!AL12</f>
        <v>1583.3336191956673</v>
      </c>
      <c r="AH22" s="7">
        <f>'Service Economics'!AN12</f>
        <v>1722.3336191956673</v>
      </c>
      <c r="AI22" s="7">
        <f>'Service Economics'!AP12</f>
        <v>131.94446826630562</v>
      </c>
      <c r="AJ22" s="135">
        <f>'Service Economics'!AQ12</f>
        <v>2</v>
      </c>
      <c r="AK22" s="6" t="e">
        <f>#REF!</f>
        <v>#REF!</v>
      </c>
      <c r="AL22" s="7" t="e">
        <f>IF(ISNUMBER(SEARCH("Future",'Service Economics'!AH12)),-1000000000,AG22*(1-#REF!)+AH22*#REF!)</f>
        <v>#REF!</v>
      </c>
      <c r="AM22" s="7">
        <f>IF(ISNUMBER(SEARCH("Future",'Service Economics'!AH12)),-1000000000,AI22)</f>
        <v>131.94446826630562</v>
      </c>
    </row>
    <row r="23" spans="1:39" ht="39" customHeight="1">
      <c r="A23" s="25" t="str">
        <f>'Service Economics'!A13</f>
        <v>Multi-Day Hospital Concierge (per 12h shift)</v>
      </c>
      <c r="B23" s="25" t="str">
        <f>'Service Economics'!B13</f>
        <v>Hospital Support</v>
      </c>
      <c r="C23" s="25">
        <f>'Service Economics'!C13</f>
        <v>12</v>
      </c>
      <c r="D23" s="11">
        <f>'Service Economics'!K13</f>
        <v>3547.7999999999997</v>
      </c>
      <c r="E23" s="12">
        <f t="shared" si="0"/>
        <v>295.64999999999998</v>
      </c>
      <c r="F23" s="11">
        <f>'Service Economics'!R13</f>
        <v>2825.9371694915253</v>
      </c>
      <c r="G23" s="11">
        <f>'Service Economics'!AB13</f>
        <v>2964.9371694915253</v>
      </c>
      <c r="H23" s="12" t="e">
        <f>#REF!*F23+#REF!*G23-#REF!</f>
        <v>#REF!</v>
      </c>
      <c r="I23" s="13" t="e">
        <f>IF(('Service Economics'!L13+#REF!*'Service Economics'!U13/(1+'Global Inputs'!$B$17))=0,0,H23/('Service Economics'!L13+#REF!*'Service Economics'!U13/(1+'Global Inputs'!$B$17)))</f>
        <v>#REF!</v>
      </c>
      <c r="J23" s="12" t="e">
        <f t="shared" si="1"/>
        <v>#REF!</v>
      </c>
      <c r="K23" s="26">
        <v>3</v>
      </c>
      <c r="L23" s="26">
        <v>5</v>
      </c>
      <c r="M23" s="26">
        <v>1</v>
      </c>
      <c r="N23" s="30">
        <v>0.8</v>
      </c>
      <c r="O23" s="31" t="e">
        <f t="shared" si="2"/>
        <v>#REF!</v>
      </c>
      <c r="P23" s="31" t="e">
        <f t="shared" si="3"/>
        <v>#REF!</v>
      </c>
      <c r="Q23" s="27" t="e">
        <f t="shared" si="4"/>
        <v>#REF!</v>
      </c>
      <c r="R23" s="32" t="e">
        <f>#REF!</f>
        <v>#REF!</v>
      </c>
      <c r="S23" s="27" t="e">
        <f t="shared" si="5"/>
        <v>#REF!</v>
      </c>
      <c r="T23" s="13" t="e">
        <f t="shared" si="6"/>
        <v>#REF!</v>
      </c>
      <c r="U23" s="26" t="s">
        <v>159</v>
      </c>
      <c r="V23" s="1">
        <f>'Service Economics'!D13</f>
        <v>0.85</v>
      </c>
      <c r="W23" s="33">
        <f>'Service Economics'!E13</f>
        <v>299</v>
      </c>
      <c r="X23" t="e">
        <f t="shared" si="7"/>
        <v>#REF!</v>
      </c>
      <c r="Y23" t="e">
        <f t="shared" si="8"/>
        <v>#REF!</v>
      </c>
      <c r="Z23" t="e">
        <f>R23*C23*'Service Economics'!F13</f>
        <v>#REF!</v>
      </c>
      <c r="AA23">
        <f>MAX(C23,$C$53)*'Global Inputs'!$B$5*V23+W23</f>
        <v>3348.7999999999997</v>
      </c>
      <c r="AB23">
        <f>MAX(C23,'Global Inputs'!$B$22)*'Global Inputs'!$B$5*V23*$C$54+W23</f>
        <v>3043.8199999999997</v>
      </c>
      <c r="AC23" t="e">
        <f>D23+#REF!*'Service Economics'!V13</f>
        <v>#REF!</v>
      </c>
      <c r="AD23" t="e">
        <f t="shared" si="9"/>
        <v>#REF!</v>
      </c>
      <c r="AE23" t="e">
        <f t="shared" si="10"/>
        <v>#REF!</v>
      </c>
      <c r="AF23" t="e">
        <f t="shared" si="11"/>
        <v>#REF!</v>
      </c>
      <c r="AG23" s="7">
        <f>'Service Economics'!AL13</f>
        <v>1583.3336191956673</v>
      </c>
      <c r="AH23" s="7">
        <f>'Service Economics'!AN13</f>
        <v>1722.3336191956673</v>
      </c>
      <c r="AI23" s="7">
        <f>'Service Economics'!AP13</f>
        <v>131.94446826630562</v>
      </c>
      <c r="AJ23" s="135">
        <f>'Service Economics'!AQ13</f>
        <v>2</v>
      </c>
      <c r="AK23" s="6" t="e">
        <f>#REF!</f>
        <v>#REF!</v>
      </c>
      <c r="AL23" s="7" t="e">
        <f>IF(ISNUMBER(SEARCH("Future",'Service Economics'!AH13)),-1000000000,AG23*(1-#REF!)+AH23*#REF!)</f>
        <v>#REF!</v>
      </c>
      <c r="AM23" s="7">
        <f>IF(ISNUMBER(SEARCH("Future",'Service Economics'!AH13)),-1000000000,AI23)</f>
        <v>131.94446826630562</v>
      </c>
    </row>
    <row r="24" spans="1:39" ht="39" customHeight="1">
      <c r="A24" s="25" t="str">
        <f>'Service Economics'!A14</f>
        <v>Day Surgery / Procedure Concierge</v>
      </c>
      <c r="B24" s="25" t="str">
        <f>'Service Economics'!B14</f>
        <v>Procedure &amp; Treatment</v>
      </c>
      <c r="C24" s="25">
        <f>'Service Economics'!C14</f>
        <v>6</v>
      </c>
      <c r="D24" s="11">
        <f>'Service Economics'!K14</f>
        <v>2351.7999999999997</v>
      </c>
      <c r="E24" s="12">
        <f t="shared" si="0"/>
        <v>391.96666666666664</v>
      </c>
      <c r="F24" s="11">
        <f>'Service Economics'!R14</f>
        <v>1854.2378474576271</v>
      </c>
      <c r="G24" s="11">
        <f>'Service Economics'!AB14</f>
        <v>1993.2378474576271</v>
      </c>
      <c r="H24" s="12" t="e">
        <f>#REF!*F24+#REF!*G24-#REF!</f>
        <v>#REF!</v>
      </c>
      <c r="I24" s="13" t="e">
        <f>IF(('Service Economics'!L14+#REF!*'Service Economics'!U14/(1+'Global Inputs'!$B$17))=0,0,H24/('Service Economics'!L14+#REF!*'Service Economics'!U14/(1+'Global Inputs'!$B$17)))</f>
        <v>#REF!</v>
      </c>
      <c r="J24" s="12" t="e">
        <f t="shared" si="1"/>
        <v>#REF!</v>
      </c>
      <c r="K24" s="26">
        <v>2</v>
      </c>
      <c r="L24" s="26">
        <v>4</v>
      </c>
      <c r="M24" s="26">
        <v>4</v>
      </c>
      <c r="N24" s="30">
        <v>1.1000000000000001</v>
      </c>
      <c r="O24" s="31" t="e">
        <f t="shared" si="2"/>
        <v>#REF!</v>
      </c>
      <c r="P24" s="31" t="e">
        <f t="shared" si="3"/>
        <v>#REF!</v>
      </c>
      <c r="Q24" s="27" t="e">
        <f t="shared" si="4"/>
        <v>#REF!</v>
      </c>
      <c r="R24" s="32" t="e">
        <f>#REF!</f>
        <v>#REF!</v>
      </c>
      <c r="S24" s="27" t="e">
        <f t="shared" si="5"/>
        <v>#REF!</v>
      </c>
      <c r="T24" s="13" t="e">
        <f t="shared" si="6"/>
        <v>#REF!</v>
      </c>
      <c r="U24" s="26" t="s">
        <v>158</v>
      </c>
      <c r="V24" s="1">
        <f>'Service Economics'!D14</f>
        <v>1.2</v>
      </c>
      <c r="W24" s="33">
        <f>'Service Economics'!E14</f>
        <v>0</v>
      </c>
      <c r="X24">
        <f t="shared" si="7"/>
        <v>0</v>
      </c>
      <c r="Y24" t="e">
        <f t="shared" si="8"/>
        <v>#REF!</v>
      </c>
      <c r="Z24" t="e">
        <f>R24*C24*'Service Economics'!F14</f>
        <v>#REF!</v>
      </c>
      <c r="AA24">
        <f>MAX(C24,$C$53)*'Global Inputs'!$B$5*V24+W24</f>
        <v>2152.7999999999997</v>
      </c>
      <c r="AB24">
        <f>MAX(C24,'Global Inputs'!$B$22)*'Global Inputs'!$B$5*V24*$C$54+W24</f>
        <v>1937.5199999999998</v>
      </c>
      <c r="AC24" t="e">
        <f>D24+#REF!*'Service Economics'!V14</f>
        <v>#REF!</v>
      </c>
      <c r="AD24" t="e">
        <f t="shared" si="9"/>
        <v>#REF!</v>
      </c>
      <c r="AE24" t="e">
        <f t="shared" si="10"/>
        <v>#REF!</v>
      </c>
      <c r="AF24" t="e">
        <f t="shared" si="11"/>
        <v>#REF!</v>
      </c>
      <c r="AG24" s="7">
        <f>'Service Economics'!AL14</f>
        <v>1232.9360723096981</v>
      </c>
      <c r="AH24" s="7">
        <f>'Service Economics'!AN14</f>
        <v>1371.9360723096981</v>
      </c>
      <c r="AI24" s="7">
        <f>'Service Economics'!AP14</f>
        <v>205.4893453849497</v>
      </c>
      <c r="AJ24" s="135">
        <f>'Service Economics'!AQ14</f>
        <v>3</v>
      </c>
      <c r="AK24" s="6" t="e">
        <f>#REF!</f>
        <v>#REF!</v>
      </c>
      <c r="AL24" s="7" t="e">
        <f>IF(ISNUMBER(SEARCH("Future",'Service Economics'!AH14)),-1000000000,AG24*(1-#REF!)+AH24*#REF!)</f>
        <v>#REF!</v>
      </c>
      <c r="AM24" s="7">
        <f>IF(ISNUMBER(SEARCH("Future",'Service Economics'!AH14)),-1000000000,AI24)</f>
        <v>205.4893453849497</v>
      </c>
    </row>
    <row r="25" spans="1:39" ht="39" customHeight="1">
      <c r="A25" s="25" t="str">
        <f>'Service Economics'!A15</f>
        <v>Pre-Surgery Concierge</v>
      </c>
      <c r="B25" s="25" t="str">
        <f>'Service Economics'!B15</f>
        <v>Procedure &amp; Treatment</v>
      </c>
      <c r="C25" s="25">
        <f>'Service Economics'!C15</f>
        <v>4</v>
      </c>
      <c r="D25" s="11">
        <f>'Service Economics'!K15</f>
        <v>1514.6000000000001</v>
      </c>
      <c r="E25" s="12">
        <f t="shared" si="0"/>
        <v>378.65000000000003</v>
      </c>
      <c r="F25" s="11">
        <f>'Service Economics'!R15</f>
        <v>1174.0483220338986</v>
      </c>
      <c r="G25" s="11">
        <f>'Service Economics'!AB15</f>
        <v>1313.0483220338986</v>
      </c>
      <c r="H25" s="12" t="e">
        <f>#REF!*F25+#REF!*G25-#REF!</f>
        <v>#REF!</v>
      </c>
      <c r="I25" s="13" t="e">
        <f>IF(('Service Economics'!L15+#REF!*'Service Economics'!U15/(1+'Global Inputs'!$B$17))=0,0,H25/('Service Economics'!L15+#REF!*'Service Economics'!U15/(1+'Global Inputs'!$B$17)))</f>
        <v>#REF!</v>
      </c>
      <c r="J25" s="12" t="e">
        <f t="shared" si="1"/>
        <v>#REF!</v>
      </c>
      <c r="K25" s="26">
        <v>2</v>
      </c>
      <c r="L25" s="26">
        <v>3</v>
      </c>
      <c r="M25" s="26">
        <v>4</v>
      </c>
      <c r="N25" s="30">
        <v>1</v>
      </c>
      <c r="O25" s="31" t="e">
        <f t="shared" si="2"/>
        <v>#REF!</v>
      </c>
      <c r="P25" s="31" t="e">
        <f t="shared" si="3"/>
        <v>#REF!</v>
      </c>
      <c r="Q25" s="27" t="e">
        <f t="shared" si="4"/>
        <v>#REF!</v>
      </c>
      <c r="R25" s="32" t="e">
        <f>#REF!</f>
        <v>#REF!</v>
      </c>
      <c r="S25" s="27" t="e">
        <f t="shared" si="5"/>
        <v>#REF!</v>
      </c>
      <c r="T25" s="13" t="e">
        <f t="shared" si="6"/>
        <v>#REF!</v>
      </c>
      <c r="U25" s="26" t="s">
        <v>158</v>
      </c>
      <c r="V25" s="1">
        <f>'Service Economics'!D15</f>
        <v>1.1000000000000001</v>
      </c>
      <c r="W25" s="33">
        <f>'Service Economics'!E15</f>
        <v>0</v>
      </c>
      <c r="X25">
        <f t="shared" si="7"/>
        <v>0</v>
      </c>
      <c r="Y25" t="e">
        <f t="shared" si="8"/>
        <v>#REF!</v>
      </c>
      <c r="Z25" t="e">
        <f>R25*C25*'Service Economics'!F15</f>
        <v>#REF!</v>
      </c>
      <c r="AA25">
        <f>MAX(C25,$C$53)*'Global Inputs'!$B$5*V25+W25</f>
        <v>1315.6000000000001</v>
      </c>
      <c r="AB25">
        <f>MAX(C25,'Global Inputs'!$B$22)*'Global Inputs'!$B$5*V25*$C$54+W25</f>
        <v>1184.0400000000002</v>
      </c>
      <c r="AC25" t="e">
        <f>D25+#REF!*'Service Economics'!V15</f>
        <v>#REF!</v>
      </c>
      <c r="AD25" t="e">
        <f t="shared" si="9"/>
        <v>#REF!</v>
      </c>
      <c r="AE25" t="e">
        <f t="shared" si="10"/>
        <v>#REF!</v>
      </c>
      <c r="AF25" t="e">
        <f t="shared" si="11"/>
        <v>#REF!</v>
      </c>
      <c r="AG25" s="7">
        <f>'Service Economics'!AL15</f>
        <v>759.84713860194597</v>
      </c>
      <c r="AH25" s="7">
        <f>'Service Economics'!AN15</f>
        <v>898.84713860194597</v>
      </c>
      <c r="AI25" s="7">
        <f>'Service Economics'!AP15</f>
        <v>189.96178465048649</v>
      </c>
      <c r="AJ25" s="135">
        <f>'Service Economics'!AQ15</f>
        <v>2</v>
      </c>
      <c r="AK25" s="6" t="e">
        <f>#REF!</f>
        <v>#REF!</v>
      </c>
      <c r="AL25" s="7" t="e">
        <f>IF(ISNUMBER(SEARCH("Future",'Service Economics'!AH15)),-1000000000,AG25*(1-#REF!)+AH25*#REF!)</f>
        <v>#REF!</v>
      </c>
      <c r="AM25" s="7">
        <f>IF(ISNUMBER(SEARCH("Future",'Service Economics'!AH15)),-1000000000,AI25)</f>
        <v>189.96178465048649</v>
      </c>
    </row>
    <row r="26" spans="1:39" ht="39" customHeight="1">
      <c r="A26" s="25" t="str">
        <f>'Service Economics'!A16</f>
        <v>Post-Surgery Follow-up</v>
      </c>
      <c r="B26" s="25" t="str">
        <f>'Service Economics'!B16</f>
        <v>Procedure &amp; Treatment</v>
      </c>
      <c r="C26" s="25">
        <f>'Service Economics'!C16</f>
        <v>3</v>
      </c>
      <c r="D26" s="11">
        <f>'Service Economics'!K16</f>
        <v>1096</v>
      </c>
      <c r="E26" s="12">
        <f t="shared" si="0"/>
        <v>365.33333333333331</v>
      </c>
      <c r="F26" s="11">
        <f>'Service Economics'!R16</f>
        <v>833.95355932203393</v>
      </c>
      <c r="G26" s="11">
        <f>'Service Economics'!AB16</f>
        <v>972.95355932203393</v>
      </c>
      <c r="H26" s="12" t="e">
        <f>#REF!*F26+#REF!*G26-#REF!</f>
        <v>#REF!</v>
      </c>
      <c r="I26" s="13" t="e">
        <f>IF(('Service Economics'!L16+#REF!*'Service Economics'!U16/(1+'Global Inputs'!$B$17))=0,0,H26/('Service Economics'!L16+#REF!*'Service Economics'!U16/(1+'Global Inputs'!$B$17)))</f>
        <v>#REF!</v>
      </c>
      <c r="J26" s="12" t="e">
        <f t="shared" si="1"/>
        <v>#REF!</v>
      </c>
      <c r="K26" s="26">
        <v>3</v>
      </c>
      <c r="L26" s="26">
        <v>3</v>
      </c>
      <c r="M26" s="26">
        <v>4</v>
      </c>
      <c r="N26" s="30">
        <v>1</v>
      </c>
      <c r="O26" s="31" t="e">
        <f t="shared" si="2"/>
        <v>#REF!</v>
      </c>
      <c r="P26" s="31" t="e">
        <f t="shared" si="3"/>
        <v>#REF!</v>
      </c>
      <c r="Q26" s="27" t="e">
        <f t="shared" si="4"/>
        <v>#REF!</v>
      </c>
      <c r="R26" s="32" t="e">
        <f>#REF!</f>
        <v>#REF!</v>
      </c>
      <c r="S26" s="27" t="e">
        <f t="shared" si="5"/>
        <v>#REF!</v>
      </c>
      <c r="T26" s="13" t="e">
        <f t="shared" si="6"/>
        <v>#REF!</v>
      </c>
      <c r="U26" s="26" t="s">
        <v>159</v>
      </c>
      <c r="V26" s="1">
        <f>'Service Economics'!D16</f>
        <v>1</v>
      </c>
      <c r="W26" s="33">
        <f>'Service Economics'!E16</f>
        <v>0</v>
      </c>
      <c r="X26" t="e">
        <f t="shared" si="7"/>
        <v>#REF!</v>
      </c>
      <c r="Y26" t="e">
        <f t="shared" si="8"/>
        <v>#REF!</v>
      </c>
      <c r="Z26" t="e">
        <f>R26*C26*'Service Economics'!F16</f>
        <v>#REF!</v>
      </c>
      <c r="AA26">
        <f>MAX(C26,$C$53)*'Global Inputs'!$B$5*V26+W26</f>
        <v>897</v>
      </c>
      <c r="AB26">
        <f>MAX(C26,'Global Inputs'!$B$22)*'Global Inputs'!$B$5*V26*$C$54+W26</f>
        <v>807.30000000000007</v>
      </c>
      <c r="AC26" t="e">
        <f>D26+#REF!*'Service Economics'!V16</f>
        <v>#REF!</v>
      </c>
      <c r="AD26" t="e">
        <f t="shared" si="9"/>
        <v>#REF!</v>
      </c>
      <c r="AE26" t="e">
        <f t="shared" si="10"/>
        <v>#REF!</v>
      </c>
      <c r="AF26" t="e">
        <f t="shared" si="11"/>
        <v>#REF!</v>
      </c>
      <c r="AG26" s="7">
        <f>'Service Economics'!AL16</f>
        <v>523.30267174806943</v>
      </c>
      <c r="AH26" s="7">
        <f>'Service Economics'!AN16</f>
        <v>662.30267174806943</v>
      </c>
      <c r="AI26" s="7">
        <f>'Service Economics'!AP16</f>
        <v>174.43422391602314</v>
      </c>
      <c r="AJ26" s="135">
        <f>'Service Economics'!AQ16</f>
        <v>3</v>
      </c>
      <c r="AK26" s="6" t="e">
        <f>#REF!</f>
        <v>#REF!</v>
      </c>
      <c r="AL26" s="7" t="e">
        <f>IF(ISNUMBER(SEARCH("Future",'Service Economics'!AH16)),-1000000000,AG26*(1-#REF!)+AH26*#REF!)</f>
        <v>#REF!</v>
      </c>
      <c r="AM26" s="7">
        <f>IF(ISNUMBER(SEARCH("Future",'Service Economics'!AH16)),-1000000000,AI26)</f>
        <v>174.43422391602314</v>
      </c>
    </row>
    <row r="27" spans="1:39" ht="39" customHeight="1">
      <c r="A27" s="25" t="str">
        <f>'Service Economics'!A17</f>
        <v>Dialysis Visit Concierge</v>
      </c>
      <c r="B27" s="25" t="str">
        <f>'Service Economics'!B17</f>
        <v>Recurring Treatment</v>
      </c>
      <c r="C27" s="25">
        <f>'Service Economics'!C17</f>
        <v>5</v>
      </c>
      <c r="D27" s="11">
        <f>'Service Economics'!K17</f>
        <v>1544.5</v>
      </c>
      <c r="E27" s="12">
        <f t="shared" si="0"/>
        <v>308.89999999999998</v>
      </c>
      <c r="F27" s="11">
        <f>'Service Economics'!R17</f>
        <v>1198.3408050847456</v>
      </c>
      <c r="G27" s="11">
        <f>'Service Economics'!AB17</f>
        <v>1337.3408050847456</v>
      </c>
      <c r="H27" s="12" t="e">
        <f>#REF!*F27+#REF!*G27-#REF!</f>
        <v>#REF!</v>
      </c>
      <c r="I27" s="13" t="e">
        <f>IF(('Service Economics'!L17+#REF!*'Service Economics'!U17/(1+'Global Inputs'!$B$17))=0,0,H27/('Service Economics'!L17+#REF!*'Service Economics'!U17/(1+'Global Inputs'!$B$17)))</f>
        <v>#REF!</v>
      </c>
      <c r="J27" s="12" t="e">
        <f t="shared" si="1"/>
        <v>#REF!</v>
      </c>
      <c r="K27" s="26">
        <v>5</v>
      </c>
      <c r="L27" s="26">
        <v>3</v>
      </c>
      <c r="M27" s="26">
        <v>4</v>
      </c>
      <c r="N27" s="30">
        <v>1.3</v>
      </c>
      <c r="O27" s="31" t="e">
        <f t="shared" si="2"/>
        <v>#REF!</v>
      </c>
      <c r="P27" s="31" t="e">
        <f t="shared" si="3"/>
        <v>#REF!</v>
      </c>
      <c r="Q27" s="27" t="e">
        <f t="shared" si="4"/>
        <v>#REF!</v>
      </c>
      <c r="R27" s="32" t="e">
        <f>#REF!</f>
        <v>#REF!</v>
      </c>
      <c r="S27" s="27" t="e">
        <f t="shared" si="5"/>
        <v>#REF!</v>
      </c>
      <c r="T27" s="13" t="e">
        <f t="shared" si="6"/>
        <v>#REF!</v>
      </c>
      <c r="U27" s="26" t="s">
        <v>159</v>
      </c>
      <c r="V27" s="1">
        <f>'Service Economics'!D17</f>
        <v>0.9</v>
      </c>
      <c r="W27" s="33">
        <f>'Service Economics'!E17</f>
        <v>0</v>
      </c>
      <c r="X27" t="e">
        <f t="shared" si="7"/>
        <v>#REF!</v>
      </c>
      <c r="Y27" t="e">
        <f t="shared" si="8"/>
        <v>#REF!</v>
      </c>
      <c r="Z27" t="e">
        <f>R27*C27*'Service Economics'!F17</f>
        <v>#REF!</v>
      </c>
      <c r="AA27">
        <f>MAX(C27,$C$53)*'Global Inputs'!$B$5*V27+W27</f>
        <v>1345.5</v>
      </c>
      <c r="AB27">
        <f>MAX(C27,'Global Inputs'!$B$22)*'Global Inputs'!$B$5*V27*$C$54+W27</f>
        <v>1210.95</v>
      </c>
      <c r="AC27" t="e">
        <f>D27+#REF!*'Service Economics'!V17</f>
        <v>#REF!</v>
      </c>
      <c r="AD27" t="e">
        <f t="shared" si="9"/>
        <v>#REF!</v>
      </c>
      <c r="AE27" t="e">
        <f t="shared" si="10"/>
        <v>#REF!</v>
      </c>
      <c r="AF27" t="e">
        <f t="shared" si="11"/>
        <v>#REF!</v>
      </c>
      <c r="AG27" s="7">
        <f>'Service Economics'!AL17</f>
        <v>680.58932579480484</v>
      </c>
      <c r="AH27" s="7">
        <f>'Service Economics'!AN17</f>
        <v>819.58932579480484</v>
      </c>
      <c r="AI27" s="7">
        <f>'Service Economics'!AP17</f>
        <v>136.11786515896097</v>
      </c>
      <c r="AJ27" s="135">
        <f>'Service Economics'!AQ17</f>
        <v>5</v>
      </c>
      <c r="AK27" s="6" t="e">
        <f>#REF!</f>
        <v>#REF!</v>
      </c>
      <c r="AL27" s="7" t="e">
        <f>IF(ISNUMBER(SEARCH("Future",'Service Economics'!AH17)),-1000000000,AG27*(1-#REF!)+AH27*#REF!)</f>
        <v>#REF!</v>
      </c>
      <c r="AM27" s="7">
        <f>IF(ISNUMBER(SEARCH("Future",'Service Economics'!AH17)),-1000000000,AI27)</f>
        <v>136.11786515896097</v>
      </c>
    </row>
    <row r="28" spans="1:39" ht="39" customHeight="1">
      <c r="A28" s="25" t="str">
        <f>'Service Economics'!A18</f>
        <v>Chemotherapy Visit Concierge</v>
      </c>
      <c r="B28" s="25" t="str">
        <f>'Service Economics'!B18</f>
        <v>Recurring Treatment</v>
      </c>
      <c r="C28" s="25">
        <f>'Service Economics'!C18</f>
        <v>6</v>
      </c>
      <c r="D28" s="11">
        <f>'Service Economics'!K18</f>
        <v>1993</v>
      </c>
      <c r="E28" s="12">
        <f t="shared" si="0"/>
        <v>332.16666666666669</v>
      </c>
      <c r="F28" s="11">
        <f>'Service Economics'!R18</f>
        <v>1562.7280508474578</v>
      </c>
      <c r="G28" s="11">
        <f>'Service Economics'!AB18</f>
        <v>1701.7280508474578</v>
      </c>
      <c r="H28" s="12" t="e">
        <f>#REF!*F28+#REF!*G28-#REF!</f>
        <v>#REF!</v>
      </c>
      <c r="I28" s="13" t="e">
        <f>IF(('Service Economics'!L18+#REF!*'Service Economics'!U18/(1+'Global Inputs'!$B$17))=0,0,H28/('Service Economics'!L18+#REF!*'Service Economics'!U18/(1+'Global Inputs'!$B$17)))</f>
        <v>#REF!</v>
      </c>
      <c r="J28" s="12" t="e">
        <f t="shared" si="1"/>
        <v>#REF!</v>
      </c>
      <c r="K28" s="26">
        <v>5</v>
      </c>
      <c r="L28" s="26">
        <v>4</v>
      </c>
      <c r="M28" s="26">
        <v>4</v>
      </c>
      <c r="N28" s="30">
        <v>1.3</v>
      </c>
      <c r="O28" s="31" t="e">
        <f t="shared" si="2"/>
        <v>#REF!</v>
      </c>
      <c r="P28" s="31" t="e">
        <f t="shared" si="3"/>
        <v>#REF!</v>
      </c>
      <c r="Q28" s="27" t="e">
        <f t="shared" si="4"/>
        <v>#REF!</v>
      </c>
      <c r="R28" s="32" t="e">
        <f>#REF!</f>
        <v>#REF!</v>
      </c>
      <c r="S28" s="27" t="e">
        <f t="shared" si="5"/>
        <v>#REF!</v>
      </c>
      <c r="T28" s="13" t="e">
        <f t="shared" si="6"/>
        <v>#REF!</v>
      </c>
      <c r="U28" s="26" t="s">
        <v>159</v>
      </c>
      <c r="V28" s="1">
        <f>'Service Economics'!D18</f>
        <v>1</v>
      </c>
      <c r="W28" s="33">
        <f>'Service Economics'!E18</f>
        <v>0</v>
      </c>
      <c r="X28" t="e">
        <f t="shared" si="7"/>
        <v>#REF!</v>
      </c>
      <c r="Y28" t="e">
        <f t="shared" si="8"/>
        <v>#REF!</v>
      </c>
      <c r="Z28" t="e">
        <f>R28*C28*'Service Economics'!F18</f>
        <v>#REF!</v>
      </c>
      <c r="AA28">
        <f>MAX(C28,$C$53)*'Global Inputs'!$B$5*V28+W28</f>
        <v>1794</v>
      </c>
      <c r="AB28">
        <f>MAX(C28,'Global Inputs'!$B$22)*'Global Inputs'!$B$5*V28*$C$54+W28</f>
        <v>1614.6000000000001</v>
      </c>
      <c r="AC28" t="e">
        <f>D28+#REF!*'Service Economics'!V18</f>
        <v>#REF!</v>
      </c>
      <c r="AD28" t="e">
        <f t="shared" si="9"/>
        <v>#REF!</v>
      </c>
      <c r="AE28" t="e">
        <f t="shared" si="10"/>
        <v>#REF!</v>
      </c>
      <c r="AF28" t="e">
        <f t="shared" si="11"/>
        <v>#REF!</v>
      </c>
      <c r="AG28" s="7">
        <f>'Service Economics'!AL18</f>
        <v>941.42627569952879</v>
      </c>
      <c r="AH28" s="7">
        <f>'Service Economics'!AN18</f>
        <v>1080.4262756995288</v>
      </c>
      <c r="AI28" s="7">
        <f>'Service Economics'!AP18</f>
        <v>156.9043792832548</v>
      </c>
      <c r="AJ28" s="135">
        <f>'Service Economics'!AQ18</f>
        <v>5</v>
      </c>
      <c r="AK28" s="6" t="e">
        <f>#REF!</f>
        <v>#REF!</v>
      </c>
      <c r="AL28" s="7" t="e">
        <f>IF(ISNUMBER(SEARCH("Future",'Service Economics'!AH18)),-1000000000,AG28*(1-#REF!)+AH28*#REF!)</f>
        <v>#REF!</v>
      </c>
      <c r="AM28" s="7">
        <f>IF(ISNUMBER(SEARCH("Future",'Service Economics'!AH18)),-1000000000,AI28)</f>
        <v>156.9043792832548</v>
      </c>
    </row>
    <row r="29" spans="1:39" ht="39" customHeight="1">
      <c r="A29" s="25" t="str">
        <f>'Service Economics'!A19</f>
        <v>Radiation Therapy Concierge</v>
      </c>
      <c r="B29" s="25" t="str">
        <f>'Service Economics'!B19</f>
        <v>Recurring Treatment</v>
      </c>
      <c r="C29" s="25">
        <f>'Service Economics'!C19</f>
        <v>3</v>
      </c>
      <c r="D29" s="11">
        <f>'Service Economics'!K19</f>
        <v>1051.1500000000001</v>
      </c>
      <c r="E29" s="12">
        <f t="shared" si="0"/>
        <v>350.38333333333338</v>
      </c>
      <c r="F29" s="11">
        <f>'Service Economics'!R19</f>
        <v>797.51483474576287</v>
      </c>
      <c r="G29" s="11">
        <f>'Service Economics'!AB19</f>
        <v>936.51483474576287</v>
      </c>
      <c r="H29" s="12" t="e">
        <f>#REF!*F29+#REF!*G29-#REF!</f>
        <v>#REF!</v>
      </c>
      <c r="I29" s="13" t="e">
        <f>IF(('Service Economics'!L19+#REF!*'Service Economics'!U19/(1+'Global Inputs'!$B$17))=0,0,H29/('Service Economics'!L19+#REF!*'Service Economics'!U19/(1+'Global Inputs'!$B$17)))</f>
        <v>#REF!</v>
      </c>
      <c r="J29" s="12" t="e">
        <f t="shared" si="1"/>
        <v>#REF!</v>
      </c>
      <c r="K29" s="26">
        <v>5</v>
      </c>
      <c r="L29" s="26">
        <v>3</v>
      </c>
      <c r="M29" s="26">
        <v>4</v>
      </c>
      <c r="N29" s="30">
        <v>1.3</v>
      </c>
      <c r="O29" s="31" t="e">
        <f t="shared" si="2"/>
        <v>#REF!</v>
      </c>
      <c r="P29" s="31" t="e">
        <f t="shared" si="3"/>
        <v>#REF!</v>
      </c>
      <c r="Q29" s="27" t="e">
        <f t="shared" si="4"/>
        <v>#REF!</v>
      </c>
      <c r="R29" s="32" t="e">
        <f>#REF!</f>
        <v>#REF!</v>
      </c>
      <c r="S29" s="27" t="e">
        <f t="shared" si="5"/>
        <v>#REF!</v>
      </c>
      <c r="T29" s="13" t="e">
        <f t="shared" si="6"/>
        <v>#REF!</v>
      </c>
      <c r="U29" s="26" t="s">
        <v>159</v>
      </c>
      <c r="V29" s="1">
        <f>'Service Economics'!D19</f>
        <v>0.95</v>
      </c>
      <c r="W29" s="33">
        <f>'Service Economics'!E19</f>
        <v>0</v>
      </c>
      <c r="X29" t="e">
        <f t="shared" si="7"/>
        <v>#REF!</v>
      </c>
      <c r="Y29" t="e">
        <f t="shared" si="8"/>
        <v>#REF!</v>
      </c>
      <c r="Z29" t="e">
        <f>R29*C29*'Service Economics'!F19</f>
        <v>#REF!</v>
      </c>
      <c r="AA29">
        <f>MAX(C29,$C$53)*'Global Inputs'!$B$5*V29+W29</f>
        <v>852.15</v>
      </c>
      <c r="AB29">
        <f>MAX(C29,'Global Inputs'!$B$22)*'Global Inputs'!$B$5*V29*$C$54+W29</f>
        <v>766.93499999999995</v>
      </c>
      <c r="AC29" t="e">
        <f>D29+#REF!*'Service Economics'!V19</f>
        <v>#REF!</v>
      </c>
      <c r="AD29" t="e">
        <f t="shared" si="9"/>
        <v>#REF!</v>
      </c>
      <c r="AE29" t="e">
        <f t="shared" si="10"/>
        <v>#REF!</v>
      </c>
      <c r="AF29" t="e">
        <f t="shared" si="11"/>
        <v>#REF!</v>
      </c>
      <c r="AG29" s="7">
        <f>'Service Economics'!AL19</f>
        <v>486.86394717179837</v>
      </c>
      <c r="AH29" s="7">
        <f>'Service Economics'!AN19</f>
        <v>625.86394717179837</v>
      </c>
      <c r="AI29" s="7">
        <f>'Service Economics'!AP19</f>
        <v>162.28798239059947</v>
      </c>
      <c r="AJ29" s="135">
        <f>'Service Economics'!AQ19</f>
        <v>5</v>
      </c>
      <c r="AK29" s="6" t="e">
        <f>#REF!</f>
        <v>#REF!</v>
      </c>
      <c r="AL29" s="7" t="e">
        <f>IF(ISNUMBER(SEARCH("Future",'Service Economics'!AH19)),-1000000000,AG29*(1-#REF!)+AH29*#REF!)</f>
        <v>#REF!</v>
      </c>
      <c r="AM29" s="7">
        <f>IF(ISNUMBER(SEARCH("Future",'Service Economics'!AH19)),-1000000000,AI29)</f>
        <v>162.28798239059947</v>
      </c>
    </row>
    <row r="30" spans="1:39" ht="39" customHeight="1">
      <c r="A30" s="25" t="str">
        <f>'Service Economics'!A20</f>
        <v>Physiotherapy / Rehab Visit</v>
      </c>
      <c r="B30" s="25" t="str">
        <f>'Service Economics'!B20</f>
        <v>Recurring Treatment</v>
      </c>
      <c r="C30" s="25">
        <f>'Service Economics'!C20</f>
        <v>2</v>
      </c>
      <c r="D30" s="11">
        <f>'Service Economics'!K20</f>
        <v>707.3</v>
      </c>
      <c r="E30" s="12">
        <f t="shared" si="0"/>
        <v>353.65</v>
      </c>
      <c r="F30" s="11">
        <f>'Service Economics'!R20</f>
        <v>518.15127966101693</v>
      </c>
      <c r="G30" s="11">
        <f>'Service Economics'!AB20</f>
        <v>657.15127966101693</v>
      </c>
      <c r="H30" s="12" t="e">
        <f>#REF!*F30+#REF!*G30-#REF!</f>
        <v>#REF!</v>
      </c>
      <c r="I30" s="13" t="e">
        <f>IF(('Service Economics'!L20+#REF!*'Service Economics'!U20/(1+'Global Inputs'!$B$17))=0,0,H30/('Service Economics'!L20+#REF!*'Service Economics'!U20/(1+'Global Inputs'!$B$17)))</f>
        <v>#REF!</v>
      </c>
      <c r="J30" s="12" t="e">
        <f t="shared" si="1"/>
        <v>#REF!</v>
      </c>
      <c r="K30" s="26">
        <v>5</v>
      </c>
      <c r="L30" s="26">
        <v>2</v>
      </c>
      <c r="M30" s="26">
        <v>4</v>
      </c>
      <c r="N30" s="30">
        <v>1.2</v>
      </c>
      <c r="O30" s="31" t="e">
        <f t="shared" si="2"/>
        <v>#REF!</v>
      </c>
      <c r="P30" s="31" t="e">
        <f t="shared" si="3"/>
        <v>#REF!</v>
      </c>
      <c r="Q30" s="27" t="e">
        <f t="shared" si="4"/>
        <v>#REF!</v>
      </c>
      <c r="R30" s="32" t="e">
        <f>#REF!</f>
        <v>#REF!</v>
      </c>
      <c r="S30" s="27" t="e">
        <f t="shared" si="5"/>
        <v>#REF!</v>
      </c>
      <c r="T30" s="13" t="e">
        <f t="shared" si="6"/>
        <v>#REF!</v>
      </c>
      <c r="U30" s="26" t="s">
        <v>159</v>
      </c>
      <c r="V30" s="1">
        <f>'Service Economics'!D20</f>
        <v>0.85</v>
      </c>
      <c r="W30" s="33">
        <f>'Service Economics'!E20</f>
        <v>0</v>
      </c>
      <c r="X30" t="e">
        <f t="shared" si="7"/>
        <v>#REF!</v>
      </c>
      <c r="Y30" t="e">
        <f t="shared" si="8"/>
        <v>#REF!</v>
      </c>
      <c r="Z30" t="e">
        <f>R30*C30*'Service Economics'!F20</f>
        <v>#REF!</v>
      </c>
      <c r="AA30">
        <f>MAX(C30,$C$53)*'Global Inputs'!$B$5*V30+W30</f>
        <v>762.44999999999993</v>
      </c>
      <c r="AB30">
        <f>MAX(C30,'Global Inputs'!$B$22)*'Global Inputs'!$B$5*V30*$C$54+W30</f>
        <v>457.47</v>
      </c>
      <c r="AC30" t="e">
        <f>D30+#REF!*'Service Economics'!V20</f>
        <v>#REF!</v>
      </c>
      <c r="AD30" t="e">
        <f t="shared" si="9"/>
        <v>#REF!</v>
      </c>
      <c r="AE30" t="e">
        <f t="shared" si="10"/>
        <v>#REF!</v>
      </c>
      <c r="AF30" t="e">
        <f t="shared" si="11"/>
        <v>#REF!</v>
      </c>
      <c r="AG30" s="7">
        <f>'Service Economics'!AL20</f>
        <v>311.05068794504064</v>
      </c>
      <c r="AH30" s="7">
        <f>'Service Economics'!AN20</f>
        <v>450.05068794504064</v>
      </c>
      <c r="AI30" s="7">
        <f>'Service Economics'!AP20</f>
        <v>155.52534397252032</v>
      </c>
      <c r="AJ30" s="135">
        <f>'Service Economics'!AQ20</f>
        <v>5</v>
      </c>
      <c r="AK30" s="6" t="e">
        <f>#REF!</f>
        <v>#REF!</v>
      </c>
      <c r="AL30" s="7" t="e">
        <f>IF(ISNUMBER(SEARCH("Future",'Service Economics'!AH20)),-1000000000,AG30*(1-#REF!)+AH30*#REF!)</f>
        <v>#REF!</v>
      </c>
      <c r="AM30" s="7">
        <f>IF(ISNUMBER(SEARCH("Future",'Service Economics'!AH20)),-1000000000,AI30)</f>
        <v>155.52534397252032</v>
      </c>
    </row>
    <row r="31" spans="1:39" ht="39" customHeight="1">
      <c r="A31" s="25" t="str">
        <f>'Service Economics'!A21</f>
        <v>Chronic Care Follow-up</v>
      </c>
      <c r="B31" s="25" t="str">
        <f>'Service Economics'!B21</f>
        <v>Continuing Care</v>
      </c>
      <c r="C31" s="25">
        <f>'Service Economics'!C21</f>
        <v>3</v>
      </c>
      <c r="D31" s="11">
        <f>'Service Economics'!K21</f>
        <v>1006.3000000000001</v>
      </c>
      <c r="E31" s="12">
        <f t="shared" si="0"/>
        <v>335.43333333333334</v>
      </c>
      <c r="F31" s="11">
        <f>'Service Economics'!R21</f>
        <v>761.07611016949159</v>
      </c>
      <c r="G31" s="11">
        <f>'Service Economics'!AB21</f>
        <v>900.07611016949159</v>
      </c>
      <c r="H31" s="12" t="e">
        <f>#REF!*F31+#REF!*G31-#REF!</f>
        <v>#REF!</v>
      </c>
      <c r="I31" s="13" t="e">
        <f>IF(('Service Economics'!L21+#REF!*'Service Economics'!U21/(1+'Global Inputs'!$B$17))=0,0,H31/('Service Economics'!L21+#REF!*'Service Economics'!U21/(1+'Global Inputs'!$B$17)))</f>
        <v>#REF!</v>
      </c>
      <c r="J31" s="12" t="e">
        <f t="shared" si="1"/>
        <v>#REF!</v>
      </c>
      <c r="K31" s="26">
        <v>5</v>
      </c>
      <c r="L31" s="26">
        <v>2</v>
      </c>
      <c r="M31" s="26">
        <v>4</v>
      </c>
      <c r="N31" s="30">
        <v>1.3</v>
      </c>
      <c r="O31" s="31" t="e">
        <f t="shared" si="2"/>
        <v>#REF!</v>
      </c>
      <c r="P31" s="31" t="e">
        <f t="shared" si="3"/>
        <v>#REF!</v>
      </c>
      <c r="Q31" s="27" t="e">
        <f t="shared" si="4"/>
        <v>#REF!</v>
      </c>
      <c r="R31" s="32" t="e">
        <f>#REF!</f>
        <v>#REF!</v>
      </c>
      <c r="S31" s="27" t="e">
        <f t="shared" si="5"/>
        <v>#REF!</v>
      </c>
      <c r="T31" s="13" t="e">
        <f t="shared" si="6"/>
        <v>#REF!</v>
      </c>
      <c r="U31" s="26" t="s">
        <v>159</v>
      </c>
      <c r="V31" s="1">
        <f>'Service Economics'!D21</f>
        <v>0.9</v>
      </c>
      <c r="W31" s="33">
        <f>'Service Economics'!E21</f>
        <v>0</v>
      </c>
      <c r="X31" t="e">
        <f t="shared" si="7"/>
        <v>#REF!</v>
      </c>
      <c r="Y31" t="e">
        <f t="shared" si="8"/>
        <v>#REF!</v>
      </c>
      <c r="Z31" t="e">
        <f>R31*C31*'Service Economics'!F21</f>
        <v>#REF!</v>
      </c>
      <c r="AA31">
        <f>MAX(C31,$C$53)*'Global Inputs'!$B$5*V31+W31</f>
        <v>807.30000000000007</v>
      </c>
      <c r="AB31">
        <f>MAX(C31,'Global Inputs'!$B$22)*'Global Inputs'!$B$5*V31*$C$54+W31</f>
        <v>726.57</v>
      </c>
      <c r="AC31" t="e">
        <f>D31+#REF!*'Service Economics'!V21</f>
        <v>#REF!</v>
      </c>
      <c r="AD31" t="e">
        <f t="shared" si="9"/>
        <v>#REF!</v>
      </c>
      <c r="AE31" t="e">
        <f t="shared" si="10"/>
        <v>#REF!</v>
      </c>
      <c r="AF31" t="e">
        <f t="shared" si="11"/>
        <v>#REF!</v>
      </c>
      <c r="AG31" s="7">
        <f>'Service Economics'!AL21</f>
        <v>450.42522259552709</v>
      </c>
      <c r="AH31" s="7">
        <f>'Service Economics'!AN21</f>
        <v>589.42522259552709</v>
      </c>
      <c r="AI31" s="7">
        <f>'Service Economics'!AP21</f>
        <v>150.14174086517571</v>
      </c>
      <c r="AJ31" s="135">
        <f>'Service Economics'!AQ21</f>
        <v>5</v>
      </c>
      <c r="AK31" s="6" t="e">
        <f>#REF!</f>
        <v>#REF!</v>
      </c>
      <c r="AL31" s="7" t="e">
        <f>IF(ISNUMBER(SEARCH("Future",'Service Economics'!AH21)),-1000000000,AG31*(1-#REF!)+AH31*#REF!)</f>
        <v>#REF!</v>
      </c>
      <c r="AM31" s="7">
        <f>IF(ISNUMBER(SEARCH("Future",'Service Economics'!AH21)),-1000000000,AI31)</f>
        <v>150.14174086517571</v>
      </c>
    </row>
    <row r="32" spans="1:39" ht="39" customHeight="1">
      <c r="A32" s="25" t="str">
        <f>'Service Economics'!A22</f>
        <v>NRI Parent Medical Concierge</v>
      </c>
      <c r="B32" s="25" t="str">
        <f>'Service Economics'!B22</f>
        <v>Continuing Care</v>
      </c>
      <c r="C32" s="25">
        <f>'Service Economics'!C22</f>
        <v>4</v>
      </c>
      <c r="D32" s="11">
        <f>'Service Economics'!K22</f>
        <v>1634.2</v>
      </c>
      <c r="E32" s="12">
        <f t="shared" si="0"/>
        <v>408.55</v>
      </c>
      <c r="F32" s="11">
        <f>'Service Economics'!R22</f>
        <v>1271.2182542372884</v>
      </c>
      <c r="G32" s="11">
        <f>'Service Economics'!AB22</f>
        <v>1410.2182542372884</v>
      </c>
      <c r="H32" s="12" t="e">
        <f>#REF!*F32+#REF!*G32-#REF!</f>
        <v>#REF!</v>
      </c>
      <c r="I32" s="13" t="e">
        <f>IF(('Service Economics'!L22+#REF!*'Service Economics'!U22/(1+'Global Inputs'!$B$17))=0,0,H32/('Service Economics'!L22+#REF!*'Service Economics'!U22/(1+'Global Inputs'!$B$17)))</f>
        <v>#REF!</v>
      </c>
      <c r="J32" s="12" t="e">
        <f t="shared" si="1"/>
        <v>#REF!</v>
      </c>
      <c r="K32" s="26">
        <v>5</v>
      </c>
      <c r="L32" s="26">
        <v>3</v>
      </c>
      <c r="M32" s="26">
        <v>4</v>
      </c>
      <c r="N32" s="30">
        <v>1.5</v>
      </c>
      <c r="O32" s="31" t="e">
        <f t="shared" si="2"/>
        <v>#REF!</v>
      </c>
      <c r="P32" s="31" t="e">
        <f t="shared" si="3"/>
        <v>#REF!</v>
      </c>
      <c r="Q32" s="27" t="e">
        <f t="shared" si="4"/>
        <v>#REF!</v>
      </c>
      <c r="R32" s="32" t="e">
        <f>#REF!</f>
        <v>#REF!</v>
      </c>
      <c r="S32" s="27" t="e">
        <f t="shared" si="5"/>
        <v>#REF!</v>
      </c>
      <c r="T32" s="13" t="e">
        <f t="shared" si="6"/>
        <v>#REF!</v>
      </c>
      <c r="U32" s="26" t="s">
        <v>159</v>
      </c>
      <c r="V32" s="1">
        <f>'Service Economics'!D22</f>
        <v>1.2</v>
      </c>
      <c r="W32" s="33">
        <f>'Service Economics'!E22</f>
        <v>0</v>
      </c>
      <c r="X32" t="e">
        <f t="shared" si="7"/>
        <v>#REF!</v>
      </c>
      <c r="Y32" t="e">
        <f t="shared" si="8"/>
        <v>#REF!</v>
      </c>
      <c r="Z32" t="e">
        <f>R32*C32*'Service Economics'!F22</f>
        <v>#REF!</v>
      </c>
      <c r="AA32">
        <f>MAX(C32,$C$53)*'Global Inputs'!$B$5*V32+W32</f>
        <v>1435.2</v>
      </c>
      <c r="AB32">
        <f>MAX(C32,'Global Inputs'!$B$22)*'Global Inputs'!$B$5*V32*$C$54+W32</f>
        <v>1291.68</v>
      </c>
      <c r="AC32" t="e">
        <f>D32+#REF!*'Service Economics'!V22</f>
        <v>#REF!</v>
      </c>
      <c r="AD32" t="e">
        <f t="shared" si="9"/>
        <v>#REF!</v>
      </c>
      <c r="AE32" t="e">
        <f t="shared" si="10"/>
        <v>#REF!</v>
      </c>
      <c r="AF32" t="e">
        <f t="shared" si="11"/>
        <v>#REF!</v>
      </c>
      <c r="AG32" s="7">
        <f>'Service Economics'!AL22</f>
        <v>857.01707080533583</v>
      </c>
      <c r="AH32" s="7">
        <f>'Service Economics'!AN22</f>
        <v>996.01707080533583</v>
      </c>
      <c r="AI32" s="7">
        <f>'Service Economics'!AP22</f>
        <v>214.25426770133396</v>
      </c>
      <c r="AJ32" s="135">
        <f>'Service Economics'!AQ22</f>
        <v>5</v>
      </c>
      <c r="AK32" s="6" t="e">
        <f>#REF!</f>
        <v>#REF!</v>
      </c>
      <c r="AL32" s="7" t="e">
        <f>IF(ISNUMBER(SEARCH("Future",'Service Economics'!AH22)),-1000000000,AG32*(1-#REF!)+AH32*#REF!)</f>
        <v>#REF!</v>
      </c>
      <c r="AM32" s="7">
        <f>IF(ISNUMBER(SEARCH("Future",'Service Economics'!AH22)),-1000000000,AI32)</f>
        <v>214.25426770133396</v>
      </c>
    </row>
    <row r="33" spans="1:39" ht="39" customHeight="1">
      <c r="A33" s="25" t="str">
        <f>'Service Economics'!A23</f>
        <v>Second Opinion Concierge</v>
      </c>
      <c r="B33" s="25" t="str">
        <f>'Service Economics'!B23</f>
        <v>Medical Coordination</v>
      </c>
      <c r="C33" s="25">
        <f>'Service Economics'!C23</f>
        <v>2.5</v>
      </c>
      <c r="D33" s="11">
        <f>'Service Economics'!K23</f>
        <v>834.375</v>
      </c>
      <c r="E33" s="12">
        <f t="shared" si="0"/>
        <v>333.75</v>
      </c>
      <c r="F33" s="11">
        <f>'Service Economics'!R23</f>
        <v>621.39433262711873</v>
      </c>
      <c r="G33" s="11">
        <f>'Service Economics'!AB23</f>
        <v>760.39433262711873</v>
      </c>
      <c r="H33" s="12" t="e">
        <f>#REF!*F33+#REF!*G33-#REF!</f>
        <v>#REF!</v>
      </c>
      <c r="I33" s="13" t="e">
        <f>IF(('Service Economics'!L23+#REF!*'Service Economics'!U23/(1+'Global Inputs'!$B$17))=0,0,H33/('Service Economics'!L23+#REF!*'Service Economics'!U23/(1+'Global Inputs'!$B$17)))</f>
        <v>#REF!</v>
      </c>
      <c r="J33" s="12" t="e">
        <f t="shared" si="1"/>
        <v>#REF!</v>
      </c>
      <c r="K33" s="26">
        <v>2</v>
      </c>
      <c r="L33" s="26">
        <v>2</v>
      </c>
      <c r="M33" s="26">
        <v>2</v>
      </c>
      <c r="N33" s="30">
        <v>1.1000000000000001</v>
      </c>
      <c r="O33" s="31" t="e">
        <f t="shared" si="2"/>
        <v>#REF!</v>
      </c>
      <c r="P33" s="31" t="e">
        <f t="shared" si="3"/>
        <v>#REF!</v>
      </c>
      <c r="Q33" s="27" t="e">
        <f t="shared" si="4"/>
        <v>#REF!</v>
      </c>
      <c r="R33" s="32" t="e">
        <f>#REF!</f>
        <v>#REF!</v>
      </c>
      <c r="S33" s="27" t="e">
        <f t="shared" si="5"/>
        <v>#REF!</v>
      </c>
      <c r="T33" s="13" t="e">
        <f t="shared" si="6"/>
        <v>#REF!</v>
      </c>
      <c r="U33" s="26" t="s">
        <v>158</v>
      </c>
      <c r="V33" s="1">
        <f>'Service Economics'!D23</f>
        <v>0.85</v>
      </c>
      <c r="W33" s="33">
        <f>'Service Economics'!E23</f>
        <v>0</v>
      </c>
      <c r="X33">
        <f t="shared" si="7"/>
        <v>0</v>
      </c>
      <c r="Y33" t="e">
        <f t="shared" si="8"/>
        <v>#REF!</v>
      </c>
      <c r="Z33" t="e">
        <f>R33*C33*'Service Economics'!F23</f>
        <v>#REF!</v>
      </c>
      <c r="AA33">
        <f>MAX(C33,$C$53)*'Global Inputs'!$B$5*V33+W33</f>
        <v>762.44999999999993</v>
      </c>
      <c r="AB33">
        <f>MAX(C33,'Global Inputs'!$B$22)*'Global Inputs'!$B$5*V33*$C$54+W33</f>
        <v>571.83749999999998</v>
      </c>
      <c r="AC33" t="e">
        <f>D33+#REF!*'Service Economics'!V23</f>
        <v>#REF!</v>
      </c>
      <c r="AD33" t="e">
        <f t="shared" si="9"/>
        <v>#REF!</v>
      </c>
      <c r="AE33" t="e">
        <f t="shared" si="10"/>
        <v>#REF!</v>
      </c>
      <c r="AF33" t="e">
        <f t="shared" si="11"/>
        <v>#REF!</v>
      </c>
      <c r="AG33" s="7">
        <f>'Service Economics'!AL23</f>
        <v>362.51859298214833</v>
      </c>
      <c r="AH33" s="7">
        <f>'Service Economics'!AN23</f>
        <v>501.51859298214833</v>
      </c>
      <c r="AI33" s="7">
        <f>'Service Economics'!AP23</f>
        <v>145.00743719285933</v>
      </c>
      <c r="AJ33" s="135">
        <f>'Service Economics'!AQ23</f>
        <v>3</v>
      </c>
      <c r="AK33" s="6" t="e">
        <f>#REF!</f>
        <v>#REF!</v>
      </c>
      <c r="AL33" s="7" t="e">
        <f>IF(ISNUMBER(SEARCH("Future",'Service Economics'!AH23)),-1000000000,AG33*(1-#REF!)+AH33*#REF!)</f>
        <v>#REF!</v>
      </c>
      <c r="AM33" s="7">
        <f>IF(ISNUMBER(SEARCH("Future",'Service Economics'!AH23)),-1000000000,AI33)</f>
        <v>145.00743719285933</v>
      </c>
    </row>
    <row r="34" spans="1:39" ht="39" customHeight="1">
      <c r="A34" s="25" t="str">
        <f>'Service Economics'!A24</f>
        <v>Teleconsultation Concierge</v>
      </c>
      <c r="B34" s="25" t="str">
        <f>'Service Economics'!B24</f>
        <v>Medical Coordination</v>
      </c>
      <c r="C34" s="25">
        <f>'Service Economics'!C24</f>
        <v>1.5</v>
      </c>
      <c r="D34" s="11">
        <f>'Service Economics'!K24</f>
        <v>587.70000000000005</v>
      </c>
      <c r="E34" s="12">
        <f t="shared" si="0"/>
        <v>391.8</v>
      </c>
      <c r="F34" s="11">
        <f>'Service Economics'!R24</f>
        <v>420.98134745762718</v>
      </c>
      <c r="G34" s="11">
        <f>'Service Economics'!AB24</f>
        <v>559.98134745762718</v>
      </c>
      <c r="H34" s="12" t="e">
        <f>#REF!*F34+#REF!*G34-#REF!</f>
        <v>#REF!</v>
      </c>
      <c r="I34" s="13" t="e">
        <f>IF(('Service Economics'!L24+#REF!*'Service Economics'!U24/(1+'Global Inputs'!$B$17))=0,0,H34/('Service Economics'!L24+#REF!*'Service Economics'!U24/(1+'Global Inputs'!$B$17)))</f>
        <v>#REF!</v>
      </c>
      <c r="J34" s="12" t="e">
        <f t="shared" si="1"/>
        <v>#REF!</v>
      </c>
      <c r="K34" s="26">
        <v>4</v>
      </c>
      <c r="L34" s="26">
        <v>1</v>
      </c>
      <c r="M34" s="26">
        <v>1</v>
      </c>
      <c r="N34" s="30">
        <v>1.1000000000000001</v>
      </c>
      <c r="O34" s="31" t="e">
        <f t="shared" si="2"/>
        <v>#REF!</v>
      </c>
      <c r="P34" s="31" t="e">
        <f t="shared" si="3"/>
        <v>#REF!</v>
      </c>
      <c r="Q34" s="27" t="e">
        <f t="shared" si="4"/>
        <v>#REF!</v>
      </c>
      <c r="R34" s="32" t="e">
        <f>#REF!</f>
        <v>#REF!</v>
      </c>
      <c r="S34" s="27" t="e">
        <f t="shared" si="5"/>
        <v>#REF!</v>
      </c>
      <c r="T34" s="13" t="e">
        <f t="shared" si="6"/>
        <v>#REF!</v>
      </c>
      <c r="U34" s="26" t="s">
        <v>159</v>
      </c>
      <c r="V34" s="1">
        <f>'Service Economics'!D24</f>
        <v>0.65</v>
      </c>
      <c r="W34" s="33">
        <f>'Service Economics'!E24</f>
        <v>0</v>
      </c>
      <c r="X34" t="e">
        <f t="shared" si="7"/>
        <v>#REF!</v>
      </c>
      <c r="Y34" t="e">
        <f t="shared" si="8"/>
        <v>#REF!</v>
      </c>
      <c r="Z34" t="e">
        <f>R34*C34*'Service Economics'!F24</f>
        <v>#REF!</v>
      </c>
      <c r="AA34">
        <f>MAX(C34,$C$53)*'Global Inputs'!$B$5*V34+W34</f>
        <v>583.05000000000007</v>
      </c>
      <c r="AB34">
        <f>MAX(C34,'Global Inputs'!$B$22)*'Global Inputs'!$B$5*V34*$C$54+W34</f>
        <v>349.83</v>
      </c>
      <c r="AC34" t="e">
        <f>D34+#REF!*'Service Economics'!V24</f>
        <v>#REF!</v>
      </c>
      <c r="AD34" t="e">
        <f t="shared" si="9"/>
        <v>#REF!</v>
      </c>
      <c r="AE34" t="e">
        <f t="shared" si="10"/>
        <v>#REF!</v>
      </c>
      <c r="AF34" t="e">
        <f t="shared" si="11"/>
        <v>#REF!</v>
      </c>
      <c r="AG34" s="7">
        <f>'Service Economics'!AL24</f>
        <v>265.65590367064493</v>
      </c>
      <c r="AH34" s="7">
        <f>'Service Economics'!AN24</f>
        <v>404.65590367064493</v>
      </c>
      <c r="AI34" s="7">
        <f>'Service Economics'!AP24</f>
        <v>177.10393578042996</v>
      </c>
      <c r="AJ34" s="135">
        <f>'Service Economics'!AQ24</f>
        <v>4</v>
      </c>
      <c r="AK34" s="6" t="e">
        <f>#REF!</f>
        <v>#REF!</v>
      </c>
      <c r="AL34" s="7" t="e">
        <f>IF(ISNUMBER(SEARCH("Future",'Service Economics'!AH24)),-1000000000,AG34*(1-#REF!)+AH34*#REF!)</f>
        <v>#REF!</v>
      </c>
      <c r="AM34" s="7">
        <f>IF(ISNUMBER(SEARCH("Future",'Service Economics'!AH24)),-1000000000,AI34)</f>
        <v>177.10393578042996</v>
      </c>
    </row>
    <row r="35" spans="1:39" ht="39" customHeight="1">
      <c r="A35" s="25" t="str">
        <f>'Service Economics'!A25</f>
        <v>Medical Records Concierge</v>
      </c>
      <c r="B35" s="25" t="str">
        <f>'Service Economics'!B25</f>
        <v>Medical Coordination</v>
      </c>
      <c r="C35" s="25">
        <f>'Service Economics'!C25</f>
        <v>2</v>
      </c>
      <c r="D35" s="11">
        <f>'Service Economics'!K25</f>
        <v>557.79999999999995</v>
      </c>
      <c r="E35" s="12">
        <f t="shared" si="0"/>
        <v>278.89999999999998</v>
      </c>
      <c r="F35" s="11">
        <f>'Service Economics'!R25</f>
        <v>396.68886440677966</v>
      </c>
      <c r="G35" s="11">
        <f>'Service Economics'!AB25</f>
        <v>535.68886440677966</v>
      </c>
      <c r="H35" s="12" t="e">
        <f>#REF!*F35+#REF!*G35-#REF!</f>
        <v>#REF!</v>
      </c>
      <c r="I35" s="13" t="e">
        <f>IF(('Service Economics'!L25+#REF!*'Service Economics'!U25/(1+'Global Inputs'!$B$17))=0,0,H35/('Service Economics'!L25+#REF!*'Service Economics'!U25/(1+'Global Inputs'!$B$17)))</f>
        <v>#REF!</v>
      </c>
      <c r="J35" s="12" t="e">
        <f t="shared" si="1"/>
        <v>#REF!</v>
      </c>
      <c r="K35" s="26">
        <v>3</v>
      </c>
      <c r="L35" s="26">
        <v>1</v>
      </c>
      <c r="M35" s="26">
        <v>1</v>
      </c>
      <c r="N35" s="30">
        <v>0.9</v>
      </c>
      <c r="O35" s="31" t="e">
        <f t="shared" si="2"/>
        <v>#REF!</v>
      </c>
      <c r="P35" s="31" t="e">
        <f t="shared" si="3"/>
        <v>#REF!</v>
      </c>
      <c r="Q35" s="27" t="e">
        <f t="shared" si="4"/>
        <v>#REF!</v>
      </c>
      <c r="R35" s="32" t="e">
        <f>#REF!</f>
        <v>#REF!</v>
      </c>
      <c r="S35" s="27" t="e">
        <f t="shared" si="5"/>
        <v>#REF!</v>
      </c>
      <c r="T35" s="13" t="e">
        <f t="shared" si="6"/>
        <v>#REF!</v>
      </c>
      <c r="U35" s="26" t="s">
        <v>159</v>
      </c>
      <c r="V35" s="1">
        <f>'Service Economics'!D25</f>
        <v>0.6</v>
      </c>
      <c r="W35" s="33">
        <f>'Service Economics'!E25</f>
        <v>0</v>
      </c>
      <c r="X35" t="e">
        <f t="shared" si="7"/>
        <v>#REF!</v>
      </c>
      <c r="Y35" t="e">
        <f t="shared" si="8"/>
        <v>#REF!</v>
      </c>
      <c r="Z35" t="e">
        <f>R35*C35*'Service Economics'!F25</f>
        <v>#REF!</v>
      </c>
      <c r="AA35">
        <f>MAX(C35,$C$53)*'Global Inputs'!$B$5*V35+W35</f>
        <v>538.19999999999993</v>
      </c>
      <c r="AB35">
        <f>MAX(C35,'Global Inputs'!$B$22)*'Global Inputs'!$B$5*V35*$C$54+W35</f>
        <v>322.92</v>
      </c>
      <c r="AC35" t="e">
        <f>D35+#REF!*'Service Economics'!V25</f>
        <v>#REF!</v>
      </c>
      <c r="AD35" t="e">
        <f t="shared" si="9"/>
        <v>#REF!</v>
      </c>
      <c r="AE35" t="e">
        <f t="shared" si="10"/>
        <v>#REF!</v>
      </c>
      <c r="AF35" t="e">
        <f t="shared" si="11"/>
        <v>#REF!</v>
      </c>
      <c r="AG35" s="7">
        <f>'Service Economics'!AL25</f>
        <v>189.58827269080334</v>
      </c>
      <c r="AH35" s="7">
        <f>'Service Economics'!AN25</f>
        <v>328.58827269080336</v>
      </c>
      <c r="AI35" s="7">
        <f>'Service Economics'!AP25</f>
        <v>94.794136345401668</v>
      </c>
      <c r="AJ35" s="135">
        <f>'Service Economics'!AQ25</f>
        <v>3</v>
      </c>
      <c r="AK35" s="6" t="e">
        <f>#REF!</f>
        <v>#REF!</v>
      </c>
      <c r="AL35" s="7" t="e">
        <f>IF(ISNUMBER(SEARCH("Future",'Service Economics'!AH25)),-1000000000,AG35*(1-#REF!)+AH35*#REF!)</f>
        <v>#REF!</v>
      </c>
      <c r="AM35" s="7">
        <f>IF(ISNUMBER(SEARCH("Future",'Service Economics'!AH25)),-1000000000,AI35)</f>
        <v>94.794136345401668</v>
      </c>
    </row>
    <row r="36" spans="1:39" ht="39" customHeight="1">
      <c r="A36" s="25" t="str">
        <f>'Service Economics'!A26</f>
        <v>Insurance / TPA Desk Concierge</v>
      </c>
      <c r="B36" s="25" t="str">
        <f>'Service Economics'!B26</f>
        <v>Medical Coordination</v>
      </c>
      <c r="C36" s="25">
        <f>'Service Economics'!C26</f>
        <v>3</v>
      </c>
      <c r="D36" s="11">
        <f>'Service Economics'!K26</f>
        <v>871.75</v>
      </c>
      <c r="E36" s="12">
        <f t="shared" si="0"/>
        <v>290.58333333333331</v>
      </c>
      <c r="F36" s="11">
        <f>'Service Economics'!R26</f>
        <v>651.75993644067796</v>
      </c>
      <c r="G36" s="11">
        <f>'Service Economics'!AB26</f>
        <v>790.75993644067796</v>
      </c>
      <c r="H36" s="12" t="e">
        <f>#REF!*F36+#REF!*G36-#REF!</f>
        <v>#REF!</v>
      </c>
      <c r="I36" s="13" t="e">
        <f>IF(('Service Economics'!L26+#REF!*'Service Economics'!U26/(1+'Global Inputs'!$B$17))=0,0,H36/('Service Economics'!L26+#REF!*'Service Economics'!U26/(1+'Global Inputs'!$B$17)))</f>
        <v>#REF!</v>
      </c>
      <c r="J36" s="12" t="e">
        <f t="shared" si="1"/>
        <v>#REF!</v>
      </c>
      <c r="K36" s="26">
        <v>2</v>
      </c>
      <c r="L36" s="26">
        <v>3</v>
      </c>
      <c r="M36" s="26">
        <v>1</v>
      </c>
      <c r="N36" s="30">
        <v>1</v>
      </c>
      <c r="O36" s="31" t="e">
        <f t="shared" si="2"/>
        <v>#REF!</v>
      </c>
      <c r="P36" s="31" t="e">
        <f t="shared" si="3"/>
        <v>#REF!</v>
      </c>
      <c r="Q36" s="27" t="e">
        <f t="shared" si="4"/>
        <v>#REF!</v>
      </c>
      <c r="R36" s="32" t="e">
        <f>#REF!</f>
        <v>#REF!</v>
      </c>
      <c r="S36" s="27" t="e">
        <f t="shared" si="5"/>
        <v>#REF!</v>
      </c>
      <c r="T36" s="13" t="e">
        <f t="shared" si="6"/>
        <v>#REF!</v>
      </c>
      <c r="U36" s="26" t="s">
        <v>158</v>
      </c>
      <c r="V36" s="1">
        <f>'Service Economics'!D26</f>
        <v>0.75</v>
      </c>
      <c r="W36" s="33">
        <f>'Service Economics'!E26</f>
        <v>0</v>
      </c>
      <c r="X36">
        <f t="shared" si="7"/>
        <v>0</v>
      </c>
      <c r="Y36" t="e">
        <f t="shared" si="8"/>
        <v>#REF!</v>
      </c>
      <c r="Z36" t="e">
        <f>R36*C36*'Service Economics'!F26</f>
        <v>#REF!</v>
      </c>
      <c r="AA36">
        <f>MAX(C36,$C$53)*'Global Inputs'!$B$5*V36+W36</f>
        <v>672.75</v>
      </c>
      <c r="AB36">
        <f>MAX(C36,'Global Inputs'!$B$22)*'Global Inputs'!$B$5*V36*$C$54+W36</f>
        <v>605.47500000000002</v>
      </c>
      <c r="AC36" t="e">
        <f>D36+#REF!*'Service Economics'!V26</f>
        <v>#REF!</v>
      </c>
      <c r="AD36" t="e">
        <f t="shared" si="9"/>
        <v>#REF!</v>
      </c>
      <c r="AE36" t="e">
        <f t="shared" si="10"/>
        <v>#REF!</v>
      </c>
      <c r="AF36" t="e">
        <f t="shared" si="11"/>
        <v>#REF!</v>
      </c>
      <c r="AG36" s="7">
        <f>'Service Economics'!AL26</f>
        <v>341.10904886671347</v>
      </c>
      <c r="AH36" s="7">
        <f>'Service Economics'!AN26</f>
        <v>480.10904886671347</v>
      </c>
      <c r="AI36" s="7">
        <f>'Service Economics'!AP26</f>
        <v>113.70301628890449</v>
      </c>
      <c r="AJ36" s="135">
        <f>'Service Economics'!AQ26</f>
        <v>3</v>
      </c>
      <c r="AK36" s="6" t="e">
        <f>#REF!</f>
        <v>#REF!</v>
      </c>
      <c r="AL36" s="7" t="e">
        <f>IF(ISNUMBER(SEARCH("Future",'Service Economics'!AH26)),-1000000000,AG36*(1-#REF!)+AH36*#REF!)</f>
        <v>#REF!</v>
      </c>
      <c r="AM36" s="7">
        <f>IF(ISNUMBER(SEARCH("Future",'Service Economics'!AH26)),-1000000000,AI36)</f>
        <v>113.70301628890449</v>
      </c>
    </row>
    <row r="37" spans="1:39" ht="39" customHeight="1">
      <c r="A37" s="25" t="str">
        <f>'Service Economics'!A27</f>
        <v>Hospital Transfer Concierge</v>
      </c>
      <c r="B37" s="25" t="str">
        <f>'Service Economics'!B27</f>
        <v>Medical Coordination</v>
      </c>
      <c r="C37" s="25">
        <f>'Service Economics'!C27</f>
        <v>4</v>
      </c>
      <c r="D37" s="11">
        <f>'Service Economics'!K27</f>
        <v>1514.6000000000001</v>
      </c>
      <c r="E37" s="12">
        <f t="shared" si="0"/>
        <v>378.65000000000003</v>
      </c>
      <c r="F37" s="11">
        <f>'Service Economics'!R27</f>
        <v>1174.0483220338986</v>
      </c>
      <c r="G37" s="11">
        <f>'Service Economics'!AB27</f>
        <v>1313.0483220338986</v>
      </c>
      <c r="H37" s="12" t="e">
        <f>#REF!*F37+#REF!*G37-#REF!</f>
        <v>#REF!</v>
      </c>
      <c r="I37" s="13" t="e">
        <f>IF(('Service Economics'!L27+#REF!*'Service Economics'!U27/(1+'Global Inputs'!$B$17))=0,0,H37/('Service Economics'!L27+#REF!*'Service Economics'!U27/(1+'Global Inputs'!$B$17)))</f>
        <v>#REF!</v>
      </c>
      <c r="J37" s="12" t="e">
        <f t="shared" si="1"/>
        <v>#REF!</v>
      </c>
      <c r="K37" s="26">
        <v>2</v>
      </c>
      <c r="L37" s="26">
        <v>4</v>
      </c>
      <c r="M37" s="26">
        <v>5</v>
      </c>
      <c r="N37" s="30">
        <v>1</v>
      </c>
      <c r="O37" s="31" t="e">
        <f t="shared" si="2"/>
        <v>#REF!</v>
      </c>
      <c r="P37" s="31" t="e">
        <f t="shared" si="3"/>
        <v>#REF!</v>
      </c>
      <c r="Q37" s="27" t="e">
        <f t="shared" si="4"/>
        <v>#REF!</v>
      </c>
      <c r="R37" s="32" t="e">
        <f>#REF!</f>
        <v>#REF!</v>
      </c>
      <c r="S37" s="27" t="e">
        <f t="shared" si="5"/>
        <v>#REF!</v>
      </c>
      <c r="T37" s="13" t="e">
        <f t="shared" si="6"/>
        <v>#REF!</v>
      </c>
      <c r="U37" s="26" t="s">
        <v>158</v>
      </c>
      <c r="V37" s="1">
        <f>'Service Economics'!D27</f>
        <v>1.1000000000000001</v>
      </c>
      <c r="W37" s="33">
        <f>'Service Economics'!E27</f>
        <v>0</v>
      </c>
      <c r="X37">
        <f t="shared" si="7"/>
        <v>0</v>
      </c>
      <c r="Y37" t="e">
        <f t="shared" si="8"/>
        <v>#REF!</v>
      </c>
      <c r="Z37" t="e">
        <f>R37*C37*'Service Economics'!F27</f>
        <v>#REF!</v>
      </c>
      <c r="AA37">
        <f>MAX(C37,$C$53)*'Global Inputs'!$B$5*V37+W37</f>
        <v>1315.6000000000001</v>
      </c>
      <c r="AB37">
        <f>MAX(C37,'Global Inputs'!$B$22)*'Global Inputs'!$B$5*V37*$C$54+W37</f>
        <v>1184.0400000000002</v>
      </c>
      <c r="AC37" t="e">
        <f>D37+#REF!*'Service Economics'!V27</f>
        <v>#REF!</v>
      </c>
      <c r="AD37" t="e">
        <f t="shared" si="9"/>
        <v>#REF!</v>
      </c>
      <c r="AE37" t="e">
        <f t="shared" si="10"/>
        <v>#REF!</v>
      </c>
      <c r="AF37" t="e">
        <f t="shared" si="11"/>
        <v>#REF!</v>
      </c>
      <c r="AG37" s="7">
        <f>'Service Economics'!AL27</f>
        <v>759.84713860194597</v>
      </c>
      <c r="AH37" s="7">
        <f>'Service Economics'!AN27</f>
        <v>898.84713860194597</v>
      </c>
      <c r="AI37" s="7">
        <f>'Service Economics'!AP27</f>
        <v>189.96178465048649</v>
      </c>
      <c r="AJ37" s="135">
        <f>'Service Economics'!AQ27</f>
        <v>2</v>
      </c>
      <c r="AK37" s="6" t="e">
        <f>#REF!</f>
        <v>#REF!</v>
      </c>
      <c r="AL37" s="7" t="e">
        <f>IF(ISNUMBER(SEARCH("Future",'Service Economics'!AH27)),-1000000000,AG37*(1-#REF!)+AH37*#REF!)</f>
        <v>#REF!</v>
      </c>
      <c r="AM37" s="7">
        <f>IF(ISNUMBER(SEARCH("Future",'Service Economics'!AH27)),-1000000000,AI37)</f>
        <v>189.96178465048649</v>
      </c>
    </row>
    <row r="38" spans="1:39" ht="39" customHeight="1">
      <c r="A38" s="25" t="str">
        <f>'Service Economics'!A28</f>
        <v>Rehab / Nursing Facility Transfer</v>
      </c>
      <c r="B38" s="25" t="str">
        <f>'Service Economics'!B28</f>
        <v>Medical Coordination</v>
      </c>
      <c r="C38" s="25">
        <f>'Service Economics'!C28</f>
        <v>4</v>
      </c>
      <c r="D38" s="11">
        <f>'Service Economics'!K28</f>
        <v>1454.8</v>
      </c>
      <c r="E38" s="12">
        <f t="shared" si="0"/>
        <v>363.7</v>
      </c>
      <c r="F38" s="11">
        <f>'Service Economics'!R28</f>
        <v>1125.4633559322033</v>
      </c>
      <c r="G38" s="11">
        <f>'Service Economics'!AB28</f>
        <v>1264.4633559322033</v>
      </c>
      <c r="H38" s="12" t="e">
        <f>#REF!*F38+#REF!*G38-#REF!</f>
        <v>#REF!</v>
      </c>
      <c r="I38" s="13" t="e">
        <f>IF(('Service Economics'!L28+#REF!*'Service Economics'!U28/(1+'Global Inputs'!$B$17))=0,0,H38/('Service Economics'!L28+#REF!*'Service Economics'!U28/(1+'Global Inputs'!$B$17)))</f>
        <v>#REF!</v>
      </c>
      <c r="J38" s="12" t="e">
        <f t="shared" si="1"/>
        <v>#REF!</v>
      </c>
      <c r="K38" s="26">
        <v>2</v>
      </c>
      <c r="L38" s="26">
        <v>4</v>
      </c>
      <c r="M38" s="26">
        <v>5</v>
      </c>
      <c r="N38" s="30">
        <v>0.9</v>
      </c>
      <c r="O38" s="31" t="e">
        <f t="shared" si="2"/>
        <v>#REF!</v>
      </c>
      <c r="P38" s="31" t="e">
        <f t="shared" si="3"/>
        <v>#REF!</v>
      </c>
      <c r="Q38" s="27" t="e">
        <f t="shared" si="4"/>
        <v>#REF!</v>
      </c>
      <c r="R38" s="32" t="e">
        <f>#REF!</f>
        <v>#REF!</v>
      </c>
      <c r="S38" s="27" t="e">
        <f t="shared" si="5"/>
        <v>#REF!</v>
      </c>
      <c r="T38" s="13" t="e">
        <f t="shared" si="6"/>
        <v>#REF!</v>
      </c>
      <c r="U38" s="26" t="s">
        <v>158</v>
      </c>
      <c r="V38" s="1">
        <f>'Service Economics'!D28</f>
        <v>1.05</v>
      </c>
      <c r="W38" s="33">
        <f>'Service Economics'!E28</f>
        <v>0</v>
      </c>
      <c r="X38">
        <f t="shared" si="7"/>
        <v>0</v>
      </c>
      <c r="Y38" t="e">
        <f t="shared" si="8"/>
        <v>#REF!</v>
      </c>
      <c r="Z38" t="e">
        <f>R38*C38*'Service Economics'!F28</f>
        <v>#REF!</v>
      </c>
      <c r="AA38">
        <f>MAX(C38,$C$53)*'Global Inputs'!$B$5*V38+W38</f>
        <v>1255.8</v>
      </c>
      <c r="AB38">
        <f>MAX(C38,'Global Inputs'!$B$22)*'Global Inputs'!$B$5*V38*$C$54+W38</f>
        <v>1130.22</v>
      </c>
      <c r="AC38" t="e">
        <f>D38+#REF!*'Service Economics'!V28</f>
        <v>#REF!</v>
      </c>
      <c r="AD38" t="e">
        <f t="shared" si="9"/>
        <v>#REF!</v>
      </c>
      <c r="AE38" t="e">
        <f t="shared" si="10"/>
        <v>#REF!</v>
      </c>
      <c r="AF38" t="e">
        <f t="shared" si="11"/>
        <v>#REF!</v>
      </c>
      <c r="AG38" s="7">
        <f>'Service Economics'!AL28</f>
        <v>711.2621725002507</v>
      </c>
      <c r="AH38" s="7">
        <f>'Service Economics'!AN28</f>
        <v>850.2621725002507</v>
      </c>
      <c r="AI38" s="7">
        <f>'Service Economics'!AP28</f>
        <v>177.81554312506267</v>
      </c>
      <c r="AJ38" s="135">
        <f>'Service Economics'!AQ28</f>
        <v>2</v>
      </c>
      <c r="AK38" s="6" t="e">
        <f>#REF!</f>
        <v>#REF!</v>
      </c>
      <c r="AL38" s="7" t="e">
        <f>IF(ISNUMBER(SEARCH("Future",'Service Economics'!AH28)),-1000000000,AG38*(1-#REF!)+AH38*#REF!)</f>
        <v>#REF!</v>
      </c>
      <c r="AM38" s="7">
        <f>IF(ISNUMBER(SEARCH("Future",'Service Economics'!AH28)),-1000000000,AI38)</f>
        <v>177.81554312506267</v>
      </c>
    </row>
    <row r="39" spans="1:39" ht="39" customHeight="1">
      <c r="A39" s="25" t="str">
        <f>'Service Economics'!A29</f>
        <v>24×7 Urgent Care Coordination</v>
      </c>
      <c r="B39" s="25" t="str">
        <f>'Service Economics'!B29</f>
        <v>Urgent Coordination</v>
      </c>
      <c r="C39" s="25">
        <f>'Service Economics'!C29</f>
        <v>4</v>
      </c>
      <c r="D39" s="11">
        <f>'Service Economics'!K29</f>
        <v>2252.8000000000002</v>
      </c>
      <c r="E39" s="12">
        <f t="shared" si="0"/>
        <v>563.20000000000005</v>
      </c>
      <c r="F39" s="11">
        <f>'Service Economics'!R29</f>
        <v>1773.8045423728815</v>
      </c>
      <c r="G39" s="11">
        <f>'Service Economics'!AB29</f>
        <v>1912.8045423728815</v>
      </c>
      <c r="H39" s="12" t="e">
        <f>#REF!*F39+#REF!*G39-#REF!</f>
        <v>#REF!</v>
      </c>
      <c r="I39" s="13" t="e">
        <f>IF(('Service Economics'!L29+#REF!*'Service Economics'!U29/(1+'Global Inputs'!$B$17))=0,0,H39/('Service Economics'!L29+#REF!*'Service Economics'!U29/(1+'Global Inputs'!$B$17)))</f>
        <v>#REF!</v>
      </c>
      <c r="J39" s="12" t="e">
        <f t="shared" si="1"/>
        <v>#REF!</v>
      </c>
      <c r="K39" s="26">
        <v>2</v>
      </c>
      <c r="L39" s="26">
        <v>5</v>
      </c>
      <c r="M39" s="26">
        <v>5</v>
      </c>
      <c r="N39" s="30">
        <v>1.4</v>
      </c>
      <c r="O39" s="31" t="e">
        <f t="shared" si="2"/>
        <v>#REF!</v>
      </c>
      <c r="P39" s="31" t="e">
        <f t="shared" si="3"/>
        <v>#REF!</v>
      </c>
      <c r="Q39" s="27" t="e">
        <f t="shared" si="4"/>
        <v>#REF!</v>
      </c>
      <c r="R39" s="32" t="e">
        <f>#REF!</f>
        <v>#REF!</v>
      </c>
      <c r="S39" s="27" t="e">
        <f t="shared" si="5"/>
        <v>#REF!</v>
      </c>
      <c r="T39" s="13" t="e">
        <f t="shared" si="6"/>
        <v>#REF!</v>
      </c>
      <c r="U39" s="26" t="s">
        <v>158</v>
      </c>
      <c r="V39" s="1">
        <f>'Service Economics'!D29</f>
        <v>1.3</v>
      </c>
      <c r="W39" s="33">
        <f>'Service Economics'!E29</f>
        <v>499</v>
      </c>
      <c r="X39">
        <f t="shared" si="7"/>
        <v>0</v>
      </c>
      <c r="Y39" t="e">
        <f t="shared" si="8"/>
        <v>#REF!</v>
      </c>
      <c r="Z39" t="e">
        <f>R39*C39*'Service Economics'!F29</f>
        <v>#REF!</v>
      </c>
      <c r="AA39">
        <f>MAX(C39,$C$53)*'Global Inputs'!$B$5*V39+W39</f>
        <v>2053.8000000000002</v>
      </c>
      <c r="AB39">
        <f>MAX(C39,'Global Inputs'!$B$22)*'Global Inputs'!$B$5*V39*$C$54+W39</f>
        <v>1898.32</v>
      </c>
      <c r="AC39" t="e">
        <f>D39+#REF!*'Service Economics'!V29</f>
        <v>#REF!</v>
      </c>
      <c r="AD39" t="e">
        <f t="shared" si="9"/>
        <v>#REF!</v>
      </c>
      <c r="AE39" t="e">
        <f t="shared" si="10"/>
        <v>#REF!</v>
      </c>
      <c r="AF39" t="e">
        <f t="shared" si="11"/>
        <v>#REF!</v>
      </c>
      <c r="AG39" s="7">
        <f>'Service Economics'!AL29</f>
        <v>1359.603358940929</v>
      </c>
      <c r="AH39" s="7">
        <f>'Service Economics'!AN29</f>
        <v>1498.603358940929</v>
      </c>
      <c r="AI39" s="7">
        <f>'Service Economics'!AP29</f>
        <v>339.90083973523224</v>
      </c>
      <c r="AJ39" s="135">
        <f>'Service Economics'!AQ29</f>
        <v>2</v>
      </c>
      <c r="AK39" s="6" t="e">
        <f>#REF!</f>
        <v>#REF!</v>
      </c>
      <c r="AL39" s="7" t="e">
        <f>IF(ISNUMBER(SEARCH("Future",'Service Economics'!AH29)),-1000000000,AG39*(1-#REF!)+AH39*#REF!)</f>
        <v>#REF!</v>
      </c>
      <c r="AM39" s="7">
        <f>IF(ISNUMBER(SEARCH("Future",'Service Economics'!AH29)),-1000000000,AI39)</f>
        <v>339.90083973523224</v>
      </c>
    </row>
    <row r="40" spans="1:39" ht="39" customHeight="1">
      <c r="A40" s="25" t="str">
        <f>'Service Economics'!A30</f>
        <v>Doctor-at-Home Coordination</v>
      </c>
      <c r="B40" s="25" t="str">
        <f>'Service Economics'!B30</f>
        <v>Medical Coordination</v>
      </c>
      <c r="C40" s="25">
        <f>'Service Economics'!C30</f>
        <v>2</v>
      </c>
      <c r="D40" s="11">
        <f>'Service Economics'!K30</f>
        <v>707.3</v>
      </c>
      <c r="E40" s="12">
        <f t="shared" si="0"/>
        <v>353.65</v>
      </c>
      <c r="F40" s="11">
        <f>'Service Economics'!R30</f>
        <v>518.15127966101693</v>
      </c>
      <c r="G40" s="11">
        <f>'Service Economics'!AB30</f>
        <v>657.15127966101693</v>
      </c>
      <c r="H40" s="12" t="e">
        <f>#REF!*F40+#REF!*G40-#REF!</f>
        <v>#REF!</v>
      </c>
      <c r="I40" s="13" t="e">
        <f>IF(('Service Economics'!L30+#REF!*'Service Economics'!U30/(1+'Global Inputs'!$B$17))=0,0,H40/('Service Economics'!L30+#REF!*'Service Economics'!U30/(1+'Global Inputs'!$B$17)))</f>
        <v>#REF!</v>
      </c>
      <c r="J40" s="12" t="e">
        <f t="shared" si="1"/>
        <v>#REF!</v>
      </c>
      <c r="K40" s="26">
        <v>3</v>
      </c>
      <c r="L40" s="26">
        <v>2</v>
      </c>
      <c r="M40" s="26">
        <v>2</v>
      </c>
      <c r="N40" s="30">
        <v>1</v>
      </c>
      <c r="O40" s="31" t="e">
        <f t="shared" si="2"/>
        <v>#REF!</v>
      </c>
      <c r="P40" s="31" t="e">
        <f t="shared" si="3"/>
        <v>#REF!</v>
      </c>
      <c r="Q40" s="27" t="e">
        <f t="shared" si="4"/>
        <v>#REF!</v>
      </c>
      <c r="R40" s="32" t="e">
        <f>#REF!</f>
        <v>#REF!</v>
      </c>
      <c r="S40" s="27" t="e">
        <f t="shared" si="5"/>
        <v>#REF!</v>
      </c>
      <c r="T40" s="13" t="e">
        <f t="shared" si="6"/>
        <v>#REF!</v>
      </c>
      <c r="U40" s="26" t="s">
        <v>159</v>
      </c>
      <c r="V40" s="1">
        <f>'Service Economics'!D30</f>
        <v>0.85</v>
      </c>
      <c r="W40" s="33">
        <f>'Service Economics'!E30</f>
        <v>0</v>
      </c>
      <c r="X40" t="e">
        <f t="shared" si="7"/>
        <v>#REF!</v>
      </c>
      <c r="Y40" t="e">
        <f t="shared" si="8"/>
        <v>#REF!</v>
      </c>
      <c r="Z40" t="e">
        <f>R40*C40*'Service Economics'!F30</f>
        <v>#REF!</v>
      </c>
      <c r="AA40">
        <f>MAX(C40,$C$53)*'Global Inputs'!$B$5*V40+W40</f>
        <v>762.44999999999993</v>
      </c>
      <c r="AB40">
        <f>MAX(C40,'Global Inputs'!$B$22)*'Global Inputs'!$B$5*V40*$C$54+W40</f>
        <v>457.47</v>
      </c>
      <c r="AC40" t="e">
        <f>D40+#REF!*'Service Economics'!V30</f>
        <v>#REF!</v>
      </c>
      <c r="AD40" t="e">
        <f t="shared" si="9"/>
        <v>#REF!</v>
      </c>
      <c r="AE40" t="e">
        <f t="shared" si="10"/>
        <v>#REF!</v>
      </c>
      <c r="AF40" t="e">
        <f t="shared" si="11"/>
        <v>#REF!</v>
      </c>
      <c r="AG40" s="7">
        <f>'Service Economics'!AL30</f>
        <v>311.05068794504064</v>
      </c>
      <c r="AH40" s="7">
        <f>'Service Economics'!AN30</f>
        <v>450.05068794504064</v>
      </c>
      <c r="AI40" s="7">
        <f>'Service Economics'!AP30</f>
        <v>155.52534397252032</v>
      </c>
      <c r="AJ40" s="135">
        <f>'Service Economics'!AQ30</f>
        <v>3</v>
      </c>
      <c r="AK40" s="6" t="e">
        <f>#REF!</f>
        <v>#REF!</v>
      </c>
      <c r="AL40" s="7" t="e">
        <f>IF(ISNUMBER(SEARCH("Future",'Service Economics'!AH30)),-1000000000,AG40*(1-#REF!)+AH40*#REF!)</f>
        <v>#REF!</v>
      </c>
      <c r="AM40" s="7">
        <f>IF(ISNUMBER(SEARCH("Future",'Service Economics'!AH30)),-1000000000,AI40)</f>
        <v>155.52534397252032</v>
      </c>
    </row>
    <row r="41" spans="1:39" ht="39" customHeight="1">
      <c r="A41" s="25" t="str">
        <f>'Service Economics'!A31</f>
        <v>Nurse-at-Home Coordination</v>
      </c>
      <c r="B41" s="25" t="str">
        <f>'Service Economics'!B31</f>
        <v>Medical Coordination</v>
      </c>
      <c r="C41" s="25">
        <f>'Service Economics'!C31</f>
        <v>2</v>
      </c>
      <c r="D41" s="11">
        <f>'Service Economics'!K31</f>
        <v>707.3</v>
      </c>
      <c r="E41" s="12">
        <f t="shared" si="0"/>
        <v>353.65</v>
      </c>
      <c r="F41" s="11">
        <f>'Service Economics'!R31</f>
        <v>518.15127966101693</v>
      </c>
      <c r="G41" s="11">
        <f>'Service Economics'!AB31</f>
        <v>657.15127966101693</v>
      </c>
      <c r="H41" s="12" t="e">
        <f>#REF!*F41+#REF!*G41-#REF!</f>
        <v>#REF!</v>
      </c>
      <c r="I41" s="13" t="e">
        <f>IF(('Service Economics'!L31+#REF!*'Service Economics'!U31/(1+'Global Inputs'!$B$17))=0,0,H41/('Service Economics'!L31+#REF!*'Service Economics'!U31/(1+'Global Inputs'!$B$17)))</f>
        <v>#REF!</v>
      </c>
      <c r="J41" s="12" t="e">
        <f t="shared" si="1"/>
        <v>#REF!</v>
      </c>
      <c r="K41" s="26">
        <v>4</v>
      </c>
      <c r="L41" s="26">
        <v>2</v>
      </c>
      <c r="M41" s="26">
        <v>2</v>
      </c>
      <c r="N41" s="30">
        <v>1</v>
      </c>
      <c r="O41" s="31" t="e">
        <f t="shared" si="2"/>
        <v>#REF!</v>
      </c>
      <c r="P41" s="31" t="e">
        <f t="shared" si="3"/>
        <v>#REF!</v>
      </c>
      <c r="Q41" s="27" t="e">
        <f t="shared" si="4"/>
        <v>#REF!</v>
      </c>
      <c r="R41" s="32" t="e">
        <f>#REF!</f>
        <v>#REF!</v>
      </c>
      <c r="S41" s="27" t="e">
        <f t="shared" si="5"/>
        <v>#REF!</v>
      </c>
      <c r="T41" s="13" t="e">
        <f t="shared" si="6"/>
        <v>#REF!</v>
      </c>
      <c r="U41" s="26" t="s">
        <v>159</v>
      </c>
      <c r="V41" s="1">
        <f>'Service Economics'!D31</f>
        <v>0.85</v>
      </c>
      <c r="W41" s="33">
        <f>'Service Economics'!E31</f>
        <v>0</v>
      </c>
      <c r="X41" t="e">
        <f t="shared" si="7"/>
        <v>#REF!</v>
      </c>
      <c r="Y41" t="e">
        <f t="shared" si="8"/>
        <v>#REF!</v>
      </c>
      <c r="Z41" t="e">
        <f>R41*C41*'Service Economics'!F31</f>
        <v>#REF!</v>
      </c>
      <c r="AA41">
        <f>MAX(C41,$C$53)*'Global Inputs'!$B$5*V41+W41</f>
        <v>762.44999999999993</v>
      </c>
      <c r="AB41">
        <f>MAX(C41,'Global Inputs'!$B$22)*'Global Inputs'!$B$5*V41*$C$54+W41</f>
        <v>457.47</v>
      </c>
      <c r="AC41" t="e">
        <f>D41+#REF!*'Service Economics'!V31</f>
        <v>#REF!</v>
      </c>
      <c r="AD41" t="e">
        <f t="shared" si="9"/>
        <v>#REF!</v>
      </c>
      <c r="AE41" t="e">
        <f t="shared" si="10"/>
        <v>#REF!</v>
      </c>
      <c r="AF41" t="e">
        <f t="shared" si="11"/>
        <v>#REF!</v>
      </c>
      <c r="AG41" s="7">
        <f>'Service Economics'!AL31</f>
        <v>311.05068794504064</v>
      </c>
      <c r="AH41" s="7">
        <f>'Service Economics'!AN31</f>
        <v>450.05068794504064</v>
      </c>
      <c r="AI41" s="7">
        <f>'Service Economics'!AP31</f>
        <v>155.52534397252032</v>
      </c>
      <c r="AJ41" s="135">
        <f>'Service Economics'!AQ31</f>
        <v>4</v>
      </c>
      <c r="AK41" s="6" t="e">
        <f>#REF!</f>
        <v>#REF!</v>
      </c>
      <c r="AL41" s="7" t="e">
        <f>IF(ISNUMBER(SEARCH("Future",'Service Economics'!AH31)),-1000000000,AG41*(1-#REF!)+AH41*#REF!)</f>
        <v>#REF!</v>
      </c>
      <c r="AM41" s="7">
        <f>IF(ISNUMBER(SEARCH("Future",'Service Economics'!AH31)),-1000000000,AI41)</f>
        <v>155.52534397252032</v>
      </c>
    </row>
    <row r="42" spans="1:39" ht="39" customHeight="1">
      <c r="A42" s="25" t="str">
        <f>'Service Economics'!A32</f>
        <v>Medical Tourism — Concierge Package (24 HR Basis)</v>
      </c>
      <c r="B42" s="25" t="str">
        <f>'Service Economics'!B32</f>
        <v>Medical Coordination</v>
      </c>
      <c r="C42" s="25">
        <f>'Service Economics'!C32</f>
        <v>24</v>
      </c>
      <c r="D42" s="11">
        <f>'Service Economics'!K32</f>
        <v>17550</v>
      </c>
      <c r="E42" s="12">
        <f t="shared" si="0"/>
        <v>731.25</v>
      </c>
      <c r="F42" s="11">
        <f>'Service Economics'!R32</f>
        <v>14202.131355932204</v>
      </c>
      <c r="G42" s="11">
        <f>'Service Economics'!AB32</f>
        <v>14341.131355932204</v>
      </c>
      <c r="H42" s="12" t="e">
        <f>#REF!*F42+#REF!*G42-#REF!</f>
        <v>#REF!</v>
      </c>
      <c r="I42" s="13" t="e">
        <f>IF(('Service Economics'!L32+#REF!*'Service Economics'!U32/(1+'Global Inputs'!$B$17))=0,0,H42/('Service Economics'!L32+#REF!*'Service Economics'!U32/(1+'Global Inputs'!$B$17)))</f>
        <v>#REF!</v>
      </c>
      <c r="J42" s="12" t="e">
        <f t="shared" si="1"/>
        <v>#REF!</v>
      </c>
      <c r="K42" s="26">
        <v>3</v>
      </c>
      <c r="L42" s="26">
        <v>2</v>
      </c>
      <c r="M42" s="26">
        <v>2</v>
      </c>
      <c r="N42" s="30">
        <v>0.9</v>
      </c>
      <c r="O42" s="31" t="e">
        <f t="shared" si="2"/>
        <v>#REF!</v>
      </c>
      <c r="P42" s="31" t="e">
        <f t="shared" si="3"/>
        <v>#REF!</v>
      </c>
      <c r="Q42" s="27" t="e">
        <f t="shared" si="4"/>
        <v>#REF!</v>
      </c>
      <c r="R42" s="32" t="e">
        <f>#REF!</f>
        <v>#REF!</v>
      </c>
      <c r="S42" s="27" t="e">
        <f t="shared" si="5"/>
        <v>#REF!</v>
      </c>
      <c r="T42" s="13" t="e">
        <f t="shared" si="6"/>
        <v>#REF!</v>
      </c>
      <c r="U42" s="26" t="s">
        <v>159</v>
      </c>
      <c r="V42" s="1">
        <f>'Service Economics'!D32</f>
        <v>2</v>
      </c>
      <c r="W42" s="33">
        <f>'Service Economics'!E32</f>
        <v>2999</v>
      </c>
      <c r="X42" t="e">
        <f t="shared" si="7"/>
        <v>#REF!</v>
      </c>
      <c r="Y42" t="e">
        <f t="shared" si="8"/>
        <v>#REF!</v>
      </c>
      <c r="Z42" t="e">
        <f>R42*C42*'Service Economics'!F32</f>
        <v>#REF!</v>
      </c>
      <c r="AA42">
        <f>MAX(C42,$C$53)*'Global Inputs'!$B$5*V42+W42</f>
        <v>17351</v>
      </c>
      <c r="AB42">
        <f>MAX(C42,'Global Inputs'!$B$22)*'Global Inputs'!$B$5*V42*$C$54+W42</f>
        <v>15915.800000000001</v>
      </c>
      <c r="AC42" t="e">
        <f>D42+#REF!*'Service Economics'!V32</f>
        <v>#REF!</v>
      </c>
      <c r="AD42" t="e">
        <f t="shared" si="9"/>
        <v>#REF!</v>
      </c>
      <c r="AE42" t="e">
        <f t="shared" si="10"/>
        <v>#REF!</v>
      </c>
      <c r="AF42" t="e">
        <f t="shared" si="11"/>
        <v>#REF!</v>
      </c>
      <c r="AG42" s="7">
        <f>'Service Economics'!AL32</f>
        <v>11716.924255340487</v>
      </c>
      <c r="AH42" s="7">
        <f>'Service Economics'!AN32</f>
        <v>11855.924255340487</v>
      </c>
      <c r="AI42" s="7">
        <f>'Service Economics'!AP32</f>
        <v>488.20517730585362</v>
      </c>
      <c r="AJ42" s="135">
        <f>'Service Economics'!AQ32</f>
        <v>2</v>
      </c>
      <c r="AK42" s="6" t="e">
        <f>#REF!</f>
        <v>#REF!</v>
      </c>
      <c r="AL42" s="7" t="e">
        <f>IF(ISNUMBER(SEARCH("Future",'Service Economics'!AH32)),-1000000000,AG42*(1-#REF!)+AH42*#REF!)</f>
        <v>#REF!</v>
      </c>
      <c r="AM42" s="7">
        <f>IF(ISNUMBER(SEARCH("Future",'Service Economics'!AH32)),-1000000000,AI42)</f>
        <v>488.20517730585362</v>
      </c>
    </row>
    <row r="43" spans="1:39" ht="39" customHeight="1">
      <c r="A43" s="25" t="str">
        <f>'Service Economics'!A33</f>
        <v>Pharmacy / Prescription Coordination</v>
      </c>
      <c r="B43" s="25" t="str">
        <f>'Service Economics'!B33</f>
        <v>Medical Coordination</v>
      </c>
      <c r="C43" s="25">
        <f>'Service Economics'!C33</f>
        <v>1.5</v>
      </c>
      <c r="D43" s="11">
        <f>'Service Economics'!K33</f>
        <v>587.70000000000005</v>
      </c>
      <c r="E43" s="12">
        <f t="shared" si="0"/>
        <v>391.8</v>
      </c>
      <c r="F43" s="11">
        <f>'Service Economics'!R33</f>
        <v>420.98134745762718</v>
      </c>
      <c r="G43" s="11">
        <f>'Service Economics'!AB33</f>
        <v>559.98134745762718</v>
      </c>
      <c r="H43" s="12" t="e">
        <f>#REF!*F43+#REF!*G43-#REF!</f>
        <v>#REF!</v>
      </c>
      <c r="I43" s="13" t="e">
        <f>IF(('Service Economics'!L33+#REF!*'Service Economics'!U33/(1+'Global Inputs'!$B$17))=0,0,H43/('Service Economics'!L33+#REF!*'Service Economics'!U33/(1+'Global Inputs'!$B$17)))</f>
        <v>#REF!</v>
      </c>
      <c r="J43" s="12" t="e">
        <f t="shared" si="1"/>
        <v>#REF!</v>
      </c>
      <c r="K43" s="26">
        <v>4</v>
      </c>
      <c r="L43" s="26">
        <v>1</v>
      </c>
      <c r="M43" s="26">
        <v>2</v>
      </c>
      <c r="N43" s="30">
        <v>1</v>
      </c>
      <c r="O43" s="31" t="e">
        <f t="shared" si="2"/>
        <v>#REF!</v>
      </c>
      <c r="P43" s="31" t="e">
        <f t="shared" si="3"/>
        <v>#REF!</v>
      </c>
      <c r="Q43" s="27" t="e">
        <f t="shared" si="4"/>
        <v>#REF!</v>
      </c>
      <c r="R43" s="32" t="e">
        <f>#REF!</f>
        <v>#REF!</v>
      </c>
      <c r="S43" s="27" t="e">
        <f t="shared" si="5"/>
        <v>#REF!</v>
      </c>
      <c r="T43" s="13" t="e">
        <f t="shared" si="6"/>
        <v>#REF!</v>
      </c>
      <c r="U43" s="26" t="s">
        <v>159</v>
      </c>
      <c r="V43" s="1">
        <f>'Service Economics'!D33</f>
        <v>0.65</v>
      </c>
      <c r="W43" s="33">
        <f>'Service Economics'!E33</f>
        <v>0</v>
      </c>
      <c r="X43" t="e">
        <f t="shared" si="7"/>
        <v>#REF!</v>
      </c>
      <c r="Y43" t="e">
        <f t="shared" si="8"/>
        <v>#REF!</v>
      </c>
      <c r="Z43" t="e">
        <f>R43*C43*'Service Economics'!F33</f>
        <v>#REF!</v>
      </c>
      <c r="AA43">
        <f>MAX(C43,$C$53)*'Global Inputs'!$B$5*V43+W43</f>
        <v>583.05000000000007</v>
      </c>
      <c r="AB43">
        <f>MAX(C43,'Global Inputs'!$B$22)*'Global Inputs'!$B$5*V43*$C$54+W43</f>
        <v>349.83</v>
      </c>
      <c r="AC43" t="e">
        <f>D43+#REF!*'Service Economics'!V33</f>
        <v>#REF!</v>
      </c>
      <c r="AD43" t="e">
        <f t="shared" si="9"/>
        <v>#REF!</v>
      </c>
      <c r="AE43" t="e">
        <f t="shared" si="10"/>
        <v>#REF!</v>
      </c>
      <c r="AF43" t="e">
        <f t="shared" si="11"/>
        <v>#REF!</v>
      </c>
      <c r="AG43" s="7">
        <f>'Service Economics'!AL33</f>
        <v>265.65590367064493</v>
      </c>
      <c r="AH43" s="7">
        <f>'Service Economics'!AN33</f>
        <v>404.65590367064493</v>
      </c>
      <c r="AI43" s="7">
        <f>'Service Economics'!AP33</f>
        <v>177.10393578042996</v>
      </c>
      <c r="AJ43" s="135">
        <f>'Service Economics'!AQ33</f>
        <v>4</v>
      </c>
      <c r="AK43" s="6" t="e">
        <f>#REF!</f>
        <v>#REF!</v>
      </c>
      <c r="AL43" s="7" t="e">
        <f>IF(ISNUMBER(SEARCH("Future",'Service Economics'!AH33)),-1000000000,AG43*(1-#REF!)+AH43*#REF!)</f>
        <v>#REF!</v>
      </c>
      <c r="AM43" s="7">
        <f>IF(ISNUMBER(SEARCH("Future",'Service Economics'!AH33)),-1000000000,AI43)</f>
        <v>177.10393578042996</v>
      </c>
    </row>
    <row r="44" spans="1:39" ht="39" customHeight="1">
      <c r="A44" s="25" t="str">
        <f>'Service Economics'!A34</f>
        <v>Family Medical Update Concierge</v>
      </c>
      <c r="B44" s="25" t="str">
        <f>'Service Economics'!B34</f>
        <v>Continuing Care</v>
      </c>
      <c r="C44" s="25">
        <f>'Service Economics'!C34</f>
        <v>3</v>
      </c>
      <c r="D44" s="11">
        <f>'Service Economics'!K34</f>
        <v>782.05000000000007</v>
      </c>
      <c r="E44" s="12">
        <f t="shared" si="0"/>
        <v>260.68333333333334</v>
      </c>
      <c r="F44" s="11">
        <f>'Service Economics'!R34</f>
        <v>578.88248728813562</v>
      </c>
      <c r="G44" s="11">
        <f>'Service Economics'!AB34</f>
        <v>717.88248728813562</v>
      </c>
      <c r="H44" s="12" t="e">
        <f>#REF!*F44+#REF!*G44-#REF!</f>
        <v>#REF!</v>
      </c>
      <c r="I44" s="13" t="e">
        <f>IF(('Service Economics'!L34+#REF!*'Service Economics'!U34/(1+'Global Inputs'!$B$17))=0,0,H44/('Service Economics'!L34+#REF!*'Service Economics'!U34/(1+'Global Inputs'!$B$17)))</f>
        <v>#REF!</v>
      </c>
      <c r="J44" s="12" t="e">
        <f t="shared" si="1"/>
        <v>#REF!</v>
      </c>
      <c r="K44" s="26">
        <v>5</v>
      </c>
      <c r="L44" s="26">
        <v>1</v>
      </c>
      <c r="M44" s="26">
        <v>1</v>
      </c>
      <c r="N44" s="30">
        <v>1.2</v>
      </c>
      <c r="O44" s="31" t="e">
        <f t="shared" si="2"/>
        <v>#REF!</v>
      </c>
      <c r="P44" s="31" t="e">
        <f t="shared" si="3"/>
        <v>#REF!</v>
      </c>
      <c r="Q44" s="27" t="e">
        <f t="shared" si="4"/>
        <v>#REF!</v>
      </c>
      <c r="R44" s="32" t="e">
        <f>#REF!</f>
        <v>#REF!</v>
      </c>
      <c r="S44" s="27" t="e">
        <f t="shared" si="5"/>
        <v>#REF!</v>
      </c>
      <c r="T44" s="13" t="e">
        <f t="shared" si="6"/>
        <v>#REF!</v>
      </c>
      <c r="U44" s="26" t="s">
        <v>159</v>
      </c>
      <c r="V44" s="1">
        <f>'Service Economics'!D34</f>
        <v>0.65</v>
      </c>
      <c r="W44" s="33">
        <f>'Service Economics'!E34</f>
        <v>0</v>
      </c>
      <c r="X44" t="e">
        <f t="shared" si="7"/>
        <v>#REF!</v>
      </c>
      <c r="Y44" t="e">
        <f t="shared" si="8"/>
        <v>#REF!</v>
      </c>
      <c r="Z44" t="e">
        <f>R44*C44*'Service Economics'!F34</f>
        <v>#REF!</v>
      </c>
      <c r="AA44">
        <f>MAX(C44,$C$53)*'Global Inputs'!$B$5*V44+W44</f>
        <v>583.05000000000007</v>
      </c>
      <c r="AB44">
        <f>MAX(C44,'Global Inputs'!$B$22)*'Global Inputs'!$B$5*V44*$C$54+W44</f>
        <v>524.74500000000012</v>
      </c>
      <c r="AC44" t="e">
        <f>D44+#REF!*'Service Economics'!V34</f>
        <v>#REF!</v>
      </c>
      <c r="AD44" t="e">
        <f t="shared" si="9"/>
        <v>#REF!</v>
      </c>
      <c r="AE44" t="e">
        <f t="shared" si="10"/>
        <v>#REF!</v>
      </c>
      <c r="AF44" t="e">
        <f t="shared" si="11"/>
        <v>#REF!</v>
      </c>
      <c r="AG44" s="7">
        <f>'Service Economics'!AL34</f>
        <v>268.23159971417113</v>
      </c>
      <c r="AH44" s="7">
        <f>'Service Economics'!AN34</f>
        <v>407.23159971417113</v>
      </c>
      <c r="AI44" s="7">
        <f>'Service Economics'!AP34</f>
        <v>89.410533238057042</v>
      </c>
      <c r="AJ44" s="135">
        <f>'Service Economics'!AQ34</f>
        <v>5</v>
      </c>
      <c r="AK44" s="6" t="e">
        <f>#REF!</f>
        <v>#REF!</v>
      </c>
      <c r="AL44" s="7" t="e">
        <f>IF(ISNUMBER(SEARCH("Future",'Service Economics'!AH34)),-1000000000,AG44*(1-#REF!)+AH44*#REF!)</f>
        <v>#REF!</v>
      </c>
      <c r="AM44" s="7">
        <f>IF(ISNUMBER(SEARCH("Future",'Service Economics'!AH34)),-1000000000,AI44)</f>
        <v>89.410533238057042</v>
      </c>
    </row>
    <row r="49" spans="1:9">
      <c r="A49" s="313" t="s">
        <v>160</v>
      </c>
      <c r="B49" s="313"/>
      <c r="C49" s="313"/>
      <c r="D49" s="313"/>
      <c r="E49" s="313"/>
      <c r="F49" s="313"/>
      <c r="G49" s="313"/>
      <c r="H49" s="313"/>
      <c r="I49" s="313"/>
    </row>
    <row r="50" spans="1:9">
      <c r="A50" s="23" t="s">
        <v>161</v>
      </c>
      <c r="B50" s="23" t="s">
        <v>162</v>
      </c>
      <c r="C50" s="23" t="s">
        <v>163</v>
      </c>
      <c r="D50" s="23" t="s">
        <v>164</v>
      </c>
      <c r="E50" s="23" t="s">
        <v>110</v>
      </c>
      <c r="F50" s="23" t="s">
        <v>111</v>
      </c>
      <c r="G50" s="23" t="s">
        <v>165</v>
      </c>
      <c r="H50" s="23" t="s">
        <v>166</v>
      </c>
      <c r="I50" s="23" t="s">
        <v>167</v>
      </c>
    </row>
    <row r="51" spans="1:9">
      <c r="A51" t="s">
        <v>168</v>
      </c>
      <c r="B51" s="7">
        <f>'Global Inputs'!$B$5</f>
        <v>299</v>
      </c>
      <c r="C51" s="19">
        <v>499</v>
      </c>
      <c r="D51" s="15" t="e">
        <f>#REF!+#REF!*(SUM($Y$15:$Y$44)*(C51-B51))</f>
        <v>#REF!</v>
      </c>
      <c r="E51" s="15" t="e">
        <f>#REF!+#REF!*((SUM($Y$15:$Y$44)*(C51-B51))/(1+'Global Inputs'!$B$7)*(1-'NC Credits'!$B$15)-(SUM($Y$15:$Y$44)*(C51-B51))*'Global Inputs'!$B$8)</f>
        <v>#REF!</v>
      </c>
      <c r="F51" s="15" t="e">
        <f>#REF!+#REF!*((SUM($Y$15:$Y$44)*(C51-B51))/(1+'Global Inputs'!$B$7)*(1-'NC Credits'!$B$15)-(SUM($Y$15:$Y$44)*(C51-B51))*'Global Inputs'!$B$8)</f>
        <v>#REF!</v>
      </c>
      <c r="G51" s="15" t="e">
        <f>IF(#REF!=0,0,F51/#REF!)</f>
        <v>#REF!</v>
      </c>
      <c r="H51" s="14" t="e">
        <f>IF(E51/#REF!&lt;=0,0,#REF!/(E51/#REF!))</f>
        <v>#REF!</v>
      </c>
      <c r="I51" s="15" t="e">
        <f>F51-#REF!</f>
        <v>#REF!</v>
      </c>
    </row>
    <row r="52" spans="1:9">
      <c r="A52" t="s">
        <v>169</v>
      </c>
      <c r="B52" s="7">
        <f>'Global Inputs'!$B$6</f>
        <v>0</v>
      </c>
      <c r="C52" s="19">
        <v>160</v>
      </c>
      <c r="D52" s="15" t="e">
        <f>#REF!</f>
        <v>#REF!</v>
      </c>
      <c r="E52" s="15" t="e">
        <f>#REF!-#REF!*(SUM($Z$15:$Z$44)*(C52-B52))</f>
        <v>#REF!</v>
      </c>
      <c r="F52" s="15" t="e">
        <f>#REF!-#REF!*(SUM($Z$15:$Z$44)*(C52-B52))</f>
        <v>#REF!</v>
      </c>
      <c r="G52" s="15" t="e">
        <f>IF(#REF!=0,0,F52/#REF!)</f>
        <v>#REF!</v>
      </c>
      <c r="H52" s="14" t="e">
        <f>IF(E52/#REF!&lt;=0,0,#REF!/(E52/#REF!))</f>
        <v>#REF!</v>
      </c>
      <c r="I52" s="15" t="e">
        <f>F52-#REF!</f>
        <v>#REF!</v>
      </c>
    </row>
    <row r="53" spans="1:9">
      <c r="A53" t="s">
        <v>170</v>
      </c>
      <c r="B53" s="17">
        <f>'Global Inputs'!$B$22</f>
        <v>2</v>
      </c>
      <c r="C53" s="20">
        <v>3</v>
      </c>
      <c r="D53" s="15" t="e">
        <f>#REF!+#REF!*(SUMPRODUCT($R$15:$R$44,$AA$15:$AA$44-$D$15:$D$44))</f>
        <v>#REF!</v>
      </c>
      <c r="E53" s="15" t="e">
        <f>#REF!+#REF!*((SUMPRODUCT($R$15:$R$44,$AA$15:$AA$44-$D$15:$D$44))/(1+'Global Inputs'!$B$7)*(1-'NC Credits'!$B$15)-(SUMPRODUCT($R$15:$R$44,$AA$15:$AA$44-$D$15:$D$44))*'Global Inputs'!$B$8)</f>
        <v>#REF!</v>
      </c>
      <c r="F53" s="15" t="e">
        <f>#REF!+#REF!*((SUMPRODUCT($R$15:$R$44,$AA$15:$AA$44-$D$15:$D$44))/(1+'Global Inputs'!$B$7)*(1-'NC Credits'!$B$15)-(SUMPRODUCT($R$15:$R$44,$AA$15:$AA$44-$D$15:$D$44))*'Global Inputs'!$B$8)</f>
        <v>#REF!</v>
      </c>
      <c r="G53" s="15" t="e">
        <f>IF(#REF!=0,0,F53/#REF!)</f>
        <v>#REF!</v>
      </c>
      <c r="H53" s="14" t="e">
        <f>IF(E53/#REF!&lt;=0,0,#REF!/(E53/#REF!))</f>
        <v>#REF!</v>
      </c>
      <c r="I53" s="15" t="e">
        <f>F53-#REF!</f>
        <v>#REF!</v>
      </c>
    </row>
    <row r="54" spans="1:9">
      <c r="A54" t="s">
        <v>729</v>
      </c>
      <c r="B54" s="147">
        <v>1</v>
      </c>
      <c r="C54" s="196">
        <v>0.9</v>
      </c>
      <c r="D54" s="15" t="e">
        <f>#REF!+#REF!*(SUMPRODUCT($R$15:$R$44,$AB$15:$AB$44-$D$15:$D$44))</f>
        <v>#REF!</v>
      </c>
      <c r="E54" s="15" t="e">
        <f>#REF!+#REF!*((SUMPRODUCT($R$15:$R$44,$AB$15:$AB$44-$D$15:$D$44))/(1+'Global Inputs'!$B$7)*(1-'NC Credits'!$B$15)-(SUMPRODUCT($R$15:$R$44,$AB$15:$AB$44-$D$15:$D$44))*'Global Inputs'!$B$8)</f>
        <v>#REF!</v>
      </c>
      <c r="F54" s="15" t="e">
        <f>#REF!+#REF!*((SUMPRODUCT($R$15:$R$44,$AB$15:$AB$44-$D$15:$D$44))/(1+'Global Inputs'!$B$7)*(1-'NC Credits'!$B$15)-(SUMPRODUCT($R$15:$R$44,$AB$15:$AB$44-$D$15:$D$44))*'Global Inputs'!$B$8)</f>
        <v>#REF!</v>
      </c>
      <c r="G54" s="15" t="e">
        <f>IF(#REF!=0,0,F54/#REF!)</f>
        <v>#REF!</v>
      </c>
      <c r="H54" s="14" t="e">
        <f>IF(E54/#REF!&lt;=0,0,#REF!/(E54/#REF!))</f>
        <v>#REF!</v>
      </c>
      <c r="I54" s="15" t="e">
        <f>F54-#REF!</f>
        <v>#REF!</v>
      </c>
    </row>
    <row r="55" spans="1:9">
      <c r="A55" t="s">
        <v>28</v>
      </c>
      <c r="B55" s="7">
        <f>'Global Inputs'!$B$16</f>
        <v>149</v>
      </c>
      <c r="C55" s="19">
        <v>199</v>
      </c>
      <c r="D55" s="15" t="e">
        <f>#REF!+#REF!*#REF!*(C55-B55)</f>
        <v>#REF!</v>
      </c>
      <c r="E55" s="15" t="e">
        <f>#REF!+#REF!*(#REF!*((C55-B55)/(1+'Global Inputs'!$B$17)-(C55-B55)*'Global Inputs'!$B$8))</f>
        <v>#REF!</v>
      </c>
      <c r="F55" s="15" t="e">
        <f>#REF!+#REF!*(#REF!*((C55-B55)/(1+'Global Inputs'!$B$17)-(C55-B55)*'Global Inputs'!$B$8))</f>
        <v>#REF!</v>
      </c>
      <c r="G55" s="15" t="e">
        <f>IF(#REF!=0,0,F55/#REF!)</f>
        <v>#REF!</v>
      </c>
      <c r="H55" s="14" t="e">
        <f>IF(E55/#REF!&lt;=0,0,#REF!/(E55/#REF!))</f>
        <v>#REF!</v>
      </c>
      <c r="I55" s="15" t="e">
        <f>F55-#REF!</f>
        <v>#REF!</v>
      </c>
    </row>
    <row r="56" spans="1:9">
      <c r="A56" t="s">
        <v>171</v>
      </c>
      <c r="B56" s="7">
        <f>'Global Inputs'!$B$15</f>
        <v>500</v>
      </c>
      <c r="C56" s="19">
        <v>450</v>
      </c>
      <c r="D56" s="15" t="e">
        <f>#REF!+#REF!*#REF!*(C56-B56)</f>
        <v>#REF!</v>
      </c>
      <c r="E56" s="15" t="e">
        <f>#REF!+#REF!*(-#REF!*(C56-B56)*'Global Inputs'!$B$8)</f>
        <v>#REF!</v>
      </c>
      <c r="F56" s="15" t="e">
        <f>#REF!+#REF!*(-#REF!*(C56-B56)*'Global Inputs'!$B$8)</f>
        <v>#REF!</v>
      </c>
      <c r="G56" s="15" t="e">
        <f>IF(#REF!=0,0,F56/#REF!)</f>
        <v>#REF!</v>
      </c>
      <c r="H56" s="14" t="e">
        <f>IF(E56/#REF!&lt;=0,0,#REF!/(E56/#REF!))</f>
        <v>#REF!</v>
      </c>
      <c r="I56" s="15" t="e">
        <f>F56-#REF!</f>
        <v>#REF!</v>
      </c>
    </row>
    <row r="57" spans="1:9">
      <c r="A57" t="s">
        <v>13</v>
      </c>
      <c r="B57" s="18">
        <f>'Global Inputs'!$B$8</f>
        <v>0</v>
      </c>
      <c r="C57" s="22">
        <v>1.4999999999999999E-2</v>
      </c>
      <c r="D57" s="15" t="e">
        <f>#REF!</f>
        <v>#REF!</v>
      </c>
      <c r="E57" s="15" t="e">
        <f>#REF!-(#REF!*(C57-B57))</f>
        <v>#REF!</v>
      </c>
      <c r="F57" s="15" t="e">
        <f>#REF!-(#REF!*(C57-B57))</f>
        <v>#REF!</v>
      </c>
      <c r="G57" s="15" t="e">
        <f>IF(#REF!=0,0,F57/#REF!)</f>
        <v>#REF!</v>
      </c>
      <c r="H57" s="14" t="e">
        <f>IF(E57/#REF!&lt;=0,0,#REF!/(E57/#REF!))</f>
        <v>#REF!</v>
      </c>
      <c r="I57" s="15" t="e">
        <f>F57-#REF!</f>
        <v>#REF!</v>
      </c>
    </row>
    <row r="58" spans="1:9">
      <c r="A58" t="s">
        <v>172</v>
      </c>
      <c r="B58" s="18" t="e">
        <f>#REF!</f>
        <v>#REF!</v>
      </c>
      <c r="C58" s="22">
        <v>0.75</v>
      </c>
      <c r="D58" s="15" t="e">
        <f>MIN(#REF!,#REF!*#REF!*#REF!*C58/#REF!,#REF!*#REF!*#REF!)*#REF!</f>
        <v>#REF!</v>
      </c>
      <c r="E58" s="15" t="e">
        <f>MIN(#REF!,#REF!*#REF!*#REF!*C58/#REF!,#REF!*#REF!*#REF!)*#REF!</f>
        <v>#REF!</v>
      </c>
      <c r="F58" s="15" t="e">
        <f>E58-#REF!</f>
        <v>#REF!</v>
      </c>
      <c r="G58" s="15" t="e">
        <f>IF(#REF!=0,0,F58/#REF!)</f>
        <v>#REF!</v>
      </c>
      <c r="H58" s="14" t="e">
        <f>IF(E58/#REF!&lt;=0,0,#REF!/(E58/#REF!))</f>
        <v>#REF!</v>
      </c>
      <c r="I58" s="15" t="e">
        <f>F58-#REF!</f>
        <v>#REF!</v>
      </c>
    </row>
    <row r="59" spans="1:9">
      <c r="A59" t="s">
        <v>173</v>
      </c>
      <c r="B59" t="s">
        <v>174</v>
      </c>
      <c r="C59" t="s">
        <v>175</v>
      </c>
      <c r="D59" s="15" t="e">
        <f>MIN(#REF!,#REF!*#REF!*#REF!*#REF!/SUM($AF$15:$AF$44),#REF!*#REF!*#REF!)*SUM($AD$15:$AD$44)</f>
        <v>#REF!</v>
      </c>
      <c r="E59" s="15" t="e">
        <f>MIN(#REF!,#REF!*#REF!*#REF!*#REF!/SUM($AF$15:$AF$44),#REF!*#REF!*#REF!)*SUM($AE$15:$AE$44)</f>
        <v>#REF!</v>
      </c>
      <c r="F59" s="15" t="e">
        <f>E59-#REF!</f>
        <v>#REF!</v>
      </c>
      <c r="G59" s="15" t="e">
        <f>IF(#REF!=0,0,F59/#REF!)</f>
        <v>#REF!</v>
      </c>
      <c r="H59" s="14" t="e">
        <f>IF(E59/#REF!&lt;=0,0,#REF!/(E59/#REF!))</f>
        <v>#REF!</v>
      </c>
      <c r="I59" s="15" t="e">
        <f>F59-#REF!</f>
        <v>#REF!</v>
      </c>
    </row>
    <row r="60" spans="1:9">
      <c r="A60" t="s">
        <v>176</v>
      </c>
      <c r="B60" s="18" t="e">
        <f>#REF!</f>
        <v>#REF!</v>
      </c>
      <c r="C60" s="22">
        <v>0.4</v>
      </c>
      <c r="D60" s="15" t="e">
        <f>#REF!</f>
        <v>#REF!</v>
      </c>
      <c r="E60" s="15" t="e">
        <f>#REF!+(#REF!*(C60-B60)*'Global Inputs'!$B$20)</f>
        <v>#REF!</v>
      </c>
      <c r="F60" s="15" t="e">
        <f>#REF!+(#REF!*(C60-B60)*'Global Inputs'!$B$20)</f>
        <v>#REF!</v>
      </c>
      <c r="G60" s="15" t="e">
        <f>IF(#REF!=0,0,F60/#REF!)</f>
        <v>#REF!</v>
      </c>
      <c r="H60" s="14" t="e">
        <f>IF(E60/#REF!&lt;=0,0,#REF!/(E60/#REF!))</f>
        <v>#REF!</v>
      </c>
      <c r="I60" s="15" t="e">
        <f>F60-#REF!</f>
        <v>#REF!</v>
      </c>
    </row>
    <row r="61" spans="1:9">
      <c r="A61" t="s">
        <v>98</v>
      </c>
      <c r="B61" s="18" t="e">
        <f>#REF!</f>
        <v>#REF!</v>
      </c>
      <c r="C61" s="22">
        <v>0.05</v>
      </c>
      <c r="D61" s="15" t="e">
        <f>MIN((#REF!*(1-C61)*(1-#REF!)),#REF!*#REF!*#REF!*#REF!/#REF!,#REF!*#REF!*#REF!)*#REF!</f>
        <v>#REF!</v>
      </c>
      <c r="E61" s="15" t="e">
        <f>MIN((#REF!*(1-C61)*(1-#REF!)),#REF!*#REF!*#REF!*#REF!/#REF!,#REF!*#REF!*#REF!)*#REF!</f>
        <v>#REF!</v>
      </c>
      <c r="F61" s="15" t="e">
        <f>E61-#REF!</f>
        <v>#REF!</v>
      </c>
      <c r="G61" s="15" t="e">
        <f>IF(#REF!=0,0,F61/#REF!)</f>
        <v>#REF!</v>
      </c>
      <c r="H61" s="14" t="e">
        <f>IF(E61/#REF!&lt;=0,0,#REF!/(E61/#REF!))</f>
        <v>#REF!</v>
      </c>
      <c r="I61" s="15" t="e">
        <f>F61-#REF!</f>
        <v>#REF!</v>
      </c>
    </row>
    <row r="62" spans="1:9">
      <c r="A62" t="s">
        <v>177</v>
      </c>
      <c r="B62" s="17" t="e">
        <f>#REF!</f>
        <v>#REF!</v>
      </c>
      <c r="C62" s="20">
        <v>20</v>
      </c>
      <c r="D62" s="15" t="e">
        <f>MIN((C62*#REF!*#REF!*(1-#REF!)*(1-#REF!)),#REF!*#REF!*#REF!*#REF!/#REF!,#REF!*#REF!*#REF!)*#REF!</f>
        <v>#REF!</v>
      </c>
      <c r="E62" s="15" t="e">
        <f>MIN((C62*#REF!*#REF!*(1-#REF!)*(1-#REF!)),#REF!*#REF!*#REF!*#REF!/#REF!,#REF!*#REF!*#REF!)*#REF!</f>
        <v>#REF!</v>
      </c>
      <c r="F62" s="15" t="e">
        <f>E62-#REF!</f>
        <v>#REF!</v>
      </c>
      <c r="G62" s="15" t="e">
        <f>F62/#REF!</f>
        <v>#REF!</v>
      </c>
      <c r="H62" s="14" t="e">
        <f>#REF!/#REF!</f>
        <v>#REF!</v>
      </c>
      <c r="I62" s="15" t="e">
        <f>F62-#REF!</f>
        <v>#REF!</v>
      </c>
    </row>
    <row r="63" spans="1:9">
      <c r="A63" t="s">
        <v>178</v>
      </c>
      <c r="B63" s="7" t="e">
        <f>#REF!</f>
        <v>#REF!</v>
      </c>
      <c r="C63" s="19">
        <v>150000</v>
      </c>
      <c r="D63" s="15" t="e">
        <f>#REF!</f>
        <v>#REF!</v>
      </c>
      <c r="E63" s="15" t="e">
        <f>#REF!</f>
        <v>#REF!</v>
      </c>
      <c r="F63" s="15" t="e">
        <f>E63-C63</f>
        <v>#REF!</v>
      </c>
      <c r="G63" s="15" t="e">
        <f>F63/#REF!</f>
        <v>#REF!</v>
      </c>
      <c r="H63" s="14" t="e">
        <f>C63/#REF!</f>
        <v>#REF!</v>
      </c>
      <c r="I63" s="15" t="e">
        <f>F63-#REF!</f>
        <v>#REF!</v>
      </c>
    </row>
    <row r="64" spans="1:9">
      <c r="A64" s="313"/>
      <c r="B64" s="313"/>
      <c r="C64" s="313"/>
      <c r="D64" s="313"/>
      <c r="E64" s="313"/>
    </row>
    <row r="65" spans="1:9">
      <c r="A65" s="21"/>
      <c r="B65" s="21"/>
      <c r="C65" s="21"/>
      <c r="D65" s="21"/>
    </row>
    <row r="66" spans="1:9">
      <c r="B66" s="14"/>
      <c r="C66" s="14"/>
      <c r="D66" s="14"/>
    </row>
    <row r="67" spans="1:9">
      <c r="A67" s="313" t="s">
        <v>179</v>
      </c>
      <c r="B67" s="316"/>
      <c r="C67" s="316"/>
      <c r="D67" s="316"/>
      <c r="E67" s="313"/>
    </row>
    <row r="68" spans="1:9">
      <c r="A68" s="21" t="s">
        <v>108</v>
      </c>
      <c r="B68" s="34" t="s">
        <v>180</v>
      </c>
      <c r="C68" s="34" t="s">
        <v>181</v>
      </c>
      <c r="D68" s="34" t="s">
        <v>182</v>
      </c>
    </row>
    <row r="69" spans="1:9">
      <c r="A69" t="s">
        <v>100</v>
      </c>
      <c r="B69" s="14" t="e">
        <f>SUMPRODUCT($R$15:$R$44,$C$15:$C$44)</f>
        <v>#REF!</v>
      </c>
      <c r="C69" s="14" t="e">
        <f>SUM($AF$15:$AF$44)</f>
        <v>#REF!</v>
      </c>
      <c r="D69" s="14" t="e">
        <f t="shared" ref="D69:D74" si="12">C69-B69</f>
        <v>#REF!</v>
      </c>
    </row>
    <row r="70" spans="1:9">
      <c r="A70" t="s">
        <v>183</v>
      </c>
      <c r="B70" s="14" t="e">
        <f>#REF!</f>
        <v>#REF!</v>
      </c>
      <c r="C70" s="14" t="e">
        <f>MIN(#REF!,#REF!*#REF!*#REF!*#REF!/SUM($AF$15:$AF$44),#REF!*#REF!*#REF!)</f>
        <v>#REF!</v>
      </c>
      <c r="D70" s="14" t="e">
        <f t="shared" si="12"/>
        <v>#REF!</v>
      </c>
    </row>
    <row r="71" spans="1:9">
      <c r="A71" t="s">
        <v>184</v>
      </c>
      <c r="B71" s="15" t="e">
        <f>#REF!</f>
        <v>#REF!</v>
      </c>
      <c r="C71" s="15" t="e">
        <f>MIN(#REF!,#REF!*#REF!*#REF!*#REF!/SUM($AF$15:$AF$44),#REF!*#REF!*#REF!)*SUM($AD$15:$AD$44)</f>
        <v>#REF!</v>
      </c>
      <c r="D71" s="15" t="e">
        <f t="shared" si="12"/>
        <v>#REF!</v>
      </c>
    </row>
    <row r="72" spans="1:9">
      <c r="A72" t="s">
        <v>185</v>
      </c>
      <c r="B72" s="15" t="e">
        <f>#REF!</f>
        <v>#REF!</v>
      </c>
      <c r="C72" s="15" t="e">
        <f>MIN(#REF!,#REF!*#REF!*#REF!*#REF!/SUM($AF$15:$AF$44),#REF!*#REF!*#REF!)*SUM($AE$15:$AE$44)</f>
        <v>#REF!</v>
      </c>
      <c r="D72" s="15" t="e">
        <f t="shared" si="12"/>
        <v>#REF!</v>
      </c>
    </row>
    <row r="73" spans="1:9">
      <c r="A73" s="314" t="s">
        <v>186</v>
      </c>
      <c r="B73" s="315" t="e">
        <f>#REF!</f>
        <v>#REF!</v>
      </c>
      <c r="C73" s="315" t="e">
        <f>IF(C70*C69=0,0,C72/(C70*C69))</f>
        <v>#REF!</v>
      </c>
      <c r="D73" s="315" t="e">
        <f t="shared" si="12"/>
        <v>#REF!</v>
      </c>
      <c r="E73" s="314"/>
      <c r="F73" s="314"/>
      <c r="G73" s="314"/>
      <c r="H73" s="314"/>
      <c r="I73" s="314"/>
    </row>
    <row r="74" spans="1:9">
      <c r="A74" s="314" t="s">
        <v>187</v>
      </c>
      <c r="B74" s="315" t="e">
        <f>#REF!</f>
        <v>#REF!</v>
      </c>
      <c r="C74" s="315" t="e">
        <f>C72-#REF!</f>
        <v>#REF!</v>
      </c>
      <c r="D74" s="315" t="e">
        <f t="shared" si="12"/>
        <v>#REF!</v>
      </c>
      <c r="E74" s="314"/>
      <c r="F74" s="314"/>
      <c r="G74" s="314"/>
      <c r="H74" s="314"/>
      <c r="I74" s="314"/>
    </row>
    <row r="75" spans="1:9">
      <c r="A75" s="314"/>
      <c r="B75" s="314"/>
      <c r="C75" s="314"/>
      <c r="D75" s="314"/>
      <c r="E75" s="314"/>
      <c r="F75" s="314"/>
      <c r="G75" s="314"/>
      <c r="H75" s="314"/>
      <c r="I75" s="314"/>
    </row>
    <row r="76" spans="1:9">
      <c r="A76" s="314" t="s">
        <v>188</v>
      </c>
      <c r="B76" s="314"/>
      <c r="C76" s="314"/>
      <c r="D76" s="314"/>
      <c r="E76" s="314"/>
      <c r="F76" s="314"/>
      <c r="G76" s="314"/>
      <c r="H76" s="314"/>
      <c r="I76" s="314"/>
    </row>
    <row r="77" spans="1:9">
      <c r="A77" s="314"/>
      <c r="B77" s="314"/>
      <c r="C77" s="314"/>
      <c r="D77" s="314"/>
      <c r="E77" s="314"/>
      <c r="F77" s="314"/>
      <c r="G77" s="314"/>
      <c r="H77" s="314"/>
      <c r="I77" s="314"/>
    </row>
    <row r="78" spans="1:9">
      <c r="A78" s="314"/>
      <c r="B78" s="314"/>
      <c r="C78" s="314"/>
      <c r="D78" s="314"/>
      <c r="E78" s="314"/>
      <c r="F78" s="314"/>
      <c r="G78" s="314"/>
      <c r="H78" s="314"/>
      <c r="I78" s="314"/>
    </row>
  </sheetData>
  <mergeCells count="10">
    <mergeCell ref="A1:AZ1"/>
    <mergeCell ref="A2:AZ2"/>
    <mergeCell ref="A4:H4"/>
    <mergeCell ref="A13:W13"/>
    <mergeCell ref="A11:H12"/>
    <mergeCell ref="A49:I49"/>
    <mergeCell ref="A64:E64"/>
    <mergeCell ref="A73:I75"/>
    <mergeCell ref="A67:E67"/>
    <mergeCell ref="A76:I78"/>
  </mergeCells>
  <conditionalFormatting sqref="D66:D71">
    <cfRule type="expression" dxfId="39" priority="4">
      <formula>D66&gt;0</formula>
    </cfRule>
  </conditionalFormatting>
  <conditionalFormatting sqref="H15:H44">
    <cfRule type="expression" dxfId="38" priority="2">
      <formula>H15&lt;0</formula>
    </cfRule>
  </conditionalFormatting>
  <conditionalFormatting sqref="I51:I61">
    <cfRule type="dataBar" priority="3">
      <dataBar>
        <cfvo type="min"/>
        <cfvo type="max"/>
        <color rgb="FFA02B93"/>
      </dataBar>
    </cfRule>
    <cfRule type="dataBar" priority="6">
      <dataBar>
        <cfvo type="min"/>
        <cfvo type="max"/>
        <color rgb="FFA02B93"/>
      </dataBar>
    </cfRule>
    <cfRule type="dataBar" priority="7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{A41C1B7E-EEB6-7771-FEC9-2021CB6C4F23}</x14:id>
        </ext>
      </extLst>
    </cfRule>
  </conditionalFormatting>
  <conditionalFormatting sqref="J15:J44">
    <cfRule type="dataBar" priority="1">
      <dataBar>
        <cfvo type="min"/>
        <cfvo type="max"/>
        <color rgb="FFA02B93"/>
      </dataBar>
    </cfRule>
    <cfRule type="dataBar" priority="5">
      <dataBar>
        <cfvo type="min"/>
        <cfvo type="max"/>
        <color rgb="FFA02B93"/>
      </dataBar>
    </cfRule>
    <cfRule type="dataBar" priority="8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{F7E0F983-0BC2-731A-10C0-852610AA9219}</x14:id>
        </ext>
      </extLst>
    </cfRule>
  </conditionalFormatting>
  <dataValidations count="1">
    <dataValidation type="list" sqref="U15:U44" xr:uid="{00000000-0002-0000-0500-000000000000}">
      <formula1>"Yes,No"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1C1B7E-EEB6-7771-FEC9-2021CB6C4F23}">
            <x14:dataBar>
              <x14:cfvo type="min"/>
              <x14:cfvo type="max"/>
              <x14:negativeFillColor auto="1"/>
              <x14:axisColor auto="1"/>
            </x14:dataBar>
          </x14:cfRule>
          <xm:sqref>I51:I61</xm:sqref>
        </x14:conditionalFormatting>
        <x14:conditionalFormatting xmlns:xm="http://schemas.microsoft.com/office/excel/2006/main">
          <x14:cfRule type="dataBar" id="{F7E0F983-0BC2-731A-10C0-852610AA9219}">
            <x14:dataBar>
              <x14:cfvo type="min"/>
              <x14:cfvo type="max"/>
              <x14:negativeFillColor auto="1"/>
              <x14:axisColor auto="1"/>
            </x14:dataBar>
          </x14:cfRule>
          <xm:sqref>J15:J44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320"/>
  <sheetViews>
    <sheetView workbookViewId="0">
      <selection sqref="A1:M1"/>
    </sheetView>
  </sheetViews>
  <sheetFormatPr baseColWidth="10" defaultColWidth="8.83203125" defaultRowHeight="15"/>
  <cols>
    <col min="1" max="1" width="30" customWidth="1"/>
    <col min="2" max="2" width="18" customWidth="1"/>
    <col min="3" max="3" width="28" customWidth="1"/>
    <col min="4" max="4" width="18" customWidth="1"/>
    <col min="5" max="5" width="28" customWidth="1"/>
    <col min="6" max="11" width="20" customWidth="1"/>
    <col min="12" max="12" width="22" customWidth="1"/>
    <col min="13" max="13" width="28" customWidth="1"/>
    <col min="14" max="14" width="3" customWidth="1"/>
    <col min="15" max="22" width="13" customWidth="1"/>
    <col min="27" max="28" width="24" customWidth="1"/>
    <col min="41" max="51" width="18" customWidth="1"/>
  </cols>
  <sheetData>
    <row r="1" spans="1:51" ht="49.75" customHeight="1">
      <c r="A1" s="322" t="s">
        <v>730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</row>
    <row r="2" spans="1:51" ht="57" customHeight="1">
      <c r="A2" s="323" t="s">
        <v>731</v>
      </c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AO2" s="39" t="s">
        <v>229</v>
      </c>
      <c r="AP2" s="39" t="s">
        <v>201</v>
      </c>
      <c r="AR2" s="39" t="s">
        <v>229</v>
      </c>
      <c r="AS2" s="39" t="s">
        <v>230</v>
      </c>
      <c r="AU2" s="39" t="s">
        <v>199</v>
      </c>
      <c r="AV2" s="39" t="s">
        <v>201</v>
      </c>
      <c r="AX2" s="39" t="s">
        <v>113</v>
      </c>
      <c r="AY2" s="39" t="s">
        <v>201</v>
      </c>
    </row>
    <row r="3" spans="1:5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AO3" s="15">
        <v>249</v>
      </c>
      <c r="AP3" s="15" t="e">
        <f>H64</f>
        <v>#REF!</v>
      </c>
      <c r="AR3" s="15">
        <v>249</v>
      </c>
      <c r="AS3" s="16">
        <f>B64</f>
        <v>0.5</v>
      </c>
      <c r="AU3">
        <v>3</v>
      </c>
      <c r="AV3" s="15" t="e">
        <f t="shared" ref="AV3:AV9" si="0">AU3*$B$7*$AB$11-$B$27</f>
        <v>#REF!</v>
      </c>
      <c r="AX3" s="16">
        <v>0.3</v>
      </c>
      <c r="AY3" s="15" t="e">
        <f t="shared" ref="AY3:AY9" si="1">H95</f>
        <v>#REF!</v>
      </c>
    </row>
    <row r="4" spans="1:51" ht="16">
      <c r="A4" s="40" t="s">
        <v>231</v>
      </c>
      <c r="B4" s="40" t="s">
        <v>232</v>
      </c>
      <c r="C4" s="40" t="s">
        <v>233</v>
      </c>
      <c r="D4" s="1"/>
      <c r="E4" s="320" t="s">
        <v>234</v>
      </c>
      <c r="F4" s="320"/>
      <c r="G4" s="320"/>
      <c r="H4" s="320"/>
      <c r="I4" s="320"/>
      <c r="J4" s="320"/>
      <c r="K4" s="320"/>
      <c r="L4" s="320"/>
      <c r="M4" s="320"/>
      <c r="AA4" s="39" t="s">
        <v>235</v>
      </c>
      <c r="AB4" s="39" t="s">
        <v>232</v>
      </c>
      <c r="AO4" s="15">
        <v>299</v>
      </c>
      <c r="AP4" s="15" t="e">
        <f>H65</f>
        <v>#REF!</v>
      </c>
      <c r="AR4" s="15">
        <v>299</v>
      </c>
      <c r="AS4" s="16">
        <f>B65</f>
        <v>0.45</v>
      </c>
      <c r="AU4">
        <v>5</v>
      </c>
      <c r="AV4" s="15" t="e">
        <f t="shared" si="0"/>
        <v>#REF!</v>
      </c>
      <c r="AX4" s="16">
        <v>0.4</v>
      </c>
      <c r="AY4" s="15" t="e">
        <f t="shared" si="1"/>
        <v>#REF!</v>
      </c>
    </row>
    <row r="5" spans="1:51" ht="32">
      <c r="A5" s="1" t="s">
        <v>236</v>
      </c>
      <c r="B5" s="42">
        <v>0</v>
      </c>
      <c r="C5" s="1" t="s">
        <v>237</v>
      </c>
      <c r="D5" s="1"/>
      <c r="E5" s="1" t="s">
        <v>732</v>
      </c>
      <c r="F5" s="11">
        <f>$B$16</f>
        <v>299</v>
      </c>
      <c r="G5" s="1"/>
      <c r="H5" s="40" t="s">
        <v>238</v>
      </c>
      <c r="I5" s="40" t="s">
        <v>232</v>
      </c>
      <c r="J5" s="1"/>
      <c r="K5" s="1"/>
      <c r="L5" s="1"/>
      <c r="M5" s="1"/>
      <c r="AA5" t="s">
        <v>239</v>
      </c>
      <c r="AB5" t="e">
        <f>$B$17+MAX($B$11,$B$18)*$B$16+$B$20</f>
        <v>#REF!</v>
      </c>
      <c r="AO5" s="15">
        <v>349</v>
      </c>
      <c r="AP5" s="15" t="e">
        <f>H66</f>
        <v>#REF!</v>
      </c>
      <c r="AR5" s="15">
        <v>349</v>
      </c>
      <c r="AS5" s="16">
        <f>B66</f>
        <v>0.4</v>
      </c>
      <c r="AU5">
        <v>8</v>
      </c>
      <c r="AV5" s="15" t="e">
        <f t="shared" si="0"/>
        <v>#REF!</v>
      </c>
      <c r="AX5" s="16">
        <v>0.5</v>
      </c>
      <c r="AY5" s="15" t="e">
        <f t="shared" si="1"/>
        <v>#REF!</v>
      </c>
    </row>
    <row r="6" spans="1:51" ht="32">
      <c r="A6" s="1" t="s">
        <v>240</v>
      </c>
      <c r="B6" s="43">
        <v>10</v>
      </c>
      <c r="C6" s="1" t="s">
        <v>241</v>
      </c>
      <c r="D6" s="1"/>
      <c r="E6" s="1" t="s">
        <v>628</v>
      </c>
      <c r="F6" s="11">
        <f>$B$19</f>
        <v>269</v>
      </c>
      <c r="G6" s="1"/>
      <c r="H6" s="1" t="s">
        <v>242</v>
      </c>
      <c r="I6" s="12">
        <f>$B$5</f>
        <v>0</v>
      </c>
      <c r="J6" s="1"/>
      <c r="K6" s="1"/>
      <c r="L6" s="1"/>
      <c r="M6" s="1"/>
      <c r="AA6" t="s">
        <v>243</v>
      </c>
      <c r="AB6" t="e">
        <f>AB5/(1+$B$23)</f>
        <v>#REF!</v>
      </c>
      <c r="AO6" s="15">
        <v>399</v>
      </c>
      <c r="AP6" s="15" t="e">
        <f>H67</f>
        <v>#REF!</v>
      </c>
      <c r="AR6" s="15">
        <v>399</v>
      </c>
      <c r="AS6" s="16">
        <f>B67</f>
        <v>0.37</v>
      </c>
      <c r="AU6">
        <v>10</v>
      </c>
      <c r="AV6" s="15" t="e">
        <f t="shared" si="0"/>
        <v>#REF!</v>
      </c>
      <c r="AX6" s="16">
        <v>0.6</v>
      </c>
      <c r="AY6" s="15" t="e">
        <f t="shared" si="1"/>
        <v>#REF!</v>
      </c>
    </row>
    <row r="7" spans="1:51" ht="32">
      <c r="A7" s="1" t="s">
        <v>95</v>
      </c>
      <c r="B7" s="43">
        <v>26</v>
      </c>
      <c r="C7" s="1" t="s">
        <v>244</v>
      </c>
      <c r="D7" s="1"/>
      <c r="E7" s="1" t="s">
        <v>170</v>
      </c>
      <c r="F7" s="28">
        <f>$B$18</f>
        <v>2</v>
      </c>
      <c r="G7" s="1"/>
      <c r="H7" s="1" t="s">
        <v>191</v>
      </c>
      <c r="I7" s="12" t="e">
        <f>$B$27+$B$5</f>
        <v>#REF!</v>
      </c>
      <c r="J7" s="1"/>
      <c r="K7" s="1"/>
      <c r="L7" s="1"/>
      <c r="M7" s="1"/>
      <c r="AA7" t="s">
        <v>245</v>
      </c>
      <c r="AB7" t="e">
        <f>$B$11*$B$21</f>
        <v>#REF!</v>
      </c>
      <c r="AO7" s="15">
        <v>449</v>
      </c>
      <c r="AP7" s="15" t="e">
        <f>H68</f>
        <v>#REF!</v>
      </c>
      <c r="AR7" s="15">
        <v>449</v>
      </c>
      <c r="AS7" s="16">
        <f>B68</f>
        <v>0.35</v>
      </c>
      <c r="AU7">
        <v>12</v>
      </c>
      <c r="AV7" s="15" t="e">
        <f t="shared" si="0"/>
        <v>#REF!</v>
      </c>
      <c r="AX7" s="16">
        <v>0.7</v>
      </c>
      <c r="AY7" s="15" t="e">
        <f t="shared" si="1"/>
        <v>#REF!</v>
      </c>
    </row>
    <row r="8" spans="1:51" ht="32">
      <c r="A8" s="1" t="s">
        <v>94</v>
      </c>
      <c r="B8" s="43">
        <v>5</v>
      </c>
      <c r="C8" s="1" t="s">
        <v>246</v>
      </c>
      <c r="D8" s="1"/>
      <c r="E8" s="1" t="s">
        <v>733</v>
      </c>
      <c r="F8" s="11">
        <f>$B$17</f>
        <v>199</v>
      </c>
      <c r="G8" s="1"/>
      <c r="H8" s="1" t="s">
        <v>247</v>
      </c>
      <c r="I8" s="29" t="e">
        <f>IF($AB$11&lt;=0,0,I7/$AB$11)</f>
        <v>#REF!</v>
      </c>
      <c r="J8" s="1"/>
      <c r="K8" s="1"/>
      <c r="L8" s="1"/>
      <c r="M8" s="1"/>
      <c r="AA8" t="s">
        <v>248</v>
      </c>
      <c r="AB8" t="e">
        <f>$B$22+AB5*$B$24+AB6*'NC Credits'!$B$15</f>
        <v>#REF!</v>
      </c>
      <c r="AU8">
        <v>15</v>
      </c>
      <c r="AV8" s="15" t="e">
        <f t="shared" si="0"/>
        <v>#REF!</v>
      </c>
      <c r="AX8" s="16">
        <v>0.8</v>
      </c>
      <c r="AY8" s="15" t="e">
        <f t="shared" si="1"/>
        <v>#REF!</v>
      </c>
    </row>
    <row r="9" spans="1:51" ht="32">
      <c r="A9" s="1" t="s">
        <v>249</v>
      </c>
      <c r="B9" s="43">
        <v>8</v>
      </c>
      <c r="C9" s="1" t="s">
        <v>250</v>
      </c>
      <c r="D9" s="1"/>
      <c r="E9" s="1" t="s">
        <v>251</v>
      </c>
      <c r="F9" s="12" t="e">
        <f>$AB$23</f>
        <v>#REF!</v>
      </c>
      <c r="G9" s="1"/>
      <c r="H9" s="1" t="s">
        <v>195</v>
      </c>
      <c r="I9" s="29" t="e">
        <f>I8/$B$7</f>
        <v>#REF!</v>
      </c>
      <c r="J9" s="1"/>
      <c r="K9" s="1"/>
      <c r="L9" s="1"/>
      <c r="M9" s="1"/>
      <c r="AA9" t="s">
        <v>252</v>
      </c>
      <c r="AB9" t="e">
        <f>AB6-AB7-AB8</f>
        <v>#REF!</v>
      </c>
      <c r="AU9">
        <v>20</v>
      </c>
      <c r="AV9" s="15" t="e">
        <f t="shared" si="0"/>
        <v>#REF!</v>
      </c>
      <c r="AX9" s="16">
        <v>0.9</v>
      </c>
      <c r="AY9" s="15" t="e">
        <f t="shared" si="1"/>
        <v>#REF!</v>
      </c>
    </row>
    <row r="10" spans="1:51" ht="32">
      <c r="A10" s="1" t="s">
        <v>96</v>
      </c>
      <c r="B10" s="44">
        <v>0.65</v>
      </c>
      <c r="C10" s="1" t="s">
        <v>253</v>
      </c>
      <c r="D10" s="1"/>
      <c r="E10" s="1" t="s">
        <v>196</v>
      </c>
      <c r="F10" s="12" t="e">
        <f>$AB$11</f>
        <v>#REF!</v>
      </c>
      <c r="G10" s="1"/>
      <c r="H10" s="1" t="s">
        <v>254</v>
      </c>
      <c r="I10" s="29" t="e">
        <f>I8*$B$11/($B$7*$B$9*$B$10)</f>
        <v>#REF!</v>
      </c>
      <c r="J10" s="1"/>
      <c r="K10" s="1"/>
      <c r="L10" s="1"/>
      <c r="M10" s="1"/>
      <c r="AA10" t="s">
        <v>255</v>
      </c>
      <c r="AB10">
        <f>$B$25*$B$26</f>
        <v>83.399999999999991</v>
      </c>
    </row>
    <row r="11" spans="1:51" ht="32">
      <c r="A11" s="1" t="s">
        <v>256</v>
      </c>
      <c r="B11" s="28" t="e">
        <f>#REF!</f>
        <v>#REF!</v>
      </c>
      <c r="C11" s="1" t="s">
        <v>257</v>
      </c>
      <c r="D11" s="1"/>
      <c r="E11" s="1" t="s">
        <v>186</v>
      </c>
      <c r="F11" s="12" t="e">
        <f>$AB$12</f>
        <v>#REF!</v>
      </c>
      <c r="G11" s="1"/>
      <c r="H11" s="1" t="s">
        <v>258</v>
      </c>
      <c r="I11" s="29" t="e">
        <f>IF($AB$13*$B$14*(1-$B$12)*(1-$B$13)=0,0,I8/($B$7*$AB$13*$B$14*(1-$B$12)*(1-$B$13)))</f>
        <v>#REF!</v>
      </c>
      <c r="J11" s="1"/>
      <c r="K11" s="1"/>
      <c r="L11" s="1"/>
      <c r="M11" s="1"/>
      <c r="AA11" t="s">
        <v>259</v>
      </c>
      <c r="AB11" t="e">
        <f>AB9+AB10</f>
        <v>#REF!</v>
      </c>
    </row>
    <row r="12" spans="1:51" ht="32">
      <c r="A12" s="1" t="s">
        <v>98</v>
      </c>
      <c r="B12" s="44">
        <v>0.08</v>
      </c>
      <c r="C12" s="1" t="s">
        <v>241</v>
      </c>
      <c r="D12" s="1"/>
      <c r="E12" s="1" t="s">
        <v>260</v>
      </c>
      <c r="F12" s="12">
        <f>$AB$22</f>
        <v>300</v>
      </c>
      <c r="G12" s="1"/>
      <c r="H12" s="1" t="s">
        <v>261</v>
      </c>
      <c r="I12" s="12" t="e">
        <f>$AB$18-$B$5</f>
        <v>#REF!</v>
      </c>
      <c r="J12" s="1"/>
      <c r="K12" s="1"/>
      <c r="L12" s="1"/>
      <c r="M12" s="1"/>
      <c r="AA12" t="s">
        <v>186</v>
      </c>
      <c r="AB12" t="e">
        <f>IF($B$11=0,0,AB11/$B$11)</f>
        <v>#REF!</v>
      </c>
      <c r="AO12" s="39" t="s">
        <v>205</v>
      </c>
      <c r="AP12" s="39" t="s">
        <v>201</v>
      </c>
      <c r="AR12" s="39" t="s">
        <v>262</v>
      </c>
      <c r="AS12" s="39" t="s">
        <v>263</v>
      </c>
      <c r="AT12" s="39" t="s">
        <v>264</v>
      </c>
      <c r="AU12" s="39" t="s">
        <v>208</v>
      </c>
      <c r="AV12" s="39" t="s">
        <v>164</v>
      </c>
      <c r="AX12" s="39" t="s">
        <v>38</v>
      </c>
      <c r="AY12" s="39" t="s">
        <v>200</v>
      </c>
    </row>
    <row r="13" spans="1:51" ht="32">
      <c r="A13" s="1" t="s">
        <v>99</v>
      </c>
      <c r="B13" s="44">
        <v>0.03</v>
      </c>
      <c r="C13" s="1" t="s">
        <v>241</v>
      </c>
      <c r="D13" s="1"/>
      <c r="E13" s="1" t="s">
        <v>265</v>
      </c>
      <c r="F13" s="13">
        <f>$B$15</f>
        <v>0.3</v>
      </c>
      <c r="G13" s="1"/>
      <c r="H13" s="1" t="s">
        <v>266</v>
      </c>
      <c r="I13" s="12" t="e">
        <f>MAX($B$5-$AB$19,0)</f>
        <v>#REF!</v>
      </c>
      <c r="J13" s="1"/>
      <c r="K13" s="1"/>
      <c r="L13" s="1"/>
      <c r="M13" s="1"/>
      <c r="AA13" t="s">
        <v>267</v>
      </c>
      <c r="AB13">
        <f>INDEX($B$64:$B$68,MATCH($B$16,$A$64:$A$68,0))</f>
        <v>0.45</v>
      </c>
      <c r="AO13" s="15">
        <v>68000</v>
      </c>
      <c r="AP13" s="15" t="e">
        <f t="shared" ref="AP13:AP19" si="2">$AB$18-AO13</f>
        <v>#REF!</v>
      </c>
      <c r="AR13">
        <v>1</v>
      </c>
      <c r="AS13" s="15" t="e">
        <f>D125</f>
        <v>#REF!</v>
      </c>
      <c r="AT13" s="15" t="e">
        <f>B125</f>
        <v>#REF!</v>
      </c>
      <c r="AU13" t="s">
        <v>73</v>
      </c>
      <c r="AV13" s="15">
        <f t="shared" ref="AV13:AV19" si="3">H144</f>
        <v>23416</v>
      </c>
      <c r="AX13" t="str">
        <f t="shared" ref="AX13:AX24" si="4">A177</f>
        <v>Hospital Visit</v>
      </c>
      <c r="AY13" s="15">
        <f t="shared" ref="AY13:AY24" si="5">E177</f>
        <v>1111.53093220339</v>
      </c>
    </row>
    <row r="14" spans="1:51" ht="32">
      <c r="A14" s="1" t="s">
        <v>268</v>
      </c>
      <c r="B14" s="43">
        <v>1.3</v>
      </c>
      <c r="C14" s="1" t="s">
        <v>269</v>
      </c>
      <c r="D14" s="1"/>
      <c r="E14" s="1" t="s">
        <v>172</v>
      </c>
      <c r="F14" s="13" t="e">
        <f>IF($B$8*$B$7*$B$9=0,0,$AB$16*$B$11/($B$8*$B$7*$B$9))</f>
        <v>#REF!</v>
      </c>
      <c r="G14" s="1"/>
      <c r="H14" s="1"/>
      <c r="I14" s="1"/>
      <c r="J14" s="1"/>
      <c r="K14" s="1"/>
      <c r="L14" s="1"/>
      <c r="M14" s="1"/>
      <c r="AA14" t="s">
        <v>270</v>
      </c>
      <c r="AB14">
        <f>$B$6*$B$7*AB13*$B$14*(1-$B$12)*(1-$B$13)</f>
        <v>135.73403999999999</v>
      </c>
      <c r="AO14" s="15">
        <v>100000</v>
      </c>
      <c r="AP14" s="15" t="e">
        <f t="shared" si="2"/>
        <v>#REF!</v>
      </c>
      <c r="AR14">
        <v>2</v>
      </c>
      <c r="AS14" s="15" t="e">
        <f>D126</f>
        <v>#REF!</v>
      </c>
      <c r="AT14" s="15" t="e">
        <f>B126</f>
        <v>#REF!</v>
      </c>
      <c r="AU14" t="s">
        <v>75</v>
      </c>
      <c r="AV14" s="15">
        <f t="shared" si="3"/>
        <v>7492</v>
      </c>
      <c r="AX14" t="str">
        <f t="shared" si="4"/>
        <v>Hospital Visit — Concierge at Hospital</v>
      </c>
      <c r="AY14" s="15">
        <f t="shared" si="5"/>
        <v>752.09967796610181</v>
      </c>
    </row>
    <row r="15" spans="1:51" ht="16">
      <c r="A15" s="1" t="s">
        <v>265</v>
      </c>
      <c r="B15" s="44">
        <v>0.3</v>
      </c>
      <c r="C15" s="1" t="s">
        <v>241</v>
      </c>
      <c r="D15" s="1"/>
      <c r="E15" s="1" t="s">
        <v>190</v>
      </c>
      <c r="F15" s="29" t="e">
        <f>$AB$17</f>
        <v>#REF!</v>
      </c>
      <c r="G15" s="1"/>
      <c r="H15" s="1"/>
      <c r="I15" s="1"/>
      <c r="J15" s="1"/>
      <c r="K15" s="1"/>
      <c r="L15" s="1"/>
      <c r="M15" s="1"/>
      <c r="AA15" t="s">
        <v>271</v>
      </c>
      <c r="AB15" t="e">
        <f>$B$8*$B$7*$B$9*$B$10/$B$11</f>
        <v>#REF!</v>
      </c>
      <c r="AO15" s="15">
        <v>140000</v>
      </c>
      <c r="AP15" s="15" t="e">
        <f t="shared" si="2"/>
        <v>#REF!</v>
      </c>
      <c r="AR15">
        <v>4</v>
      </c>
      <c r="AS15" s="15" t="e">
        <f>D127</f>
        <v>#REF!</v>
      </c>
      <c r="AT15" s="15" t="e">
        <f>B127</f>
        <v>#REF!</v>
      </c>
      <c r="AU15" t="s">
        <v>76</v>
      </c>
      <c r="AV15" s="15">
        <f t="shared" si="3"/>
        <v>10226.5</v>
      </c>
      <c r="AX15" t="str">
        <f t="shared" si="4"/>
        <v>Clinic Visit</v>
      </c>
      <c r="AY15" s="15">
        <f t="shared" si="5"/>
        <v>625.84376271186443</v>
      </c>
    </row>
    <row r="16" spans="1:51" ht="32">
      <c r="A16" s="1" t="s">
        <v>732</v>
      </c>
      <c r="B16" s="126">
        <f>'MVP1 Pricing &amp; SKU'!$B$7</f>
        <v>299</v>
      </c>
      <c r="C16" s="1" t="s">
        <v>734</v>
      </c>
      <c r="D16" s="1"/>
      <c r="E16" s="1" t="s">
        <v>272</v>
      </c>
      <c r="F16" s="12" t="e">
        <f>$B$27</f>
        <v>#REF!</v>
      </c>
      <c r="G16" s="1"/>
      <c r="H16" s="1"/>
      <c r="I16" s="1"/>
      <c r="J16" s="1"/>
      <c r="K16" s="1"/>
      <c r="L16" s="1"/>
      <c r="M16" s="1"/>
      <c r="AA16" t="s">
        <v>189</v>
      </c>
      <c r="AB16" t="e">
        <f>MIN(AB14,AB15)</f>
        <v>#REF!</v>
      </c>
      <c r="AO16" s="15">
        <v>180000</v>
      </c>
      <c r="AP16" s="15" t="e">
        <f t="shared" si="2"/>
        <v>#REF!</v>
      </c>
      <c r="AR16">
        <v>8</v>
      </c>
      <c r="AS16" s="15" t="e">
        <f>D128</f>
        <v>#REF!</v>
      </c>
      <c r="AT16" s="15" t="e">
        <f>B128</f>
        <v>#REF!</v>
      </c>
      <c r="AU16" t="s">
        <v>77</v>
      </c>
      <c r="AV16" s="15">
        <f t="shared" si="3"/>
        <v>8487.5999999999985</v>
      </c>
      <c r="AX16" t="str">
        <f t="shared" si="4"/>
        <v>Diagnostic Center Visit</v>
      </c>
      <c r="AY16" s="15">
        <f t="shared" si="5"/>
        <v>787.31971610169489</v>
      </c>
    </row>
    <row r="17" spans="1:51" ht="32">
      <c r="A17" s="1" t="s">
        <v>733</v>
      </c>
      <c r="B17" s="126">
        <f>'MVP1 Pricing &amp; SKU'!$B$9</f>
        <v>199</v>
      </c>
      <c r="C17" s="1" t="s">
        <v>735</v>
      </c>
      <c r="D17" s="1"/>
      <c r="E17" s="1" t="s">
        <v>185</v>
      </c>
      <c r="F17" s="12" t="e">
        <f>$AB$18</f>
        <v>#REF!</v>
      </c>
      <c r="G17" s="1"/>
      <c r="H17" s="1"/>
      <c r="I17" s="1"/>
      <c r="J17" s="1"/>
      <c r="K17" s="1"/>
      <c r="L17" s="1"/>
      <c r="M17" s="1"/>
      <c r="AA17" t="s">
        <v>273</v>
      </c>
      <c r="AB17" t="e">
        <f>AB16/$B$7</f>
        <v>#REF!</v>
      </c>
      <c r="AO17" s="15">
        <v>200000</v>
      </c>
      <c r="AP17" s="15" t="e">
        <f t="shared" si="2"/>
        <v>#REF!</v>
      </c>
      <c r="AR17">
        <v>12</v>
      </c>
      <c r="AS17" s="15" t="e">
        <f>D129</f>
        <v>#REF!</v>
      </c>
      <c r="AT17" s="15" t="e">
        <f>B129</f>
        <v>#REF!</v>
      </c>
      <c r="AU17" t="s">
        <v>78</v>
      </c>
      <c r="AV17" s="15">
        <f t="shared" si="3"/>
        <v>2937.9</v>
      </c>
      <c r="AX17" t="str">
        <f t="shared" si="4"/>
        <v>Health Check-up Concierge</v>
      </c>
      <c r="AY17" s="15">
        <f t="shared" si="5"/>
        <v>1215.9317372881358</v>
      </c>
    </row>
    <row r="18" spans="1:51" ht="16">
      <c r="A18" s="1" t="s">
        <v>736</v>
      </c>
      <c r="B18" s="127">
        <f>'MVP1 Pricing &amp; SKU'!$B$5</f>
        <v>2</v>
      </c>
      <c r="C18" s="1" t="s">
        <v>737</v>
      </c>
      <c r="D18" s="1"/>
      <c r="E18" s="1" t="s">
        <v>187</v>
      </c>
      <c r="F18" s="12" t="e">
        <f>$AB$19</f>
        <v>#REF!</v>
      </c>
      <c r="G18" s="1"/>
      <c r="H18" s="1"/>
      <c r="I18" s="1"/>
      <c r="J18" s="1"/>
      <c r="K18" s="1"/>
      <c r="L18" s="1"/>
      <c r="M18" s="1"/>
      <c r="AA18" t="s">
        <v>185</v>
      </c>
      <c r="AB18" t="e">
        <f>AB16*AB11</f>
        <v>#REF!</v>
      </c>
      <c r="AO18" s="15">
        <v>240000</v>
      </c>
      <c r="AP18" s="15" t="e">
        <f t="shared" si="2"/>
        <v>#REF!</v>
      </c>
      <c r="AU18" t="s">
        <v>80</v>
      </c>
      <c r="AV18" s="15">
        <f t="shared" si="3"/>
        <v>9373.2000000000007</v>
      </c>
      <c r="AX18" t="str">
        <f t="shared" si="4"/>
        <v>Hospital Admission Concierge</v>
      </c>
      <c r="AY18" s="15">
        <f t="shared" si="5"/>
        <v>1249.9737118644068</v>
      </c>
    </row>
    <row r="19" spans="1:51" ht="32">
      <c r="A19" s="191" t="s">
        <v>628</v>
      </c>
      <c r="B19" s="192">
        <f>'MVP1 Pricing &amp; SKU'!$B$8</f>
        <v>269</v>
      </c>
      <c r="C19" s="1" t="s">
        <v>738</v>
      </c>
      <c r="D19" s="1"/>
      <c r="E19" s="1" t="s">
        <v>107</v>
      </c>
      <c r="F19" s="29" t="e">
        <f>$AB$21</f>
        <v>#REF!</v>
      </c>
      <c r="G19" s="1"/>
      <c r="H19" s="1"/>
      <c r="I19" s="1"/>
      <c r="J19" s="1"/>
      <c r="K19" s="1"/>
      <c r="L19" s="1"/>
      <c r="M19" s="1"/>
      <c r="AA19" t="s">
        <v>187</v>
      </c>
      <c r="AB19" t="e">
        <f>AB18-$B$27</f>
        <v>#REF!</v>
      </c>
      <c r="AO19" s="15">
        <v>300000</v>
      </c>
      <c r="AP19" s="15" t="e">
        <f t="shared" si="2"/>
        <v>#REF!</v>
      </c>
      <c r="AU19" t="s">
        <v>72</v>
      </c>
      <c r="AV19" s="15">
        <f t="shared" si="3"/>
        <v>2132</v>
      </c>
      <c r="AX19" t="str">
        <f t="shared" si="4"/>
        <v>Hospital Discharge Concierge</v>
      </c>
      <c r="AY19" s="15">
        <f t="shared" si="5"/>
        <v>1203.8261186440679</v>
      </c>
    </row>
    <row r="20" spans="1:51" ht="32">
      <c r="A20" s="1" t="s">
        <v>274</v>
      </c>
      <c r="B20" s="42">
        <v>0</v>
      </c>
      <c r="C20" s="1" t="s">
        <v>275</v>
      </c>
      <c r="D20" s="1"/>
      <c r="E20" s="1" t="s">
        <v>276</v>
      </c>
      <c r="F20" s="27" t="str">
        <f>IF(COUNTIF($H$287:$H$298,"CASH OUT")=0,"&gt;12 months",MATCH("CASH OUT",$H$287:$H$298,0)-1)</f>
        <v>&gt;12 months</v>
      </c>
      <c r="G20" s="1"/>
      <c r="H20" s="1"/>
      <c r="I20" s="1"/>
      <c r="J20" s="1"/>
      <c r="K20" s="1"/>
      <c r="L20" s="1"/>
      <c r="M20" s="1"/>
      <c r="AA20" t="s">
        <v>106</v>
      </c>
      <c r="AB20" t="e">
        <f>IF(AB11&lt;=0,0,$B$27/AB11)</f>
        <v>#REF!</v>
      </c>
      <c r="AX20" t="str">
        <f t="shared" si="4"/>
        <v>Overnight Hospital Concierge</v>
      </c>
      <c r="AY20" s="15">
        <f t="shared" si="5"/>
        <v>2702.1604745762716</v>
      </c>
    </row>
    <row r="21" spans="1:51" ht="48">
      <c r="A21" s="1" t="s">
        <v>277</v>
      </c>
      <c r="B21" s="11">
        <f>'Global Inputs'!$B$6</f>
        <v>0</v>
      </c>
      <c r="C21" s="1" t="s">
        <v>278</v>
      </c>
      <c r="D21" s="1"/>
      <c r="E21" s="1" t="s">
        <v>279</v>
      </c>
      <c r="F21" s="49" t="e">
        <f>IF($AB$11&lt;=0,"RED — economics unsustainable",IF($AB$19&gt;=0,"GREEN — profitable and scalable","AMBER — contribution positive but insufficient scale"))</f>
        <v>#REF!</v>
      </c>
      <c r="G21" s="1"/>
      <c r="H21" s="1"/>
      <c r="I21" s="1"/>
      <c r="J21" s="1"/>
      <c r="K21" s="1"/>
      <c r="L21" s="1"/>
      <c r="M21" s="1"/>
      <c r="AA21" t="s">
        <v>107</v>
      </c>
      <c r="AB21" t="e">
        <f>AB20/$B$7</f>
        <v>#REF!</v>
      </c>
      <c r="AX21" t="str">
        <f t="shared" si="4"/>
        <v>Multi-Day Hospital Concierge (per 12h shift)</v>
      </c>
      <c r="AY21" s="15">
        <f t="shared" si="5"/>
        <v>2702.1604745762716</v>
      </c>
    </row>
    <row r="22" spans="1:51" ht="32">
      <c r="A22" s="1" t="s">
        <v>280</v>
      </c>
      <c r="B22" s="11">
        <f>SUM('Global Inputs'!$B$10:$B$14)</f>
        <v>56.5</v>
      </c>
      <c r="C22" s="1" t="s">
        <v>281</v>
      </c>
      <c r="D22" s="1"/>
      <c r="E22" s="1" t="s">
        <v>192</v>
      </c>
      <c r="F22" s="49" t="e">
        <f>IF($AB$16&lt;=50,"Ultra-Lean Pilot",IF($AB$16&lt;=150,"Lean MVP","Scale / Full Team"))</f>
        <v>#REF!</v>
      </c>
      <c r="G22" s="1"/>
      <c r="H22" s="1"/>
      <c r="I22" s="1"/>
      <c r="J22" s="1"/>
      <c r="K22" s="1"/>
      <c r="L22" s="1"/>
      <c r="M22" s="1"/>
      <c r="AA22" t="s">
        <v>260</v>
      </c>
      <c r="AB22">
        <f>$B$28+$B$29+$B$30+$B$120+$B$121</f>
        <v>300</v>
      </c>
      <c r="AO22" s="39" t="s">
        <v>38</v>
      </c>
      <c r="AP22" s="39" t="s">
        <v>138</v>
      </c>
      <c r="AR22" s="39" t="s">
        <v>112</v>
      </c>
      <c r="AS22" s="39" t="s">
        <v>213</v>
      </c>
      <c r="AU22" s="39" t="s">
        <v>112</v>
      </c>
      <c r="AV22" s="39" t="s">
        <v>211</v>
      </c>
      <c r="AX22" t="str">
        <f t="shared" si="4"/>
        <v>Day Surgery / Procedure Concierge</v>
      </c>
      <c r="AY22" s="15">
        <f t="shared" si="5"/>
        <v>1820.6439491525427</v>
      </c>
    </row>
    <row r="23" spans="1:51" ht="16">
      <c r="A23" s="1" t="s">
        <v>10</v>
      </c>
      <c r="B23" s="36">
        <f>'Global Inputs'!$B$7</f>
        <v>0.18</v>
      </c>
      <c r="C23" s="1" t="s">
        <v>282</v>
      </c>
      <c r="D23" s="1"/>
      <c r="E23" s="96" t="s">
        <v>739</v>
      </c>
      <c r="F23" s="97">
        <f>'NC Credits'!$B$6</f>
        <v>0.05</v>
      </c>
      <c r="G23" s="1"/>
      <c r="H23" s="1"/>
      <c r="I23" s="1"/>
      <c r="J23" s="1"/>
      <c r="K23" s="1"/>
      <c r="L23" s="1"/>
      <c r="M23" s="1"/>
      <c r="AA23" t="s">
        <v>283</v>
      </c>
      <c r="AB23" t="e">
        <f>AB5+$B$25*('Global Inputs'!$B$15+'Global Inputs'!$B$16)</f>
        <v>#REF!</v>
      </c>
      <c r="AO23" t="str">
        <f t="shared" ref="AO23:AO34" si="6">A177</f>
        <v>Hospital Visit</v>
      </c>
      <c r="AP23" s="15">
        <f t="shared" ref="AP23:AP34" si="7">G177</f>
        <v>277.88273305084749</v>
      </c>
      <c r="AR23" t="s">
        <v>115</v>
      </c>
      <c r="AS23" s="15" t="e">
        <f t="shared" ref="AS23:AS34" si="8">G287</f>
        <v>#REF!</v>
      </c>
      <c r="AU23" t="s">
        <v>115</v>
      </c>
      <c r="AV23" s="14" t="e">
        <f t="shared" ref="AV23:AV34" si="9">B287</f>
        <v>#REF!</v>
      </c>
      <c r="AX23" t="str">
        <f t="shared" si="4"/>
        <v>Pre-Surgery Concierge</v>
      </c>
      <c r="AY23" s="15">
        <f t="shared" si="5"/>
        <v>1203.8261186440679</v>
      </c>
    </row>
    <row r="24" spans="1:51" ht="16">
      <c r="A24" s="1" t="s">
        <v>13</v>
      </c>
      <c r="B24" s="36">
        <f>'Global Inputs'!$B$8</f>
        <v>0</v>
      </c>
      <c r="C24" s="1" t="s">
        <v>284</v>
      </c>
      <c r="D24" s="1"/>
      <c r="E24" s="96" t="s">
        <v>740</v>
      </c>
      <c r="F24" s="98" t="e">
        <f>'NC Credits'!$B$23</f>
        <v>#REF!</v>
      </c>
      <c r="G24" s="1"/>
      <c r="H24" s="1"/>
      <c r="I24" s="1"/>
      <c r="J24" s="1"/>
      <c r="K24" s="1"/>
      <c r="L24" s="1"/>
      <c r="M24" s="1"/>
      <c r="AA24" t="s">
        <v>285</v>
      </c>
      <c r="AB24" t="e">
        <f>AB16*$B$11/($B$7*$B$9*$B$10)</f>
        <v>#REF!</v>
      </c>
      <c r="AO24" t="str">
        <f t="shared" si="6"/>
        <v>Hospital Visit — Concierge at Hospital</v>
      </c>
      <c r="AP24" s="15">
        <f t="shared" si="7"/>
        <v>250.69989265536728</v>
      </c>
      <c r="AR24" t="s">
        <v>116</v>
      </c>
      <c r="AS24" s="15" t="e">
        <f t="shared" si="8"/>
        <v>#REF!</v>
      </c>
      <c r="AU24" t="s">
        <v>116</v>
      </c>
      <c r="AV24" s="14" t="e">
        <f t="shared" si="9"/>
        <v>#REF!</v>
      </c>
      <c r="AX24" t="str">
        <f t="shared" si="4"/>
        <v>Post-Surgery Follow-up</v>
      </c>
      <c r="AY24" s="15">
        <f t="shared" si="5"/>
        <v>892.97983050847461</v>
      </c>
    </row>
    <row r="25" spans="1:51" ht="48">
      <c r="A25" s="1" t="s">
        <v>97</v>
      </c>
      <c r="B25" s="44">
        <v>0.6</v>
      </c>
      <c r="C25" s="1" t="s">
        <v>286</v>
      </c>
      <c r="D25" s="1"/>
      <c r="E25" s="96" t="s">
        <v>741</v>
      </c>
      <c r="F25" s="98" t="e">
        <f>'NC Credits'!$B$26</f>
        <v>#REF!</v>
      </c>
      <c r="G25" s="1"/>
      <c r="H25" s="1"/>
      <c r="I25" s="1"/>
      <c r="J25" s="1"/>
      <c r="K25" s="1"/>
      <c r="L25" s="1"/>
      <c r="M25" s="1"/>
      <c r="AA25" t="s">
        <v>207</v>
      </c>
      <c r="AB25" t="e">
        <f>MAX($B$8-AB24,0)</f>
        <v>#REF!</v>
      </c>
      <c r="AO25" t="str">
        <f t="shared" si="6"/>
        <v>Clinic Visit</v>
      </c>
      <c r="AP25" s="15">
        <f t="shared" si="7"/>
        <v>312.92188135593221</v>
      </c>
      <c r="AR25" t="s">
        <v>117</v>
      </c>
      <c r="AS25" s="15" t="e">
        <f t="shared" si="8"/>
        <v>#REF!</v>
      </c>
      <c r="AU25" t="s">
        <v>117</v>
      </c>
      <c r="AV25" s="14" t="e">
        <f t="shared" si="9"/>
        <v>#REF!</v>
      </c>
    </row>
    <row r="26" spans="1:51" ht="32">
      <c r="A26" s="1" t="s">
        <v>287</v>
      </c>
      <c r="B26" s="11">
        <f>'Global Inputs'!$B$16/(1+'Global Inputs'!$B$17)-('Global Inputs'!$B$15+'Global Inputs'!$B$16)*'Global Inputs'!$B$8-'Global Inputs'!$B$18</f>
        <v>139</v>
      </c>
      <c r="C26" s="1" t="s">
        <v>288</v>
      </c>
      <c r="D26" s="1"/>
      <c r="E26" s="96" t="s">
        <v>742</v>
      </c>
      <c r="F26" s="98" t="e">
        <f>'NC Credits'!$B$27</f>
        <v>#REF!</v>
      </c>
      <c r="G26" s="1"/>
      <c r="H26" s="1"/>
      <c r="I26" s="1"/>
      <c r="J26" s="1"/>
      <c r="K26" s="1"/>
      <c r="L26" s="1"/>
      <c r="M26" s="1"/>
      <c r="AO26" t="str">
        <f t="shared" si="6"/>
        <v>Diagnostic Center Visit</v>
      </c>
      <c r="AP26" s="15">
        <f t="shared" si="7"/>
        <v>262.43990536723163</v>
      </c>
      <c r="AR26" t="s">
        <v>118</v>
      </c>
      <c r="AS26" s="15" t="e">
        <f t="shared" si="8"/>
        <v>#REF!</v>
      </c>
      <c r="AU26" t="s">
        <v>118</v>
      </c>
      <c r="AV26" s="14" t="e">
        <f t="shared" si="9"/>
        <v>#REF!</v>
      </c>
    </row>
    <row r="27" spans="1:51" ht="32">
      <c r="A27" s="1" t="s">
        <v>289</v>
      </c>
      <c r="B27" s="11" t="e">
        <f>#REF!</f>
        <v>#REF!</v>
      </c>
      <c r="C27" s="1" t="s">
        <v>743</v>
      </c>
      <c r="D27" s="1"/>
      <c r="E27" s="1" t="s">
        <v>618</v>
      </c>
      <c r="F27" s="25">
        <f>$B$36</f>
        <v>4</v>
      </c>
      <c r="G27" s="1"/>
      <c r="H27" s="1"/>
      <c r="I27" s="1"/>
      <c r="J27" s="1"/>
      <c r="K27" s="1"/>
      <c r="L27" s="1"/>
      <c r="M27" s="1"/>
      <c r="AO27" t="str">
        <f t="shared" si="6"/>
        <v>Health Check-up Concierge</v>
      </c>
      <c r="AP27" s="15">
        <f t="shared" si="7"/>
        <v>243.18634745762716</v>
      </c>
      <c r="AR27" t="s">
        <v>119</v>
      </c>
      <c r="AS27" s="15" t="e">
        <f t="shared" si="8"/>
        <v>#REF!</v>
      </c>
      <c r="AU27" t="s">
        <v>119</v>
      </c>
      <c r="AV27" s="14" t="e">
        <f t="shared" si="9"/>
        <v>#REF!</v>
      </c>
      <c r="AX27" s="39" t="s">
        <v>290</v>
      </c>
      <c r="AY27" s="39" t="s">
        <v>204</v>
      </c>
    </row>
    <row r="28" spans="1:51" ht="32">
      <c r="A28" s="1" t="s">
        <v>291</v>
      </c>
      <c r="B28" s="42">
        <v>300</v>
      </c>
      <c r="C28" s="1" t="s">
        <v>292</v>
      </c>
      <c r="D28" s="1"/>
      <c r="E28" s="1"/>
      <c r="F28" s="1"/>
      <c r="G28" s="1"/>
      <c r="H28" s="1"/>
      <c r="I28" s="1"/>
      <c r="J28" s="1"/>
      <c r="K28" s="1"/>
      <c r="L28" s="1"/>
      <c r="M28" s="1"/>
      <c r="AO28" t="str">
        <f t="shared" si="6"/>
        <v>Hospital Admission Concierge</v>
      </c>
      <c r="AP28" s="15">
        <f t="shared" si="7"/>
        <v>312.49342796610171</v>
      </c>
      <c r="AR28" t="s">
        <v>120</v>
      </c>
      <c r="AS28" s="15" t="e">
        <f t="shared" si="8"/>
        <v>#REF!</v>
      </c>
      <c r="AU28" t="s">
        <v>120</v>
      </c>
      <c r="AV28" s="14" t="e">
        <f t="shared" si="9"/>
        <v>#REF!</v>
      </c>
      <c r="AX28" t="s">
        <v>193</v>
      </c>
      <c r="AY28" s="14" t="e">
        <f>E107</f>
        <v>#REF!</v>
      </c>
    </row>
    <row r="29" spans="1:51" ht="16">
      <c r="A29" s="1" t="s">
        <v>293</v>
      </c>
      <c r="B29" s="42">
        <v>0</v>
      </c>
      <c r="C29" s="1" t="s">
        <v>294</v>
      </c>
      <c r="D29" s="1"/>
      <c r="E29" s="1"/>
      <c r="F29" s="1"/>
      <c r="G29" s="1"/>
      <c r="H29" s="1"/>
      <c r="I29" s="1"/>
      <c r="J29" s="1"/>
      <c r="K29" s="1"/>
      <c r="L29" s="1"/>
      <c r="M29" s="1"/>
      <c r="AO29" t="str">
        <f t="shared" si="6"/>
        <v>Hospital Discharge Concierge</v>
      </c>
      <c r="AP29" s="15">
        <f t="shared" si="7"/>
        <v>300.95652966101699</v>
      </c>
      <c r="AR29" t="s">
        <v>121</v>
      </c>
      <c r="AS29" s="15" t="e">
        <f t="shared" si="8"/>
        <v>#REF!</v>
      </c>
      <c r="AU29" t="s">
        <v>121</v>
      </c>
      <c r="AV29" s="14" t="e">
        <f t="shared" si="9"/>
        <v>#REF!</v>
      </c>
      <c r="AX29" t="s">
        <v>194</v>
      </c>
      <c r="AY29" s="14" t="e">
        <f>E108</f>
        <v>#REF!</v>
      </c>
    </row>
    <row r="30" spans="1:51" ht="16">
      <c r="A30" s="1" t="s">
        <v>295</v>
      </c>
      <c r="B30" s="42">
        <v>0</v>
      </c>
      <c r="C30" s="1" t="s">
        <v>294</v>
      </c>
      <c r="D30" s="1"/>
      <c r="E30" s="1"/>
      <c r="F30" s="1"/>
      <c r="G30" s="1"/>
      <c r="H30" s="1"/>
      <c r="I30" s="1"/>
      <c r="J30" s="1"/>
      <c r="K30" s="1"/>
      <c r="L30" s="1"/>
      <c r="M30" s="1"/>
      <c r="AO30" t="str">
        <f t="shared" si="6"/>
        <v>Overnight Hospital Concierge</v>
      </c>
      <c r="AP30" s="15">
        <f t="shared" si="7"/>
        <v>225.18003954802262</v>
      </c>
      <c r="AR30" t="s">
        <v>122</v>
      </c>
      <c r="AS30" s="15" t="e">
        <f t="shared" si="8"/>
        <v>#REF!</v>
      </c>
      <c r="AU30" t="s">
        <v>122</v>
      </c>
      <c r="AV30" s="14" t="e">
        <f t="shared" si="9"/>
        <v>#REF!</v>
      </c>
      <c r="AX30" t="s">
        <v>296</v>
      </c>
      <c r="AY30" s="14" t="e">
        <f>E109</f>
        <v>#REF!</v>
      </c>
    </row>
    <row r="31" spans="1:51" ht="16">
      <c r="A31" s="1" t="s">
        <v>297</v>
      </c>
      <c r="B31" s="44">
        <v>0.3</v>
      </c>
      <c r="C31" s="1" t="s">
        <v>298</v>
      </c>
      <c r="D31" s="1"/>
      <c r="E31" s="1"/>
      <c r="F31" s="1"/>
      <c r="G31" s="1"/>
      <c r="H31" s="1"/>
      <c r="I31" s="1"/>
      <c r="J31" s="1"/>
      <c r="K31" s="1"/>
      <c r="L31" s="1"/>
      <c r="M31" s="1"/>
      <c r="AO31" t="str">
        <f t="shared" si="6"/>
        <v>Multi-Day Hospital Concierge (per 12h shift)</v>
      </c>
      <c r="AP31" s="15">
        <f t="shared" si="7"/>
        <v>225.18003954802262</v>
      </c>
      <c r="AR31" t="s">
        <v>123</v>
      </c>
      <c r="AS31" s="15" t="e">
        <f t="shared" si="8"/>
        <v>#REF!</v>
      </c>
      <c r="AU31" t="s">
        <v>123</v>
      </c>
      <c r="AV31" s="14" t="e">
        <f t="shared" si="9"/>
        <v>#REF!</v>
      </c>
    </row>
    <row r="32" spans="1:51" ht="16">
      <c r="A32" s="1" t="s">
        <v>218</v>
      </c>
      <c r="B32" s="42">
        <v>1000000</v>
      </c>
      <c r="C32" s="1" t="s">
        <v>299</v>
      </c>
      <c r="D32" s="1"/>
      <c r="E32" s="1"/>
      <c r="F32" s="1"/>
      <c r="G32" s="1"/>
      <c r="H32" s="1"/>
      <c r="I32" s="1"/>
      <c r="J32" s="1"/>
      <c r="K32" s="1"/>
      <c r="L32" s="1"/>
      <c r="M32" s="1"/>
      <c r="AO32" t="str">
        <f t="shared" si="6"/>
        <v>Day Surgery / Procedure Concierge</v>
      </c>
      <c r="AP32" s="15">
        <f t="shared" si="7"/>
        <v>303.44065819209044</v>
      </c>
      <c r="AR32" t="s">
        <v>124</v>
      </c>
      <c r="AS32" s="15" t="e">
        <f t="shared" si="8"/>
        <v>#REF!</v>
      </c>
      <c r="AU32" t="s">
        <v>124</v>
      </c>
      <c r="AV32" s="14" t="e">
        <f t="shared" si="9"/>
        <v>#REF!</v>
      </c>
    </row>
    <row r="33" spans="1:48" ht="16">
      <c r="A33" s="1" t="s">
        <v>300</v>
      </c>
      <c r="B33" s="42">
        <v>500000</v>
      </c>
      <c r="C33" s="1" t="s">
        <v>299</v>
      </c>
      <c r="D33" s="1"/>
      <c r="E33" s="1"/>
      <c r="F33" s="1"/>
      <c r="G33" s="1"/>
      <c r="H33" s="1"/>
      <c r="I33" s="1"/>
      <c r="J33" s="1"/>
      <c r="K33" s="1"/>
      <c r="L33" s="1"/>
      <c r="M33" s="1"/>
      <c r="AO33" t="str">
        <f t="shared" si="6"/>
        <v>Pre-Surgery Concierge</v>
      </c>
      <c r="AP33" s="15">
        <f t="shared" si="7"/>
        <v>300.95652966101699</v>
      </c>
      <c r="AR33" t="s">
        <v>125</v>
      </c>
      <c r="AS33" s="15" t="e">
        <f t="shared" si="8"/>
        <v>#REF!</v>
      </c>
      <c r="AU33" t="s">
        <v>125</v>
      </c>
      <c r="AV33" s="14" t="e">
        <f t="shared" si="9"/>
        <v>#REF!</v>
      </c>
    </row>
    <row r="34" spans="1:48" ht="16">
      <c r="A34" s="1" t="s">
        <v>301</v>
      </c>
      <c r="B34" s="42">
        <v>200000</v>
      </c>
      <c r="C34" s="1" t="s">
        <v>299</v>
      </c>
      <c r="D34" s="1"/>
      <c r="E34" s="1"/>
      <c r="F34" s="1"/>
      <c r="G34" s="1"/>
      <c r="H34" s="1"/>
      <c r="I34" s="1"/>
      <c r="J34" s="1"/>
      <c r="K34" s="1"/>
      <c r="L34" s="1"/>
      <c r="M34" s="1"/>
      <c r="AO34" t="str">
        <f t="shared" si="6"/>
        <v>Post-Surgery Follow-up</v>
      </c>
      <c r="AP34" s="15">
        <f t="shared" si="7"/>
        <v>297.65994350282489</v>
      </c>
      <c r="AR34" t="s">
        <v>126</v>
      </c>
      <c r="AS34" s="15" t="e">
        <f t="shared" si="8"/>
        <v>#REF!</v>
      </c>
      <c r="AU34" t="s">
        <v>126</v>
      </c>
      <c r="AV34" s="14" t="e">
        <f t="shared" si="9"/>
        <v>#REF!</v>
      </c>
    </row>
    <row r="35" spans="1:48" ht="16">
      <c r="A35" s="1" t="s">
        <v>220</v>
      </c>
      <c r="B35" s="44">
        <v>0.12</v>
      </c>
      <c r="C35" s="1" t="s">
        <v>302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48" ht="48">
      <c r="A36" s="1" t="s">
        <v>618</v>
      </c>
      <c r="B36" s="128">
        <f>'MVP1 Pricing &amp; SKU'!$B$6</f>
        <v>4</v>
      </c>
      <c r="C36" s="1" t="s">
        <v>744</v>
      </c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4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48" ht="42.75" customHeight="1">
      <c r="A38" s="320" t="s">
        <v>745</v>
      </c>
      <c r="B38" s="320"/>
      <c r="C38" s="320"/>
      <c r="D38" s="320"/>
      <c r="E38" s="320"/>
      <c r="F38" s="320"/>
      <c r="G38" s="320"/>
      <c r="H38" s="320"/>
      <c r="I38" s="320"/>
      <c r="J38" s="320"/>
      <c r="K38" s="320"/>
      <c r="L38" s="320"/>
      <c r="M38" s="320"/>
    </row>
    <row r="39" spans="1:48" ht="32">
      <c r="A39" s="40" t="s">
        <v>303</v>
      </c>
      <c r="B39" s="40" t="s">
        <v>304</v>
      </c>
      <c r="C39" s="40" t="s">
        <v>305</v>
      </c>
      <c r="D39" s="40" t="s">
        <v>49</v>
      </c>
      <c r="E39" s="40" t="s">
        <v>306</v>
      </c>
      <c r="F39" s="40" t="s">
        <v>307</v>
      </c>
      <c r="G39" s="40" t="s">
        <v>746</v>
      </c>
      <c r="H39" s="40" t="s">
        <v>308</v>
      </c>
      <c r="I39" s="1"/>
      <c r="J39" s="40" t="s">
        <v>309</v>
      </c>
      <c r="K39" s="40" t="s">
        <v>232</v>
      </c>
      <c r="L39" s="1"/>
      <c r="M39" s="1"/>
    </row>
    <row r="40" spans="1:48" ht="32">
      <c r="A40" s="35">
        <v>2</v>
      </c>
      <c r="B40" s="12">
        <f t="shared" ref="B40:B48" si="10">$B$17+MAX(A40,$B$18)*$B$16+$B$20</f>
        <v>797</v>
      </c>
      <c r="C40" s="12">
        <f t="shared" ref="C40:C48" si="11">B40/(1+$B$23)</f>
        <v>675.42372881355936</v>
      </c>
      <c r="D40" s="12">
        <f t="shared" ref="D40:D48" si="12">A40*$B$21</f>
        <v>0</v>
      </c>
      <c r="E40" s="12">
        <v>84.394999999999996</v>
      </c>
      <c r="F40" s="12">
        <f t="shared" ref="F40:F48" si="13">C40-D40-E40+$B$25*$B$26</f>
        <v>674.42872881355936</v>
      </c>
      <c r="G40" s="13">
        <v>0.88180936783927177</v>
      </c>
      <c r="H40" s="12">
        <f t="shared" ref="H40:H48" si="14">IF(A40=0,0,F40/A40)</f>
        <v>337.21436440677968</v>
      </c>
      <c r="I40" s="1"/>
      <c r="J40" s="1" t="s">
        <v>310</v>
      </c>
      <c r="K40" s="12">
        <f>$B$21+$B$22+($B$17+$B$16)*$B$24+(($B$17+$B$16)/(1+$B$23))*'NC Credits'!$B$15</f>
        <v>73.930000000000007</v>
      </c>
      <c r="L40" s="1"/>
      <c r="M40" s="1"/>
    </row>
    <row r="41" spans="1:48" ht="32">
      <c r="A41" s="35">
        <v>3</v>
      </c>
      <c r="B41" s="12">
        <f t="shared" si="10"/>
        <v>1096</v>
      </c>
      <c r="C41" s="12">
        <f t="shared" si="11"/>
        <v>928.81355932203394</v>
      </c>
      <c r="D41" s="12">
        <f t="shared" si="12"/>
        <v>0</v>
      </c>
      <c r="E41" s="12">
        <v>94.86</v>
      </c>
      <c r="F41" s="12">
        <f t="shared" si="13"/>
        <v>917.3535593220339</v>
      </c>
      <c r="G41" s="13">
        <v>0.90094415942844397</v>
      </c>
      <c r="H41" s="12">
        <f t="shared" si="14"/>
        <v>305.7845197740113</v>
      </c>
      <c r="I41" s="1"/>
      <c r="J41" s="1" t="s">
        <v>311</v>
      </c>
      <c r="K41" s="12">
        <f>$B$21+$B$19*$B$24+($B$19/(1+$B$23))*'NC Credits'!$B$15</f>
        <v>9.4149999999999991</v>
      </c>
      <c r="L41" s="1"/>
      <c r="M41" s="1"/>
    </row>
    <row r="42" spans="1:48" ht="48">
      <c r="A42" s="35">
        <v>4</v>
      </c>
      <c r="B42" s="12">
        <f t="shared" si="10"/>
        <v>1395</v>
      </c>
      <c r="C42" s="12">
        <f t="shared" si="11"/>
        <v>1182.2033898305085</v>
      </c>
      <c r="D42" s="12">
        <f t="shared" si="12"/>
        <v>0</v>
      </c>
      <c r="E42" s="12">
        <v>105.32499999999999</v>
      </c>
      <c r="F42" s="12">
        <f t="shared" si="13"/>
        <v>1160.2783898305086</v>
      </c>
      <c r="G42" s="13">
        <v>0.91245304873334876</v>
      </c>
      <c r="H42" s="12">
        <f t="shared" si="14"/>
        <v>290.06959745762714</v>
      </c>
      <c r="I42" s="1"/>
      <c r="J42" s="1" t="s">
        <v>312</v>
      </c>
      <c r="K42" s="12" t="e">
        <f>IF($B$11=0,0,($B$11*$B$21+$B$22+$AB$5*$B$24+$AB$6*'NC Credits'!$B$15)/$B$11)</f>
        <v>#REF!</v>
      </c>
      <c r="L42" s="1"/>
      <c r="M42" s="1"/>
    </row>
    <row r="43" spans="1:48" ht="48">
      <c r="A43" s="35">
        <v>5</v>
      </c>
      <c r="B43" s="12">
        <f t="shared" si="10"/>
        <v>1694</v>
      </c>
      <c r="C43" s="12">
        <f t="shared" si="11"/>
        <v>1435.5932203389832</v>
      </c>
      <c r="D43" s="12">
        <f t="shared" si="12"/>
        <v>0</v>
      </c>
      <c r="E43" s="12">
        <v>115.78999999999999</v>
      </c>
      <c r="F43" s="12">
        <f t="shared" si="13"/>
        <v>1403.2032203389833</v>
      </c>
      <c r="G43" s="13">
        <v>0.92013734987429785</v>
      </c>
      <c r="H43" s="12">
        <f t="shared" si="14"/>
        <v>280.64064406779664</v>
      </c>
      <c r="I43" s="1"/>
      <c r="J43" s="1" t="s">
        <v>313</v>
      </c>
      <c r="K43" s="12" t="e">
        <f>IF($B$11=0,0,(($B$11*$B$21+$B$22+$AB$5*$B$24+$AB$6*'NC Credits'!$B$15)-$B$17*(1/(1+$B$23)-$B$24-'NC Credits'!$B$15/(1+$B$23)))/((1/(1+$B$23)-$B$24-'NC Credits'!$B$15/(1+$B$23))*$B$11))</f>
        <v>#REF!</v>
      </c>
      <c r="L43" s="1"/>
      <c r="M43" s="1"/>
    </row>
    <row r="44" spans="1:48" ht="32">
      <c r="A44" s="35">
        <v>6</v>
      </c>
      <c r="B44" s="12">
        <f t="shared" si="10"/>
        <v>1993</v>
      </c>
      <c r="C44" s="12">
        <f t="shared" si="11"/>
        <v>1688.9830508474577</v>
      </c>
      <c r="D44" s="12">
        <f t="shared" si="12"/>
        <v>0</v>
      </c>
      <c r="E44" s="12">
        <v>126.255</v>
      </c>
      <c r="F44" s="12">
        <f t="shared" si="13"/>
        <v>1646.1280508474579</v>
      </c>
      <c r="G44" s="13">
        <v>0.92563188232311588</v>
      </c>
      <c r="H44" s="12">
        <f t="shared" si="14"/>
        <v>274.35467514124298</v>
      </c>
      <c r="I44" s="1"/>
      <c r="J44" s="1" t="s">
        <v>314</v>
      </c>
      <c r="K44" s="42">
        <v>150</v>
      </c>
      <c r="L44" s="1"/>
      <c r="M44" s="1"/>
    </row>
    <row r="45" spans="1:48" ht="48">
      <c r="A45" s="35">
        <v>7</v>
      </c>
      <c r="B45" s="12">
        <f t="shared" si="10"/>
        <v>2292</v>
      </c>
      <c r="C45" s="12">
        <f t="shared" si="11"/>
        <v>1942.3728813559323</v>
      </c>
      <c r="D45" s="12">
        <f t="shared" si="12"/>
        <v>0</v>
      </c>
      <c r="E45" s="12">
        <v>136.72</v>
      </c>
      <c r="F45" s="12">
        <f t="shared" si="13"/>
        <v>1889.0528813559324</v>
      </c>
      <c r="G45" s="13">
        <v>0.92975592827838427</v>
      </c>
      <c r="H45" s="12">
        <f t="shared" si="14"/>
        <v>269.86469733656179</v>
      </c>
      <c r="I45" s="1"/>
      <c r="J45" s="1" t="s">
        <v>315</v>
      </c>
      <c r="K45" s="12" t="e">
        <f>IF($B$11=0,0,(($B$11*$B$21+$B$22+$K$44*$B$11-$B$25*$B$26)-$B$17*(1/(1+$B$23)-$B$24-'NC Credits'!$B$15/(1+$B$23)))/((1/(1+$B$23)-$B$24-'NC Credits'!$B$15/(1+$B$23))*$B$11))</f>
        <v>#REF!</v>
      </c>
      <c r="L45" s="1"/>
      <c r="M45" s="1"/>
    </row>
    <row r="46" spans="1:48" ht="32">
      <c r="A46" s="35">
        <v>8</v>
      </c>
      <c r="B46" s="12">
        <f t="shared" si="10"/>
        <v>2591</v>
      </c>
      <c r="C46" s="12">
        <f t="shared" si="11"/>
        <v>2195.7627118644068</v>
      </c>
      <c r="D46" s="12">
        <f t="shared" si="12"/>
        <v>0</v>
      </c>
      <c r="E46" s="12">
        <v>147.185</v>
      </c>
      <c r="F46" s="12">
        <f t="shared" si="13"/>
        <v>2131.977711864407</v>
      </c>
      <c r="G46" s="13">
        <v>0.93296538613873137</v>
      </c>
      <c r="H46" s="12">
        <f t="shared" si="14"/>
        <v>266.49721398305087</v>
      </c>
      <c r="I46" s="1"/>
      <c r="J46" s="1" t="s">
        <v>316</v>
      </c>
      <c r="K46" s="29" t="str">
        <f>IFERROR(INDEX($A$40:$A$48,MATCH(TRUE,$F$40:$F$48&gt;0,0)),"&gt;12 hrs")</f>
        <v>&gt;12 hrs</v>
      </c>
      <c r="L46" s="1"/>
      <c r="M46" s="1"/>
    </row>
    <row r="47" spans="1:48">
      <c r="A47" s="35">
        <v>10</v>
      </c>
      <c r="B47" s="12">
        <f t="shared" si="10"/>
        <v>3189</v>
      </c>
      <c r="C47" s="12">
        <f t="shared" si="11"/>
        <v>2702.5423728813562</v>
      </c>
      <c r="D47" s="12">
        <f t="shared" si="12"/>
        <v>0</v>
      </c>
      <c r="E47" s="12">
        <v>168.11500000000001</v>
      </c>
      <c r="F47" s="12">
        <f t="shared" si="13"/>
        <v>2617.827372881356</v>
      </c>
      <c r="G47" s="13">
        <v>0.93763660679704175</v>
      </c>
      <c r="H47" s="12">
        <f t="shared" si="14"/>
        <v>261.78273728813559</v>
      </c>
      <c r="I47" s="1"/>
      <c r="J47" s="1"/>
      <c r="K47" s="1"/>
      <c r="L47" s="1"/>
      <c r="M47" s="1"/>
    </row>
    <row r="48" spans="1:48">
      <c r="A48" s="35">
        <v>12</v>
      </c>
      <c r="B48" s="12">
        <f t="shared" si="10"/>
        <v>3787</v>
      </c>
      <c r="C48" s="12">
        <f t="shared" si="11"/>
        <v>3209.3220338983051</v>
      </c>
      <c r="D48" s="12">
        <f t="shared" si="12"/>
        <v>0</v>
      </c>
      <c r="E48" s="12">
        <v>189.04499999999999</v>
      </c>
      <c r="F48" s="12">
        <f t="shared" si="13"/>
        <v>3103.6770338983051</v>
      </c>
      <c r="G48" s="13">
        <v>0.94087255670660341</v>
      </c>
      <c r="H48" s="12">
        <f t="shared" si="14"/>
        <v>258.63975282485876</v>
      </c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42.75" customHeight="1">
      <c r="A51" s="320" t="s">
        <v>747</v>
      </c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</row>
    <row r="52" spans="1:13" ht="32">
      <c r="A52" s="125" t="s">
        <v>748</v>
      </c>
      <c r="B52" s="125" t="s">
        <v>619</v>
      </c>
      <c r="C52" s="125" t="s">
        <v>749</v>
      </c>
      <c r="D52" s="125" t="s">
        <v>540</v>
      </c>
      <c r="E52" s="125" t="s">
        <v>750</v>
      </c>
      <c r="F52" s="125" t="s">
        <v>751</v>
      </c>
      <c r="G52" s="125" t="s">
        <v>200</v>
      </c>
      <c r="H52" s="125" t="s">
        <v>138</v>
      </c>
      <c r="I52" s="125" t="s">
        <v>203</v>
      </c>
      <c r="J52" s="125" t="s">
        <v>228</v>
      </c>
      <c r="K52" s="125" t="s">
        <v>752</v>
      </c>
      <c r="L52" s="125" t="s">
        <v>753</v>
      </c>
      <c r="M52" s="125" t="s">
        <v>232</v>
      </c>
    </row>
    <row r="53" spans="1:13" ht="16">
      <c r="A53" s="1" t="s">
        <v>754</v>
      </c>
      <c r="B53" s="129">
        <v>249</v>
      </c>
      <c r="C53" s="129">
        <v>249</v>
      </c>
      <c r="D53" s="129" t="e">
        <f t="shared" ref="D53:D59" si="15">C53+$B$18*B53+MAX($B$11-$B$18,0)*B53+$B$20</f>
        <v>#REF!</v>
      </c>
      <c r="E53" s="130">
        <v>1163.8369542372884</v>
      </c>
      <c r="F53" s="131" t="e">
        <f t="shared" ref="F53:F59" si="16">$D53+MAX($B$11,$B$18)*$B53+$B$20</f>
        <v>#REF!</v>
      </c>
      <c r="G53" s="131">
        <v>2098.4719593220339</v>
      </c>
      <c r="H53" s="131" t="e">
        <f t="shared" ref="H53:H59" si="17">IF($B$11=0,0,G53/$B$11)</f>
        <v>#REF!</v>
      </c>
      <c r="I53" s="133" t="e">
        <f t="shared" ref="I53:I59" si="18">IF(G53&lt;=0,0,$B$27/G53)</f>
        <v>#REF!</v>
      </c>
      <c r="J53" s="133" t="e">
        <f t="shared" ref="J53:J59" si="19">IF($B$7=0,0,I53/$B$7)</f>
        <v>#REF!</v>
      </c>
      <c r="K53" s="132" t="e">
        <f>MIN($B$6*$B$7*E53*$B$14*(1-$B$12)*(1-$B$13),$B$8*$B$7*$B$9*$B$10/$B$11)*G53-$B$27</f>
        <v>#REF!</v>
      </c>
      <c r="L53" s="1" t="s">
        <v>755</v>
      </c>
      <c r="M53" s="132">
        <f>$B$16</f>
        <v>299</v>
      </c>
    </row>
    <row r="54" spans="1:13" ht="32">
      <c r="A54" s="1" t="s">
        <v>756</v>
      </c>
      <c r="B54" s="129">
        <v>299</v>
      </c>
      <c r="C54" s="129">
        <v>299</v>
      </c>
      <c r="D54" s="129" t="e">
        <f t="shared" si="15"/>
        <v>#REF!</v>
      </c>
      <c r="E54" s="130">
        <v>0.45</v>
      </c>
      <c r="F54" s="131" t="e">
        <f t="shared" si="16"/>
        <v>#REF!</v>
      </c>
      <c r="G54" s="131">
        <v>1310.8917847457628</v>
      </c>
      <c r="H54" s="131" t="e">
        <f t="shared" si="17"/>
        <v>#REF!</v>
      </c>
      <c r="I54" s="133" t="e">
        <f t="shared" si="18"/>
        <v>#REF!</v>
      </c>
      <c r="J54" s="133" t="e">
        <f t="shared" si="19"/>
        <v>#REF!</v>
      </c>
      <c r="K54" s="132" t="e">
        <f>MIN($B$6*$B$7*E54*$B$14*(1-$B$12)*(1-$B$13),$B$8*$B$7*$B$9*$B$10/$B$11)*G54-$B$27</f>
        <v>#REF!</v>
      </c>
      <c r="L54" s="1" t="s">
        <v>757</v>
      </c>
      <c r="M54" s="132">
        <f>$B$16</f>
        <v>299</v>
      </c>
    </row>
    <row r="55" spans="1:13" ht="16">
      <c r="A55" s="1" t="s">
        <v>758</v>
      </c>
      <c r="B55" s="129">
        <v>349</v>
      </c>
      <c r="C55" s="129">
        <v>349</v>
      </c>
      <c r="D55" s="129" t="e">
        <f t="shared" si="15"/>
        <v>#REF!</v>
      </c>
      <c r="E55" s="130">
        <v>0.4</v>
      </c>
      <c r="F55" s="131" t="e">
        <f t="shared" si="16"/>
        <v>#REF!</v>
      </c>
      <c r="G55" s="131">
        <v>1498.5694966101696</v>
      </c>
      <c r="H55" s="131" t="e">
        <f t="shared" si="17"/>
        <v>#REF!</v>
      </c>
      <c r="I55" s="133" t="e">
        <f t="shared" si="18"/>
        <v>#REF!</v>
      </c>
      <c r="J55" s="133" t="e">
        <f t="shared" si="19"/>
        <v>#REF!</v>
      </c>
      <c r="K55" s="132" t="e">
        <f>MIN($B$6*$B$7*E55*$B$14*(1-$B$12)*(1-$B$13),$B$8*$B$7*$B$9*$B$10/$B$11)*G55-$B$27</f>
        <v>#REF!</v>
      </c>
      <c r="L55" s="1" t="s">
        <v>759</v>
      </c>
      <c r="M55" s="132">
        <f>$B$17</f>
        <v>199</v>
      </c>
    </row>
    <row r="56" spans="1:13" ht="16">
      <c r="A56" s="1" t="s">
        <v>760</v>
      </c>
      <c r="B56" s="129">
        <v>399</v>
      </c>
      <c r="C56" s="129">
        <v>399</v>
      </c>
      <c r="D56" s="129" t="e">
        <f t="shared" si="15"/>
        <v>#REF!</v>
      </c>
      <c r="E56" s="130">
        <v>0.37</v>
      </c>
      <c r="F56" s="131" t="e">
        <f t="shared" si="16"/>
        <v>#REF!</v>
      </c>
      <c r="G56" s="131">
        <v>1686.2472084745764</v>
      </c>
      <c r="H56" s="131" t="e">
        <f t="shared" si="17"/>
        <v>#REF!</v>
      </c>
      <c r="I56" s="133" t="e">
        <f t="shared" si="18"/>
        <v>#REF!</v>
      </c>
      <c r="J56" s="133" t="e">
        <f t="shared" si="19"/>
        <v>#REF!</v>
      </c>
      <c r="K56" s="132" t="e">
        <f>MIN($B$6*$B$7*E56*$B$14*(1-$B$12)*(1-$B$13),$B$8*$B$7*$B$9*$B$10/$B$11)*G56-$B$27</f>
        <v>#REF!</v>
      </c>
      <c r="L56" s="1" t="s">
        <v>618</v>
      </c>
      <c r="M56" s="132">
        <f>$B$36</f>
        <v>4</v>
      </c>
    </row>
    <row r="57" spans="1:13" ht="16">
      <c r="A57" s="1" t="s">
        <v>761</v>
      </c>
      <c r="B57" s="129">
        <v>449</v>
      </c>
      <c r="C57" s="129">
        <v>449</v>
      </c>
      <c r="D57" s="129" t="e">
        <f t="shared" si="15"/>
        <v>#REF!</v>
      </c>
      <c r="E57" s="130">
        <v>0.35</v>
      </c>
      <c r="F57" s="131" t="e">
        <f t="shared" si="16"/>
        <v>#REF!</v>
      </c>
      <c r="G57" s="131">
        <v>1873.9249203389834</v>
      </c>
      <c r="H57" s="131" t="e">
        <f t="shared" si="17"/>
        <v>#REF!</v>
      </c>
      <c r="I57" s="133" t="e">
        <f t="shared" si="18"/>
        <v>#REF!</v>
      </c>
      <c r="J57" s="133" t="e">
        <f t="shared" si="19"/>
        <v>#REF!</v>
      </c>
      <c r="K57" s="132" t="e">
        <f>MIN($B$6*$B$7*E57*$B$14*(1-$B$12)*(1-$B$13),$B$8*$B$7*$B$9*$B$10/$B$11)*G57-$B$27</f>
        <v>#REF!</v>
      </c>
      <c r="L57" s="1" t="s">
        <v>196</v>
      </c>
      <c r="M57" s="132" t="e">
        <f>$AB$11</f>
        <v>#REF!</v>
      </c>
    </row>
    <row r="58" spans="1:13">
      <c r="A58" s="1"/>
      <c r="B58" s="33"/>
      <c r="C58" s="33"/>
      <c r="D58" s="12" t="e">
        <f t="shared" si="15"/>
        <v>#REF!</v>
      </c>
      <c r="E58" s="12"/>
      <c r="F58" s="12" t="e">
        <f t="shared" si="16"/>
        <v>#REF!</v>
      </c>
      <c r="G58" s="29"/>
      <c r="H58" s="29" t="e">
        <f t="shared" si="17"/>
        <v>#REF!</v>
      </c>
      <c r="I58" s="13">
        <f t="shared" si="18"/>
        <v>0</v>
      </c>
      <c r="J58" s="12">
        <f t="shared" si="19"/>
        <v>0</v>
      </c>
      <c r="K58" s="1"/>
      <c r="L58" s="1"/>
      <c r="M58" s="132"/>
    </row>
    <row r="59" spans="1:13">
      <c r="A59" s="1"/>
      <c r="B59" s="33"/>
      <c r="C59" s="33"/>
      <c r="D59" s="12" t="e">
        <f t="shared" si="15"/>
        <v>#REF!</v>
      </c>
      <c r="E59" s="12"/>
      <c r="F59" s="12" t="e">
        <f t="shared" si="16"/>
        <v>#REF!</v>
      </c>
      <c r="G59" s="29"/>
      <c r="H59" s="29" t="e">
        <f t="shared" si="17"/>
        <v>#REF!</v>
      </c>
      <c r="I59" s="13">
        <f t="shared" si="18"/>
        <v>0</v>
      </c>
      <c r="J59" s="12">
        <f t="shared" si="19"/>
        <v>0</v>
      </c>
      <c r="K59" s="1"/>
      <c r="L59" s="1"/>
      <c r="M59" s="132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42.75" customHeight="1">
      <c r="A62" s="320" t="s">
        <v>762</v>
      </c>
      <c r="B62" s="32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320"/>
    </row>
    <row r="63" spans="1:13" ht="32">
      <c r="A63" s="40" t="s">
        <v>539</v>
      </c>
      <c r="B63" s="40" t="s">
        <v>750</v>
      </c>
      <c r="C63" s="40" t="s">
        <v>763</v>
      </c>
      <c r="D63" s="40" t="s">
        <v>344</v>
      </c>
      <c r="E63" s="40" t="s">
        <v>104</v>
      </c>
      <c r="F63" s="40" t="s">
        <v>200</v>
      </c>
      <c r="G63" s="40" t="s">
        <v>212</v>
      </c>
      <c r="H63" s="40" t="s">
        <v>111</v>
      </c>
      <c r="I63" s="40" t="s">
        <v>764</v>
      </c>
      <c r="J63" s="1"/>
      <c r="K63" s="40" t="s">
        <v>317</v>
      </c>
      <c r="L63" s="40" t="s">
        <v>232</v>
      </c>
      <c r="M63" s="40" t="s">
        <v>318</v>
      </c>
    </row>
    <row r="64" spans="1:13" ht="32">
      <c r="A64" s="33">
        <v>249</v>
      </c>
      <c r="B64" s="44">
        <v>0.5</v>
      </c>
      <c r="C64" s="29">
        <f>$B$6*$B$7*B64*$B$14*(1-$B$12)*(1-$B$13)</f>
        <v>150.81560000000002</v>
      </c>
      <c r="D64" s="29" t="e">
        <f>$AB$15</f>
        <v>#REF!</v>
      </c>
      <c r="E64" s="29" t="e">
        <f>MIN(C64,D64)</f>
        <v>#REF!</v>
      </c>
      <c r="F64" s="12" t="e">
        <f>($B$17+MAX($B$11,$B$18)*A64+$B$20)/(1+$B$23)-$B$11*$B$21-($B$22+($B$17+MAX($B$11,$B$18)*A64+$B$20)*$B$24+(($B$17+MAX($B$11,$B$18)*A64+$B$20)/(1+$B$23))*'NC Credits'!$B$15)+$B$25*$B$26</f>
        <v>#REF!</v>
      </c>
      <c r="G64" s="12" t="e">
        <f>E64*F64</f>
        <v>#REF!</v>
      </c>
      <c r="H64" s="12" t="e">
        <f>G64-$B$27</f>
        <v>#REF!</v>
      </c>
      <c r="I64" s="27" t="e">
        <f>RANK(H64,$H$64:$H$68,0)</f>
        <v>#REF!</v>
      </c>
      <c r="J64" s="1"/>
      <c r="K64" s="1" t="s">
        <v>765</v>
      </c>
      <c r="L64" s="33">
        <f>$B$16</f>
        <v>299</v>
      </c>
      <c r="M64" s="1"/>
    </row>
    <row r="65" spans="1:13" ht="32">
      <c r="A65" s="33">
        <v>299</v>
      </c>
      <c r="B65" s="44">
        <v>0.45</v>
      </c>
      <c r="C65" s="29">
        <f>$B$6*$B$7*B65*$B$14*(1-$B$12)*(1-$B$13)</f>
        <v>135.73403999999999</v>
      </c>
      <c r="D65" s="29" t="e">
        <f>$AB$15</f>
        <v>#REF!</v>
      </c>
      <c r="E65" s="29" t="e">
        <f>MIN(C65,D65)</f>
        <v>#REF!</v>
      </c>
      <c r="F65" s="12" t="e">
        <f>($B$17+MAX($B$11,$B$18)*A65+$B$20)/(1+$B$23)-$B$11*$B$21-($B$22+($B$17+MAX($B$11,$B$18)*A65+$B$20)*$B$24+(($B$17+MAX($B$11,$B$18)*A65+$B$20)/(1+$B$23))*'NC Credits'!$B$15)+$B$25*$B$26</f>
        <v>#REF!</v>
      </c>
      <c r="G65" s="12" t="e">
        <f>E65*F65</f>
        <v>#REF!</v>
      </c>
      <c r="H65" s="12" t="e">
        <f>G65-$B$27</f>
        <v>#REF!</v>
      </c>
      <c r="I65" s="27" t="e">
        <f>RANK(H65,$H$64:$H$68,0)</f>
        <v>#REF!</v>
      </c>
      <c r="J65" s="1"/>
      <c r="K65" s="1" t="s">
        <v>766</v>
      </c>
      <c r="L65" s="33">
        <f>$B$16</f>
        <v>299</v>
      </c>
      <c r="M65" s="1"/>
    </row>
    <row r="66" spans="1:13" ht="16">
      <c r="A66" s="33">
        <v>349</v>
      </c>
      <c r="B66" s="44">
        <v>0.4</v>
      </c>
      <c r="C66" s="29">
        <f>$B$6*$B$7*B66*$B$14*(1-$B$12)*(1-$B$13)</f>
        <v>120.65248000000001</v>
      </c>
      <c r="D66" s="29" t="e">
        <f>$AB$15</f>
        <v>#REF!</v>
      </c>
      <c r="E66" s="29" t="e">
        <f>MIN(C66,D66)</f>
        <v>#REF!</v>
      </c>
      <c r="F66" s="12" t="e">
        <f>($B$17+MAX($B$11,$B$18)*A66+$B$20)/(1+$B$23)-$B$11*$B$21-($B$22+($B$17+MAX($B$11,$B$18)*A66+$B$20)*$B$24+(($B$17+MAX($B$11,$B$18)*A66+$B$20)/(1+$B$23))*'NC Credits'!$B$15)+$B$25*$B$26</f>
        <v>#REF!</v>
      </c>
      <c r="G66" s="12" t="e">
        <f>E66*F66</f>
        <v>#REF!</v>
      </c>
      <c r="H66" s="12" t="e">
        <f>G66-$B$27</f>
        <v>#REF!</v>
      </c>
      <c r="I66" s="27" t="e">
        <f>RANK(H66,$H$64:$H$68,0)</f>
        <v>#REF!</v>
      </c>
      <c r="J66" s="1"/>
      <c r="K66" s="1" t="s">
        <v>767</v>
      </c>
      <c r="L66" s="33">
        <f>$B$17</f>
        <v>199</v>
      </c>
      <c r="M66" s="1"/>
    </row>
    <row r="67" spans="1:13" ht="48">
      <c r="A67" s="33">
        <v>399</v>
      </c>
      <c r="B67" s="44">
        <v>0.37</v>
      </c>
      <c r="C67" s="29">
        <f>$B$6*$B$7*B67*$B$14*(1-$B$12)*(1-$B$13)</f>
        <v>111.60354400000001</v>
      </c>
      <c r="D67" s="29" t="e">
        <f>$AB$15</f>
        <v>#REF!</v>
      </c>
      <c r="E67" s="29" t="e">
        <f>MIN(C67,D67)</f>
        <v>#REF!</v>
      </c>
      <c r="F67" s="12" t="e">
        <f>($B$17+MAX($B$11,$B$18)*A67+$B$20)/(1+$B$23)-$B$11*$B$21-($B$22+($B$17+MAX($B$11,$B$18)*A67+$B$20)*$B$24+(($B$17+MAX($B$11,$B$18)*A67+$B$20)/(1+$B$23))*'NC Credits'!$B$15)+$B$25*$B$26</f>
        <v>#REF!</v>
      </c>
      <c r="G67" s="12" t="e">
        <f>E67*F67</f>
        <v>#REF!</v>
      </c>
      <c r="H67" s="12" t="e">
        <f>G67-$B$27</f>
        <v>#REF!</v>
      </c>
      <c r="I67" s="27" t="e">
        <f>RANK(H67,$H$64:$H$68,0)</f>
        <v>#REF!</v>
      </c>
      <c r="J67" s="1"/>
      <c r="K67" s="1" t="s">
        <v>768</v>
      </c>
      <c r="L67" s="33" t="e">
        <f>INDEX($A$64:$A$68,MATCH(1,$I$64:$I$68,0))</f>
        <v>#N/A</v>
      </c>
      <c r="M67" s="1"/>
    </row>
    <row r="68" spans="1:13" ht="64">
      <c r="A68" s="33">
        <v>449</v>
      </c>
      <c r="B68" s="44">
        <v>0.35</v>
      </c>
      <c r="C68" s="29">
        <f>$B$6*$B$7*B68*$B$14*(1-$B$12)*(1-$B$13)</f>
        <v>105.57092</v>
      </c>
      <c r="D68" s="29" t="e">
        <f>$AB$15</f>
        <v>#REF!</v>
      </c>
      <c r="E68" s="29" t="e">
        <f>MIN(C68,D68)</f>
        <v>#REF!</v>
      </c>
      <c r="F68" s="12" t="e">
        <f>($B$17+MAX($B$11,$B$18)*A68+$B$20)/(1+$B$23)-$B$11*$B$21-($B$22+($B$17+MAX($B$11,$B$18)*A68+$B$20)*$B$24+(($B$17+MAX($B$11,$B$18)*A68+$B$20)/(1+$B$23))*'NC Credits'!$B$15)+$B$25*$B$26</f>
        <v>#REF!</v>
      </c>
      <c r="G68" s="12" t="e">
        <f>E68*F68</f>
        <v>#REF!</v>
      </c>
      <c r="H68" s="12" t="e">
        <f>G68-$B$27</f>
        <v>#REF!</v>
      </c>
      <c r="I68" s="27" t="e">
        <f>RANK(H68,$H$64:$H$68,0)</f>
        <v>#REF!</v>
      </c>
      <c r="J68" s="1"/>
      <c r="K68" s="1" t="s">
        <v>769</v>
      </c>
      <c r="L68" s="134" t="s">
        <v>770</v>
      </c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42.75" customHeight="1">
      <c r="A72" s="320" t="s">
        <v>319</v>
      </c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  <c r="M72" s="320"/>
    </row>
    <row r="73" spans="1:13" ht="16">
      <c r="A73" s="40" t="s">
        <v>320</v>
      </c>
      <c r="B73" s="45">
        <v>0.1</v>
      </c>
      <c r="C73" s="45">
        <v>0.15</v>
      </c>
      <c r="D73" s="45">
        <v>0.2</v>
      </c>
      <c r="E73" s="45">
        <v>0.25</v>
      </c>
      <c r="F73" s="45">
        <v>0.3</v>
      </c>
      <c r="G73" s="45">
        <v>0.4</v>
      </c>
      <c r="H73" s="45">
        <v>0.5</v>
      </c>
      <c r="I73" s="1"/>
      <c r="J73" s="1"/>
      <c r="K73" s="1"/>
      <c r="L73" s="1"/>
      <c r="M73" s="1"/>
    </row>
    <row r="74" spans="1:13">
      <c r="A74" s="33">
        <v>249</v>
      </c>
      <c r="B74" s="12" t="e">
        <f>MIN($B$6*$B$7*B$73*$B$14*(1-$B$12)*(1-$B$13),$AB$15)*(($B$17+$B$18*$A74+MAX($B$11-$B$18,0)*$A74+$B$20)/(1+$B$23)-$B$11*$B$21-$B$22-($B$17+$B$18*$A74+MAX($B$11-$B$18,0)*$A74+$B$20)*$B$24-(($B$17+$B$18*$A74+MAX($B$11-$B$18,0)*$A74+$B$20)/(1+$B$23))*'NC Credits'!$B$15+$B$25*$B$26)-$B$27</f>
        <v>#REF!</v>
      </c>
      <c r="C74" s="12" t="e">
        <f>MIN($B$6*$B$7*C$73*$B$14*(1-$B$12)*(1-$B$13),$AB$15)*(($B$17+$B$18*$A74+MAX($B$11-$B$18,0)*$A74+$B$20)/(1+$B$23)-$B$11*$B$21-$B$22-($B$17+$B$18*$A74+MAX($B$11-$B$18,0)*$A74+$B$20)*$B$24-(($B$17+$B$18*$A74+MAX($B$11-$B$18,0)*$A74+$B$20)/(1+$B$23))*'NC Credits'!$B$15+$B$25*$B$26)-$B$27</f>
        <v>#REF!</v>
      </c>
      <c r="D74" s="12" t="e">
        <f>MIN($B$6*$B$7*D$73*$B$14*(1-$B$12)*(1-$B$13),$AB$15)*(($B$17+$B$18*$A74+MAX($B$11-$B$18,0)*$A74+$B$20)/(1+$B$23)-$B$11*$B$21-$B$22-($B$17+$B$18*$A74+MAX($B$11-$B$18,0)*$A74+$B$20)*$B$24-(($B$17+$B$18*$A74+MAX($B$11-$B$18,0)*$A74+$B$20)/(1+$B$23))*'NC Credits'!$B$15+$B$25*$B$26)-$B$27</f>
        <v>#REF!</v>
      </c>
      <c r="E74" s="12" t="e">
        <f>MIN($B$6*$B$7*E$73*$B$14*(1-$B$12)*(1-$B$13),$AB$15)*(($B$17+$B$18*$A74+MAX($B$11-$B$18,0)*$A74+$B$20)/(1+$B$23)-$B$11*$B$21-$B$22-($B$17+$B$18*$A74+MAX($B$11-$B$18,0)*$A74+$B$20)*$B$24-(($B$17+$B$18*$A74+MAX($B$11-$B$18,0)*$A74+$B$20)/(1+$B$23))*'NC Credits'!$B$15+$B$25*$B$26)-$B$27</f>
        <v>#REF!</v>
      </c>
      <c r="F74" s="12" t="e">
        <f>MIN($B$6*$B$7*F$73*$B$14*(1-$B$12)*(1-$B$13),$AB$15)*(($B$17+$B$18*$A74+MAX($B$11-$B$18,0)*$A74+$B$20)/(1+$B$23)-$B$11*$B$21-$B$22-($B$17+$B$18*$A74+MAX($B$11-$B$18,0)*$A74+$B$20)*$B$24-(($B$17+$B$18*$A74+MAX($B$11-$B$18,0)*$A74+$B$20)/(1+$B$23))*'NC Credits'!$B$15+$B$25*$B$26)-$B$27</f>
        <v>#REF!</v>
      </c>
      <c r="G74" s="12" t="e">
        <f>MIN($B$6*$B$7*G$73*$B$14*(1-$B$12)*(1-$B$13),$AB$15)*(($B$17+$B$18*$A74+MAX($B$11-$B$18,0)*$A74+$B$20)/(1+$B$23)-$B$11*$B$21-$B$22-($B$17+$B$18*$A74+MAX($B$11-$B$18,0)*$A74+$B$20)*$B$24-(($B$17+$B$18*$A74+MAX($B$11-$B$18,0)*$A74+$B$20)/(1+$B$23))*'NC Credits'!$B$15+$B$25*$B$26)-$B$27</f>
        <v>#REF!</v>
      </c>
      <c r="H74" s="12" t="e">
        <f>MIN($B$6*$B$7*H$73*$B$14*(1-$B$12)*(1-$B$13),$AB$15)*(($B$17+$B$18*$A74+MAX($B$11-$B$18,0)*$A74+$B$20)/(1+$B$23)-$B$11*$B$21-$B$22-($B$17+$B$18*$A74+MAX($B$11-$B$18,0)*$A74+$B$20)*$B$24-(($B$17+$B$18*$A74+MAX($B$11-$B$18,0)*$A74+$B$20)/(1+$B$23))*'NC Credits'!$B$15+$B$25*$B$26)-$B$27</f>
        <v>#REF!</v>
      </c>
      <c r="I74" s="1"/>
      <c r="J74" s="1"/>
      <c r="K74" s="1"/>
      <c r="L74" s="1"/>
      <c r="M74" s="1"/>
    </row>
    <row r="75" spans="1:13">
      <c r="A75" s="33">
        <v>299</v>
      </c>
      <c r="B75" s="12" t="e">
        <f>MIN($B$6*$B$7*B$73*$B$14*(1-$B$12)*(1-$B$13),$AB$15)*(($B$17+$B$18*$A75+MAX($B$11-$B$18,0)*$A75+$B$20)/(1+$B$23)-$B$11*$B$21-$B$22-($B$17+$B$18*$A75+MAX($B$11-$B$18,0)*$A75+$B$20)*$B$24-(($B$17+$B$18*$A75+MAX($B$11-$B$18,0)*$A75+$B$20)/(1+$B$23))*'NC Credits'!$B$15+$B$25*$B$26)-$B$27</f>
        <v>#REF!</v>
      </c>
      <c r="C75" s="12" t="e">
        <f>MIN($B$6*$B$7*C$73*$B$14*(1-$B$12)*(1-$B$13),$AB$15)*(($B$17+$B$18*$A75+MAX($B$11-$B$18,0)*$A75+$B$20)/(1+$B$23)-$B$11*$B$21-$B$22-($B$17+$B$18*$A75+MAX($B$11-$B$18,0)*$A75+$B$20)*$B$24-(($B$17+$B$18*$A75+MAX($B$11-$B$18,0)*$A75+$B$20)/(1+$B$23))*'NC Credits'!$B$15+$B$25*$B$26)-$B$27</f>
        <v>#REF!</v>
      </c>
      <c r="D75" s="12" t="e">
        <f>MIN($B$6*$B$7*D$73*$B$14*(1-$B$12)*(1-$B$13),$AB$15)*(($B$17+$B$18*$A75+MAX($B$11-$B$18,0)*$A75+$B$20)/(1+$B$23)-$B$11*$B$21-$B$22-($B$17+$B$18*$A75+MAX($B$11-$B$18,0)*$A75+$B$20)*$B$24-(($B$17+$B$18*$A75+MAX($B$11-$B$18,0)*$A75+$B$20)/(1+$B$23))*'NC Credits'!$B$15+$B$25*$B$26)-$B$27</f>
        <v>#REF!</v>
      </c>
      <c r="E75" s="12" t="e">
        <f>MIN($B$6*$B$7*E$73*$B$14*(1-$B$12)*(1-$B$13),$AB$15)*(($B$17+$B$18*$A75+MAX($B$11-$B$18,0)*$A75+$B$20)/(1+$B$23)-$B$11*$B$21-$B$22-($B$17+$B$18*$A75+MAX($B$11-$B$18,0)*$A75+$B$20)*$B$24-(($B$17+$B$18*$A75+MAX($B$11-$B$18,0)*$A75+$B$20)/(1+$B$23))*'NC Credits'!$B$15+$B$25*$B$26)-$B$27</f>
        <v>#REF!</v>
      </c>
      <c r="F75" s="12" t="e">
        <f>MIN($B$6*$B$7*F$73*$B$14*(1-$B$12)*(1-$B$13),$AB$15)*(($B$17+$B$18*$A75+MAX($B$11-$B$18,0)*$A75+$B$20)/(1+$B$23)-$B$11*$B$21-$B$22-($B$17+$B$18*$A75+MAX($B$11-$B$18,0)*$A75+$B$20)*$B$24-(($B$17+$B$18*$A75+MAX($B$11-$B$18,0)*$A75+$B$20)/(1+$B$23))*'NC Credits'!$B$15+$B$25*$B$26)-$B$27</f>
        <v>#REF!</v>
      </c>
      <c r="G75" s="12" t="e">
        <f>MIN($B$6*$B$7*G$73*$B$14*(1-$B$12)*(1-$B$13),$AB$15)*(($B$17+$B$18*$A75+MAX($B$11-$B$18,0)*$A75+$B$20)/(1+$B$23)-$B$11*$B$21-$B$22-($B$17+$B$18*$A75+MAX($B$11-$B$18,0)*$A75+$B$20)*$B$24-(($B$17+$B$18*$A75+MAX($B$11-$B$18,0)*$A75+$B$20)/(1+$B$23))*'NC Credits'!$B$15+$B$25*$B$26)-$B$27</f>
        <v>#REF!</v>
      </c>
      <c r="H75" s="12" t="e">
        <f>MIN($B$6*$B$7*H$73*$B$14*(1-$B$12)*(1-$B$13),$AB$15)*(($B$17+$B$18*$A75+MAX($B$11-$B$18,0)*$A75+$B$20)/(1+$B$23)-$B$11*$B$21-$B$22-($B$17+$B$18*$A75+MAX($B$11-$B$18,0)*$A75+$B$20)*$B$24-(($B$17+$B$18*$A75+MAX($B$11-$B$18,0)*$A75+$B$20)/(1+$B$23))*'NC Credits'!$B$15+$B$25*$B$26)-$B$27</f>
        <v>#REF!</v>
      </c>
      <c r="I75" s="1"/>
      <c r="J75" s="1"/>
      <c r="K75" s="1"/>
      <c r="L75" s="1"/>
      <c r="M75" s="1"/>
    </row>
    <row r="76" spans="1:13">
      <c r="A76" s="33">
        <v>349</v>
      </c>
      <c r="B76" s="12" t="e">
        <f>MIN($B$6*$B$7*B$73*$B$14*(1-$B$12)*(1-$B$13),$AB$15)*(($B$17+$B$18*$A76+MAX($B$11-$B$18,0)*$A76+$B$20)/(1+$B$23)-$B$11*$B$21-$B$22-($B$17+$B$18*$A76+MAX($B$11-$B$18,0)*$A76+$B$20)*$B$24-(($B$17+$B$18*$A76+MAX($B$11-$B$18,0)*$A76+$B$20)/(1+$B$23))*'NC Credits'!$B$15+$B$25*$B$26)-$B$27</f>
        <v>#REF!</v>
      </c>
      <c r="C76" s="12" t="e">
        <f>MIN($B$6*$B$7*C$73*$B$14*(1-$B$12)*(1-$B$13),$AB$15)*(($B$17+$B$18*$A76+MAX($B$11-$B$18,0)*$A76+$B$20)/(1+$B$23)-$B$11*$B$21-$B$22-($B$17+$B$18*$A76+MAX($B$11-$B$18,0)*$A76+$B$20)*$B$24-(($B$17+$B$18*$A76+MAX($B$11-$B$18,0)*$A76+$B$20)/(1+$B$23))*'NC Credits'!$B$15+$B$25*$B$26)-$B$27</f>
        <v>#REF!</v>
      </c>
      <c r="D76" s="12" t="e">
        <f>MIN($B$6*$B$7*D$73*$B$14*(1-$B$12)*(1-$B$13),$AB$15)*(($B$17+$B$18*$A76+MAX($B$11-$B$18,0)*$A76+$B$20)/(1+$B$23)-$B$11*$B$21-$B$22-($B$17+$B$18*$A76+MAX($B$11-$B$18,0)*$A76+$B$20)*$B$24-(($B$17+$B$18*$A76+MAX($B$11-$B$18,0)*$A76+$B$20)/(1+$B$23))*'NC Credits'!$B$15+$B$25*$B$26)-$B$27</f>
        <v>#REF!</v>
      </c>
      <c r="E76" s="12" t="e">
        <f>MIN($B$6*$B$7*E$73*$B$14*(1-$B$12)*(1-$B$13),$AB$15)*(($B$17+$B$18*$A76+MAX($B$11-$B$18,0)*$A76+$B$20)/(1+$B$23)-$B$11*$B$21-$B$22-($B$17+$B$18*$A76+MAX($B$11-$B$18,0)*$A76+$B$20)*$B$24-(($B$17+$B$18*$A76+MAX($B$11-$B$18,0)*$A76+$B$20)/(1+$B$23))*'NC Credits'!$B$15+$B$25*$B$26)-$B$27</f>
        <v>#REF!</v>
      </c>
      <c r="F76" s="12" t="e">
        <f>MIN($B$6*$B$7*F$73*$B$14*(1-$B$12)*(1-$B$13),$AB$15)*(($B$17+$B$18*$A76+MAX($B$11-$B$18,0)*$A76+$B$20)/(1+$B$23)-$B$11*$B$21-$B$22-($B$17+$B$18*$A76+MAX($B$11-$B$18,0)*$A76+$B$20)*$B$24-(($B$17+$B$18*$A76+MAX($B$11-$B$18,0)*$A76+$B$20)/(1+$B$23))*'NC Credits'!$B$15+$B$25*$B$26)-$B$27</f>
        <v>#REF!</v>
      </c>
      <c r="G76" s="12" t="e">
        <f>MIN($B$6*$B$7*G$73*$B$14*(1-$B$12)*(1-$B$13),$AB$15)*(($B$17+$B$18*$A76+MAX($B$11-$B$18,0)*$A76+$B$20)/(1+$B$23)-$B$11*$B$21-$B$22-($B$17+$B$18*$A76+MAX($B$11-$B$18,0)*$A76+$B$20)*$B$24-(($B$17+$B$18*$A76+MAX($B$11-$B$18,0)*$A76+$B$20)/(1+$B$23))*'NC Credits'!$B$15+$B$25*$B$26)-$B$27</f>
        <v>#REF!</v>
      </c>
      <c r="H76" s="12" t="e">
        <f>MIN($B$6*$B$7*H$73*$B$14*(1-$B$12)*(1-$B$13),$AB$15)*(($B$17+$B$18*$A76+MAX($B$11-$B$18,0)*$A76+$B$20)/(1+$B$23)-$B$11*$B$21-$B$22-($B$17+$B$18*$A76+MAX($B$11-$B$18,0)*$A76+$B$20)*$B$24-(($B$17+$B$18*$A76+MAX($B$11-$B$18,0)*$A76+$B$20)/(1+$B$23))*'NC Credits'!$B$15+$B$25*$B$26)-$B$27</f>
        <v>#REF!</v>
      </c>
      <c r="I76" s="1"/>
      <c r="J76" s="1"/>
      <c r="K76" s="1"/>
      <c r="L76" s="1"/>
      <c r="M76" s="1"/>
    </row>
    <row r="77" spans="1:13">
      <c r="A77" s="33">
        <v>399</v>
      </c>
      <c r="B77" s="12" t="e">
        <f>MIN($B$6*$B$7*B$73*$B$14*(1-$B$12)*(1-$B$13),$AB$15)*(($B$17+$B$18*$A77+MAX($B$11-$B$18,0)*$A77+$B$20)/(1+$B$23)-$B$11*$B$21-$B$22-($B$17+$B$18*$A77+MAX($B$11-$B$18,0)*$A77+$B$20)*$B$24-(($B$17+$B$18*$A77+MAX($B$11-$B$18,0)*$A77+$B$20)/(1+$B$23))*'NC Credits'!$B$15+$B$25*$B$26)-$B$27</f>
        <v>#REF!</v>
      </c>
      <c r="C77" s="12" t="e">
        <f>MIN($B$6*$B$7*C$73*$B$14*(1-$B$12)*(1-$B$13),$AB$15)*(($B$17+$B$18*$A77+MAX($B$11-$B$18,0)*$A77+$B$20)/(1+$B$23)-$B$11*$B$21-$B$22-($B$17+$B$18*$A77+MAX($B$11-$B$18,0)*$A77+$B$20)*$B$24-(($B$17+$B$18*$A77+MAX($B$11-$B$18,0)*$A77+$B$20)/(1+$B$23))*'NC Credits'!$B$15+$B$25*$B$26)-$B$27</f>
        <v>#REF!</v>
      </c>
      <c r="D77" s="12" t="e">
        <f>MIN($B$6*$B$7*D$73*$B$14*(1-$B$12)*(1-$B$13),$AB$15)*(($B$17+$B$18*$A77+MAX($B$11-$B$18,0)*$A77+$B$20)/(1+$B$23)-$B$11*$B$21-$B$22-($B$17+$B$18*$A77+MAX($B$11-$B$18,0)*$A77+$B$20)*$B$24-(($B$17+$B$18*$A77+MAX($B$11-$B$18,0)*$A77+$B$20)/(1+$B$23))*'NC Credits'!$B$15+$B$25*$B$26)-$B$27</f>
        <v>#REF!</v>
      </c>
      <c r="E77" s="12" t="e">
        <f>MIN($B$6*$B$7*E$73*$B$14*(1-$B$12)*(1-$B$13),$AB$15)*(($B$17+$B$18*$A77+MAX($B$11-$B$18,0)*$A77+$B$20)/(1+$B$23)-$B$11*$B$21-$B$22-($B$17+$B$18*$A77+MAX($B$11-$B$18,0)*$A77+$B$20)*$B$24-(($B$17+$B$18*$A77+MAX($B$11-$B$18,0)*$A77+$B$20)/(1+$B$23))*'NC Credits'!$B$15+$B$25*$B$26)-$B$27</f>
        <v>#REF!</v>
      </c>
      <c r="F77" s="12" t="e">
        <f>MIN($B$6*$B$7*F$73*$B$14*(1-$B$12)*(1-$B$13),$AB$15)*(($B$17+$B$18*$A77+MAX($B$11-$B$18,0)*$A77+$B$20)/(1+$B$23)-$B$11*$B$21-$B$22-($B$17+$B$18*$A77+MAX($B$11-$B$18,0)*$A77+$B$20)*$B$24-(($B$17+$B$18*$A77+MAX($B$11-$B$18,0)*$A77+$B$20)/(1+$B$23))*'NC Credits'!$B$15+$B$25*$B$26)-$B$27</f>
        <v>#REF!</v>
      </c>
      <c r="G77" s="12" t="e">
        <f>MIN($B$6*$B$7*G$73*$B$14*(1-$B$12)*(1-$B$13),$AB$15)*(($B$17+$B$18*$A77+MAX($B$11-$B$18,0)*$A77+$B$20)/(1+$B$23)-$B$11*$B$21-$B$22-($B$17+$B$18*$A77+MAX($B$11-$B$18,0)*$A77+$B$20)*$B$24-(($B$17+$B$18*$A77+MAX($B$11-$B$18,0)*$A77+$B$20)/(1+$B$23))*'NC Credits'!$B$15+$B$25*$B$26)-$B$27</f>
        <v>#REF!</v>
      </c>
      <c r="H77" s="12" t="e">
        <f>MIN($B$6*$B$7*H$73*$B$14*(1-$B$12)*(1-$B$13),$AB$15)*(($B$17+$B$18*$A77+MAX($B$11-$B$18,0)*$A77+$B$20)/(1+$B$23)-$B$11*$B$21-$B$22-($B$17+$B$18*$A77+MAX($B$11-$B$18,0)*$A77+$B$20)*$B$24-(($B$17+$B$18*$A77+MAX($B$11-$B$18,0)*$A77+$B$20)/(1+$B$23))*'NC Credits'!$B$15+$B$25*$B$26)-$B$27</f>
        <v>#REF!</v>
      </c>
      <c r="I77" s="1"/>
      <c r="J77" s="1"/>
      <c r="K77" s="1"/>
      <c r="L77" s="1"/>
      <c r="M77" s="1"/>
    </row>
    <row r="78" spans="1:13">
      <c r="A78" s="33">
        <v>449</v>
      </c>
      <c r="B78" s="12" t="e">
        <f>MIN($B$6*$B$7*B$73*$B$14*(1-$B$12)*(1-$B$13),$AB$15)*(($B$17+$B$18*$A78+MAX($B$11-$B$18,0)*$A78+$B$20)/(1+$B$23)-$B$11*$B$21-$B$22-($B$17+$B$18*$A78+MAX($B$11-$B$18,0)*$A78+$B$20)*$B$24-(($B$17+$B$18*$A78+MAX($B$11-$B$18,0)*$A78+$B$20)/(1+$B$23))*'NC Credits'!$B$15+$B$25*$B$26)-$B$27</f>
        <v>#REF!</v>
      </c>
      <c r="C78" s="12" t="e">
        <f>MIN($B$6*$B$7*C$73*$B$14*(1-$B$12)*(1-$B$13),$AB$15)*(($B$17+$B$18*$A78+MAX($B$11-$B$18,0)*$A78+$B$20)/(1+$B$23)-$B$11*$B$21-$B$22-($B$17+$B$18*$A78+MAX($B$11-$B$18,0)*$A78+$B$20)*$B$24-(($B$17+$B$18*$A78+MAX($B$11-$B$18,0)*$A78+$B$20)/(1+$B$23))*'NC Credits'!$B$15+$B$25*$B$26)-$B$27</f>
        <v>#REF!</v>
      </c>
      <c r="D78" s="12" t="e">
        <f>MIN($B$6*$B$7*D$73*$B$14*(1-$B$12)*(1-$B$13),$AB$15)*(($B$17+$B$18*$A78+MAX($B$11-$B$18,0)*$A78+$B$20)/(1+$B$23)-$B$11*$B$21-$B$22-($B$17+$B$18*$A78+MAX($B$11-$B$18,0)*$A78+$B$20)*$B$24-(($B$17+$B$18*$A78+MAX($B$11-$B$18,0)*$A78+$B$20)/(1+$B$23))*'NC Credits'!$B$15+$B$25*$B$26)-$B$27</f>
        <v>#REF!</v>
      </c>
      <c r="E78" s="12" t="e">
        <f>MIN($B$6*$B$7*E$73*$B$14*(1-$B$12)*(1-$B$13),$AB$15)*(($B$17+$B$18*$A78+MAX($B$11-$B$18,0)*$A78+$B$20)/(1+$B$23)-$B$11*$B$21-$B$22-($B$17+$B$18*$A78+MAX($B$11-$B$18,0)*$A78+$B$20)*$B$24-(($B$17+$B$18*$A78+MAX($B$11-$B$18,0)*$A78+$B$20)/(1+$B$23))*'NC Credits'!$B$15+$B$25*$B$26)-$B$27</f>
        <v>#REF!</v>
      </c>
      <c r="F78" s="12" t="e">
        <f>MIN($B$6*$B$7*F$73*$B$14*(1-$B$12)*(1-$B$13),$AB$15)*(($B$17+$B$18*$A78+MAX($B$11-$B$18,0)*$A78+$B$20)/(1+$B$23)-$B$11*$B$21-$B$22-($B$17+$B$18*$A78+MAX($B$11-$B$18,0)*$A78+$B$20)*$B$24-(($B$17+$B$18*$A78+MAX($B$11-$B$18,0)*$A78+$B$20)/(1+$B$23))*'NC Credits'!$B$15+$B$25*$B$26)-$B$27</f>
        <v>#REF!</v>
      </c>
      <c r="G78" s="12" t="e">
        <f>MIN($B$6*$B$7*G$73*$B$14*(1-$B$12)*(1-$B$13),$AB$15)*(($B$17+$B$18*$A78+MAX($B$11-$B$18,0)*$A78+$B$20)/(1+$B$23)-$B$11*$B$21-$B$22-($B$17+$B$18*$A78+MAX($B$11-$B$18,0)*$A78+$B$20)*$B$24-(($B$17+$B$18*$A78+MAX($B$11-$B$18,0)*$A78+$B$20)/(1+$B$23))*'NC Credits'!$B$15+$B$25*$B$26)-$B$27</f>
        <v>#REF!</v>
      </c>
      <c r="H78" s="12" t="e">
        <f>MIN($B$6*$B$7*H$73*$B$14*(1-$B$12)*(1-$B$13),$AB$15)*(($B$17+$B$18*$A78+MAX($B$11-$B$18,0)*$A78+$B$20)/(1+$B$23)-$B$11*$B$21-$B$22-($B$17+$B$18*$A78+MAX($B$11-$B$18,0)*$A78+$B$20)*$B$24-(($B$17+$B$18*$A78+MAX($B$11-$B$18,0)*$A78+$B$20)/(1+$B$23))*'NC Credits'!$B$15+$B$25*$B$26)-$B$27</f>
        <v>#REF!</v>
      </c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42.75" customHeight="1">
      <c r="A82" s="320" t="s">
        <v>321</v>
      </c>
      <c r="B82" s="320"/>
      <c r="C82" s="320"/>
      <c r="D82" s="320"/>
      <c r="E82" s="320"/>
      <c r="F82" s="320"/>
      <c r="G82" s="320"/>
      <c r="H82" s="320"/>
      <c r="I82" s="320"/>
      <c r="J82" s="320"/>
      <c r="K82" s="320"/>
      <c r="L82" s="320"/>
      <c r="M82" s="320"/>
    </row>
    <row r="83" spans="1:13" ht="48">
      <c r="A83" s="40" t="s">
        <v>322</v>
      </c>
      <c r="B83" s="40" t="s">
        <v>200</v>
      </c>
      <c r="C83" s="40" t="s">
        <v>138</v>
      </c>
      <c r="D83" s="40" t="s">
        <v>323</v>
      </c>
      <c r="E83" s="40" t="s">
        <v>203</v>
      </c>
      <c r="F83" s="40" t="s">
        <v>228</v>
      </c>
      <c r="G83" s="40" t="s">
        <v>324</v>
      </c>
      <c r="H83" s="1"/>
      <c r="I83" s="40" t="s">
        <v>325</v>
      </c>
      <c r="J83" s="40" t="s">
        <v>326</v>
      </c>
      <c r="K83" s="40" t="s">
        <v>327</v>
      </c>
      <c r="L83" s="40" t="s">
        <v>328</v>
      </c>
      <c r="M83" s="40" t="s">
        <v>329</v>
      </c>
    </row>
    <row r="84" spans="1:13" ht="32">
      <c r="A84" s="42">
        <v>125</v>
      </c>
      <c r="B84" s="12">
        <v>733.39178474576272</v>
      </c>
      <c r="C84" s="12" t="e">
        <f t="shared" ref="C84:C89" si="20">IF($B$11=0,0,B84/$B$11)</f>
        <v>#REF!</v>
      </c>
      <c r="D84" s="12">
        <v>288.23905658681917</v>
      </c>
      <c r="E84" s="29" t="e">
        <f t="shared" ref="E84:E89" si="21">IF(B84&lt;=0,0,$B$27/B84)</f>
        <v>#REF!</v>
      </c>
      <c r="F84" s="29" t="e">
        <f t="shared" ref="F84:F89" si="22">E84/$B$7</f>
        <v>#REF!</v>
      </c>
      <c r="G84" s="12" t="e">
        <f t="shared" ref="G84:G89" si="23">$AB$16*B84-$B$27</f>
        <v>#REF!</v>
      </c>
      <c r="H84" s="1"/>
      <c r="I84" s="1" t="s">
        <v>330</v>
      </c>
      <c r="J84" s="42">
        <v>175</v>
      </c>
      <c r="K84" s="44">
        <v>1</v>
      </c>
      <c r="L84" s="12">
        <f>J84</f>
        <v>175</v>
      </c>
      <c r="M84" s="1" t="s">
        <v>331</v>
      </c>
    </row>
    <row r="85" spans="1:13" ht="32">
      <c r="A85" s="42">
        <v>140</v>
      </c>
      <c r="B85" s="12">
        <v>664.09178474576265</v>
      </c>
      <c r="C85" s="12" t="e">
        <f t="shared" si="20"/>
        <v>#REF!</v>
      </c>
      <c r="D85" s="12">
        <v>306.70155789066814</v>
      </c>
      <c r="E85" s="29" t="e">
        <f t="shared" si="21"/>
        <v>#REF!</v>
      </c>
      <c r="F85" s="29" t="e">
        <f t="shared" si="22"/>
        <v>#REF!</v>
      </c>
      <c r="G85" s="12" t="e">
        <f t="shared" si="23"/>
        <v>#REF!</v>
      </c>
      <c r="H85" s="1"/>
      <c r="I85" s="1" t="s">
        <v>332</v>
      </c>
      <c r="J85" s="42">
        <v>700</v>
      </c>
      <c r="K85" s="44">
        <v>0.7</v>
      </c>
      <c r="L85" s="12">
        <f>J85/(4*K85)</f>
        <v>250.00000000000003</v>
      </c>
      <c r="M85" s="1" t="s">
        <v>333</v>
      </c>
    </row>
    <row r="86" spans="1:13" ht="32">
      <c r="A86" s="42">
        <v>150</v>
      </c>
      <c r="B86" s="12">
        <v>617.89178474576272</v>
      </c>
      <c r="C86" s="12" t="e">
        <f t="shared" si="20"/>
        <v>#REF!</v>
      </c>
      <c r="D86" s="12">
        <v>319.0098920932341</v>
      </c>
      <c r="E86" s="29" t="e">
        <f t="shared" si="21"/>
        <v>#REF!</v>
      </c>
      <c r="F86" s="29" t="e">
        <f t="shared" si="22"/>
        <v>#REF!</v>
      </c>
      <c r="G86" s="12" t="e">
        <f t="shared" si="23"/>
        <v>#REF!</v>
      </c>
      <c r="H86" s="1"/>
      <c r="I86" s="1" t="s">
        <v>334</v>
      </c>
      <c r="J86" s="42">
        <v>600</v>
      </c>
      <c r="K86" s="44">
        <v>0.85</v>
      </c>
      <c r="L86" s="12">
        <f>J86/(4*K86)</f>
        <v>176.47058823529412</v>
      </c>
      <c r="M86" s="1" t="s">
        <v>335</v>
      </c>
    </row>
    <row r="87" spans="1:13" ht="16">
      <c r="A87" s="42">
        <v>160</v>
      </c>
      <c r="B87" s="12">
        <v>571.69178474576267</v>
      </c>
      <c r="C87" s="12" t="e">
        <f t="shared" si="20"/>
        <v>#REF!</v>
      </c>
      <c r="D87" s="12">
        <v>331.3182262958</v>
      </c>
      <c r="E87" s="29" t="e">
        <f t="shared" si="21"/>
        <v>#REF!</v>
      </c>
      <c r="F87" s="29" t="e">
        <f t="shared" si="22"/>
        <v>#REF!</v>
      </c>
      <c r="G87" s="12" t="e">
        <f t="shared" si="23"/>
        <v>#REF!</v>
      </c>
      <c r="H87" s="1"/>
      <c r="I87" s="1" t="s">
        <v>336</v>
      </c>
      <c r="J87" s="42">
        <v>650</v>
      </c>
      <c r="K87" s="44">
        <v>0.75</v>
      </c>
      <c r="L87" s="12">
        <f>J87/(4*K87)</f>
        <v>216.66666666666666</v>
      </c>
      <c r="M87" s="1" t="s">
        <v>337</v>
      </c>
    </row>
    <row r="88" spans="1:13" ht="32">
      <c r="A88" s="42">
        <v>175</v>
      </c>
      <c r="B88" s="12">
        <v>502.39178474576272</v>
      </c>
      <c r="C88" s="12" t="e">
        <f t="shared" si="20"/>
        <v>#REF!</v>
      </c>
      <c r="D88" s="12">
        <v>349.78072759964903</v>
      </c>
      <c r="E88" s="29" t="e">
        <f t="shared" si="21"/>
        <v>#REF!</v>
      </c>
      <c r="F88" s="29" t="e">
        <f t="shared" si="22"/>
        <v>#REF!</v>
      </c>
      <c r="G88" s="12" t="e">
        <f t="shared" si="23"/>
        <v>#REF!</v>
      </c>
      <c r="H88" s="1"/>
      <c r="I88" s="1" t="s">
        <v>338</v>
      </c>
      <c r="J88" s="42">
        <v>1200</v>
      </c>
      <c r="K88" s="44">
        <v>0.7</v>
      </c>
      <c r="L88" s="12">
        <f>J88/(8*K88)</f>
        <v>214.28571428571431</v>
      </c>
      <c r="M88" s="1" t="s">
        <v>339</v>
      </c>
    </row>
    <row r="89" spans="1:13">
      <c r="A89" s="42">
        <v>200</v>
      </c>
      <c r="B89" s="12">
        <v>386.89178474576272</v>
      </c>
      <c r="C89" s="12" t="e">
        <f t="shared" si="20"/>
        <v>#REF!</v>
      </c>
      <c r="D89" s="12">
        <v>380.55156310606395</v>
      </c>
      <c r="E89" s="29" t="e">
        <f t="shared" si="21"/>
        <v>#REF!</v>
      </c>
      <c r="F89" s="29" t="e">
        <f t="shared" si="22"/>
        <v>#REF!</v>
      </c>
      <c r="G89" s="12" t="e">
        <f t="shared" si="23"/>
        <v>#REF!</v>
      </c>
      <c r="H89" s="1"/>
      <c r="I89" s="1"/>
      <c r="J89" s="1"/>
      <c r="K89" s="1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42.75" customHeight="1">
      <c r="A93" s="320" t="s">
        <v>340</v>
      </c>
      <c r="B93" s="320"/>
      <c r="C93" s="320"/>
      <c r="D93" s="320"/>
      <c r="E93" s="320"/>
      <c r="F93" s="320"/>
      <c r="G93" s="320"/>
      <c r="H93" s="320"/>
      <c r="I93" s="320"/>
      <c r="J93" s="320"/>
      <c r="K93" s="320"/>
      <c r="L93" s="320"/>
      <c r="M93" s="320"/>
    </row>
    <row r="94" spans="1:13" ht="32">
      <c r="A94" s="40" t="s">
        <v>206</v>
      </c>
      <c r="B94" s="40" t="s">
        <v>341</v>
      </c>
      <c r="C94" s="40" t="s">
        <v>342</v>
      </c>
      <c r="D94" s="40" t="s">
        <v>343</v>
      </c>
      <c r="E94" s="40" t="s">
        <v>344</v>
      </c>
      <c r="F94" s="40" t="s">
        <v>104</v>
      </c>
      <c r="G94" s="40" t="s">
        <v>110</v>
      </c>
      <c r="H94" s="40" t="s">
        <v>111</v>
      </c>
      <c r="I94" s="1"/>
      <c r="J94" s="40" t="s">
        <v>345</v>
      </c>
      <c r="K94" s="40" t="s">
        <v>232</v>
      </c>
      <c r="L94" s="1"/>
      <c r="M94" s="1"/>
    </row>
    <row r="95" spans="1:13" ht="32">
      <c r="A95" s="32">
        <v>0.3</v>
      </c>
      <c r="B95" s="29">
        <f t="shared" ref="B95:B101" si="24">$B$8*$B$7*$B$9</f>
        <v>1040</v>
      </c>
      <c r="C95" s="29">
        <f t="shared" ref="C95:C101" si="25">B95*A95</f>
        <v>312</v>
      </c>
      <c r="D95" s="29">
        <f t="shared" ref="D95:D101" si="26">B95-C95</f>
        <v>728</v>
      </c>
      <c r="E95" s="29" t="e">
        <f t="shared" ref="E95:E101" si="27">IF($B$11=0,0,C95/$B$11)</f>
        <v>#REF!</v>
      </c>
      <c r="F95" s="29" t="e">
        <f t="shared" ref="F95:F101" si="28">MIN(E95,$AB$14)</f>
        <v>#REF!</v>
      </c>
      <c r="G95" s="12" t="e">
        <f t="shared" ref="G95:G101" si="29">F95*$AB$11</f>
        <v>#REF!</v>
      </c>
      <c r="H95" s="12" t="e">
        <f t="shared" ref="H95:H101" si="30">G95-$B$27</f>
        <v>#REF!</v>
      </c>
      <c r="I95" s="1"/>
      <c r="J95" s="1" t="s">
        <v>346</v>
      </c>
      <c r="K95" s="29">
        <f>$B$8</f>
        <v>5</v>
      </c>
      <c r="L95" s="1"/>
      <c r="M95" s="1"/>
    </row>
    <row r="96" spans="1:13" ht="48">
      <c r="A96" s="32">
        <v>0.4</v>
      </c>
      <c r="B96" s="29">
        <f t="shared" si="24"/>
        <v>1040</v>
      </c>
      <c r="C96" s="29">
        <f t="shared" si="25"/>
        <v>416</v>
      </c>
      <c r="D96" s="29">
        <f t="shared" si="26"/>
        <v>624</v>
      </c>
      <c r="E96" s="29" t="e">
        <f t="shared" si="27"/>
        <v>#REF!</v>
      </c>
      <c r="F96" s="29" t="e">
        <f t="shared" si="28"/>
        <v>#REF!</v>
      </c>
      <c r="G96" s="12" t="e">
        <f t="shared" si="29"/>
        <v>#REF!</v>
      </c>
      <c r="H96" s="12" t="e">
        <f t="shared" si="30"/>
        <v>#REF!</v>
      </c>
      <c r="I96" s="1"/>
      <c r="J96" s="1" t="s">
        <v>347</v>
      </c>
      <c r="K96" s="29" t="e">
        <f>$AB$24</f>
        <v>#REF!</v>
      </c>
      <c r="L96" s="1"/>
      <c r="M96" s="1"/>
    </row>
    <row r="97" spans="1:13" ht="32">
      <c r="A97" s="32">
        <v>0.5</v>
      </c>
      <c r="B97" s="29">
        <f t="shared" si="24"/>
        <v>1040</v>
      </c>
      <c r="C97" s="29">
        <f t="shared" si="25"/>
        <v>520</v>
      </c>
      <c r="D97" s="29">
        <f t="shared" si="26"/>
        <v>520</v>
      </c>
      <c r="E97" s="29" t="e">
        <f t="shared" si="27"/>
        <v>#REF!</v>
      </c>
      <c r="F97" s="29" t="e">
        <f t="shared" si="28"/>
        <v>#REF!</v>
      </c>
      <c r="G97" s="12" t="e">
        <f t="shared" si="29"/>
        <v>#REF!</v>
      </c>
      <c r="H97" s="12" t="e">
        <f t="shared" si="30"/>
        <v>#REF!</v>
      </c>
      <c r="I97" s="1"/>
      <c r="J97" s="1" t="s">
        <v>207</v>
      </c>
      <c r="K97" s="29" t="e">
        <f>$AB$25</f>
        <v>#REF!</v>
      </c>
      <c r="L97" s="1"/>
      <c r="M97" s="1"/>
    </row>
    <row r="98" spans="1:13" ht="16">
      <c r="A98" s="32">
        <v>0.6</v>
      </c>
      <c r="B98" s="29">
        <f t="shared" si="24"/>
        <v>1040</v>
      </c>
      <c r="C98" s="29">
        <f t="shared" si="25"/>
        <v>624</v>
      </c>
      <c r="D98" s="29">
        <f t="shared" si="26"/>
        <v>416</v>
      </c>
      <c r="E98" s="29" t="e">
        <f t="shared" si="27"/>
        <v>#REF!</v>
      </c>
      <c r="F98" s="29" t="e">
        <f t="shared" si="28"/>
        <v>#REF!</v>
      </c>
      <c r="G98" s="12" t="e">
        <f t="shared" si="29"/>
        <v>#REF!</v>
      </c>
      <c r="H98" s="12" t="e">
        <f t="shared" si="30"/>
        <v>#REF!</v>
      </c>
      <c r="I98" s="1"/>
      <c r="J98" s="1" t="s">
        <v>348</v>
      </c>
      <c r="K98" s="13" t="e">
        <f>$F$14</f>
        <v>#REF!</v>
      </c>
      <c r="L98" s="1"/>
      <c r="M98" s="1"/>
    </row>
    <row r="99" spans="1:13" ht="32">
      <c r="A99" s="32">
        <v>0.7</v>
      </c>
      <c r="B99" s="29">
        <f t="shared" si="24"/>
        <v>1040</v>
      </c>
      <c r="C99" s="29">
        <f t="shared" si="25"/>
        <v>728</v>
      </c>
      <c r="D99" s="29">
        <f t="shared" si="26"/>
        <v>312</v>
      </c>
      <c r="E99" s="29" t="e">
        <f t="shared" si="27"/>
        <v>#REF!</v>
      </c>
      <c r="F99" s="29" t="e">
        <f t="shared" si="28"/>
        <v>#REF!</v>
      </c>
      <c r="G99" s="12" t="e">
        <f t="shared" si="29"/>
        <v>#REF!</v>
      </c>
      <c r="H99" s="12" t="e">
        <f t="shared" si="30"/>
        <v>#REF!</v>
      </c>
      <c r="I99" s="1"/>
      <c r="J99" s="1" t="s">
        <v>349</v>
      </c>
      <c r="K99" s="29" t="e">
        <f>IF($B$8*$B$7=0,0,$AB$16/($B$8*$B$7))</f>
        <v>#REF!</v>
      </c>
      <c r="L99" s="1"/>
      <c r="M99" s="1"/>
    </row>
    <row r="100" spans="1:13" ht="32">
      <c r="A100" s="32">
        <v>0.8</v>
      </c>
      <c r="B100" s="29">
        <f t="shared" si="24"/>
        <v>1040</v>
      </c>
      <c r="C100" s="29">
        <f t="shared" si="25"/>
        <v>832</v>
      </c>
      <c r="D100" s="29">
        <f t="shared" si="26"/>
        <v>208</v>
      </c>
      <c r="E100" s="29" t="e">
        <f t="shared" si="27"/>
        <v>#REF!</v>
      </c>
      <c r="F100" s="29" t="e">
        <f t="shared" si="28"/>
        <v>#REF!</v>
      </c>
      <c r="G100" s="12" t="e">
        <f t="shared" si="29"/>
        <v>#REF!</v>
      </c>
      <c r="H100" s="12" t="e">
        <f t="shared" si="30"/>
        <v>#REF!</v>
      </c>
      <c r="I100" s="1"/>
      <c r="J100" s="1" t="s">
        <v>350</v>
      </c>
      <c r="K100" s="49" t="e">
        <f>IF(K96&gt;1,"Overstaffed relative to current demand","Capacity aligned / tight")</f>
        <v>#REF!</v>
      </c>
      <c r="L100" s="1"/>
      <c r="M100" s="1"/>
    </row>
    <row r="101" spans="1:13">
      <c r="A101" s="32">
        <v>0.9</v>
      </c>
      <c r="B101" s="29">
        <f t="shared" si="24"/>
        <v>1040</v>
      </c>
      <c r="C101" s="29">
        <f t="shared" si="25"/>
        <v>936</v>
      </c>
      <c r="D101" s="29">
        <f t="shared" si="26"/>
        <v>104</v>
      </c>
      <c r="E101" s="29" t="e">
        <f t="shared" si="27"/>
        <v>#REF!</v>
      </c>
      <c r="F101" s="29" t="e">
        <f t="shared" si="28"/>
        <v>#REF!</v>
      </c>
      <c r="G101" s="12" t="e">
        <f t="shared" si="29"/>
        <v>#REF!</v>
      </c>
      <c r="H101" s="12" t="e">
        <f t="shared" si="30"/>
        <v>#REF!</v>
      </c>
      <c r="I101" s="1"/>
      <c r="J101" s="1"/>
      <c r="K101" s="1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42.75" customHeight="1">
      <c r="A105" s="320" t="s">
        <v>351</v>
      </c>
      <c r="B105" s="320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  <c r="M105" s="320"/>
    </row>
    <row r="106" spans="1:13" ht="32">
      <c r="A106" s="40" t="s">
        <v>290</v>
      </c>
      <c r="B106" s="40" t="s">
        <v>352</v>
      </c>
      <c r="C106" s="40" t="s">
        <v>353</v>
      </c>
      <c r="D106" s="40" t="s">
        <v>166</v>
      </c>
      <c r="E106" s="40" t="s">
        <v>228</v>
      </c>
      <c r="F106" s="40" t="s">
        <v>354</v>
      </c>
      <c r="G106" s="40" t="s">
        <v>355</v>
      </c>
      <c r="H106" s="40" t="s">
        <v>356</v>
      </c>
      <c r="I106" s="1"/>
      <c r="J106" s="40" t="s">
        <v>357</v>
      </c>
      <c r="K106" s="40" t="s">
        <v>358</v>
      </c>
      <c r="L106" s="40" t="s">
        <v>359</v>
      </c>
      <c r="M106" s="40" t="s">
        <v>360</v>
      </c>
    </row>
    <row r="107" spans="1:13" ht="32">
      <c r="A107" s="1" t="s">
        <v>193</v>
      </c>
      <c r="B107" s="1" t="s">
        <v>361</v>
      </c>
      <c r="C107" s="11" t="e">
        <f>#REF!</f>
        <v>#REF!</v>
      </c>
      <c r="D107" s="29" t="e">
        <f>IF($AB$11&lt;=0,0,C107/$AB$11)</f>
        <v>#REF!</v>
      </c>
      <c r="E107" s="29" t="e">
        <f>D107/$B$7</f>
        <v>#REF!</v>
      </c>
      <c r="F107" s="12" t="e">
        <f>5*$B$7*$AB$11-C107</f>
        <v>#REF!</v>
      </c>
      <c r="G107" s="12" t="e">
        <f>10*$B$7*$AB$11-C107</f>
        <v>#REF!</v>
      </c>
      <c r="H107" s="12" t="e">
        <f>15*$B$7*$AB$11-C107</f>
        <v>#REF!</v>
      </c>
      <c r="I107" s="1"/>
      <c r="J107" s="1" t="s">
        <v>362</v>
      </c>
      <c r="K107" s="12" t="e">
        <f>$B$27</f>
        <v>#REF!</v>
      </c>
      <c r="L107" s="12"/>
      <c r="M107" s="1" t="s">
        <v>363</v>
      </c>
    </row>
    <row r="108" spans="1:13" ht="32">
      <c r="A108" s="1" t="s">
        <v>194</v>
      </c>
      <c r="B108" s="1" t="s">
        <v>364</v>
      </c>
      <c r="C108" s="11" t="e">
        <f>#REF!</f>
        <v>#REF!</v>
      </c>
      <c r="D108" s="29" t="e">
        <f>IF($AB$11&lt;=0,0,C108/$AB$11)</f>
        <v>#REF!</v>
      </c>
      <c r="E108" s="29" t="e">
        <f>D108/$B$7</f>
        <v>#REF!</v>
      </c>
      <c r="F108" s="12" t="e">
        <f>5*$B$7*$AB$11-C108</f>
        <v>#REF!</v>
      </c>
      <c r="G108" s="12" t="e">
        <f>10*$B$7*$AB$11-C108</f>
        <v>#REF!</v>
      </c>
      <c r="H108" s="12" t="e">
        <f>15*$B$7*$AB$11-C108</f>
        <v>#REF!</v>
      </c>
      <c r="I108" s="1"/>
      <c r="J108" s="1" t="s">
        <v>365</v>
      </c>
      <c r="K108" s="12" t="e">
        <f>$AB$18</f>
        <v>#REF!</v>
      </c>
      <c r="L108" s="12" t="e">
        <f>$B$27-K108</f>
        <v>#REF!</v>
      </c>
      <c r="M108" s="1" t="s">
        <v>366</v>
      </c>
    </row>
    <row r="109" spans="1:13" ht="32">
      <c r="A109" s="1" t="s">
        <v>296</v>
      </c>
      <c r="B109" s="1" t="s">
        <v>367</v>
      </c>
      <c r="C109" s="11" t="e">
        <f>#REF!</f>
        <v>#REF!</v>
      </c>
      <c r="D109" s="29" t="e">
        <f>IF($AB$11&lt;=0,0,C109/$AB$11)</f>
        <v>#REF!</v>
      </c>
      <c r="E109" s="29" t="e">
        <f>D109/$B$7</f>
        <v>#REF!</v>
      </c>
      <c r="F109" s="12" t="e">
        <f>5*$B$7*$AB$11-C109</f>
        <v>#REF!</v>
      </c>
      <c r="G109" s="12" t="e">
        <f>10*$B$7*$AB$11-C109</f>
        <v>#REF!</v>
      </c>
      <c r="H109" s="12" t="e">
        <f>15*$B$7*$AB$11-C109</f>
        <v>#REF!</v>
      </c>
      <c r="I109" s="1"/>
      <c r="J109" s="1" t="s">
        <v>197</v>
      </c>
      <c r="K109" s="12" t="e">
        <f>$AB$18-$B$5</f>
        <v>#REF!</v>
      </c>
      <c r="L109" s="12" t="e">
        <f>$B$27-K109</f>
        <v>#REF!</v>
      </c>
      <c r="M109" s="1" t="s">
        <v>368</v>
      </c>
    </row>
    <row r="110" spans="1:13" ht="32">
      <c r="A110" s="1"/>
      <c r="B110" s="1"/>
      <c r="C110" s="1"/>
      <c r="D110" s="1"/>
      <c r="E110" s="1"/>
      <c r="F110" s="1"/>
      <c r="G110" s="1"/>
      <c r="H110" s="1"/>
      <c r="I110" s="1"/>
      <c r="J110" s="1" t="s">
        <v>369</v>
      </c>
      <c r="K110" s="12" t="e">
        <f>MAX($B$27-$AB$18,0)</f>
        <v>#REF!</v>
      </c>
      <c r="L110" s="12"/>
      <c r="M110" s="1" t="s">
        <v>370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42.75" customHeight="1">
      <c r="A114" s="320" t="s">
        <v>371</v>
      </c>
      <c r="B114" s="320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  <c r="M114" s="320"/>
    </row>
    <row r="115" spans="1:13" ht="32">
      <c r="A115" s="40" t="s">
        <v>372</v>
      </c>
      <c r="B115" s="40" t="s">
        <v>373</v>
      </c>
      <c r="C115" s="40" t="s">
        <v>374</v>
      </c>
      <c r="D115" s="40" t="s">
        <v>375</v>
      </c>
      <c r="E115" s="40" t="s">
        <v>376</v>
      </c>
      <c r="F115" s="40" t="s">
        <v>329</v>
      </c>
      <c r="G115" s="1"/>
      <c r="H115" s="40" t="s">
        <v>377</v>
      </c>
      <c r="I115" s="40" t="s">
        <v>2</v>
      </c>
      <c r="J115" s="40" t="s">
        <v>378</v>
      </c>
      <c r="K115" s="40" t="s">
        <v>379</v>
      </c>
      <c r="L115" s="40"/>
      <c r="M115" s="40"/>
    </row>
    <row r="116" spans="1:13" ht="32">
      <c r="A116" s="1" t="s">
        <v>291</v>
      </c>
      <c r="B116" s="12">
        <f>$B$28</f>
        <v>300</v>
      </c>
      <c r="C116" s="27" t="s">
        <v>103</v>
      </c>
      <c r="D116" s="27" t="s">
        <v>159</v>
      </c>
      <c r="E116" s="12">
        <f>$B$28</f>
        <v>300</v>
      </c>
      <c r="F116" s="1" t="s">
        <v>18</v>
      </c>
      <c r="G116" s="1"/>
      <c r="H116" s="1" t="s">
        <v>380</v>
      </c>
      <c r="I116" s="29">
        <f>$B$6*$B$7</f>
        <v>260</v>
      </c>
      <c r="J116" s="1" t="s">
        <v>381</v>
      </c>
      <c r="K116" s="1" t="s">
        <v>382</v>
      </c>
      <c r="L116" s="1"/>
      <c r="M116" s="1"/>
    </row>
    <row r="117" spans="1:13" ht="32">
      <c r="A117" s="1" t="s">
        <v>383</v>
      </c>
      <c r="B117" s="12">
        <f>$B$29</f>
        <v>0</v>
      </c>
      <c r="C117" s="27" t="s">
        <v>384</v>
      </c>
      <c r="D117" s="27" t="s">
        <v>159</v>
      </c>
      <c r="E117" s="12">
        <f>$B$29</f>
        <v>0</v>
      </c>
      <c r="F117" s="1" t="s">
        <v>385</v>
      </c>
      <c r="G117" s="1"/>
      <c r="H117" s="1" t="s">
        <v>386</v>
      </c>
      <c r="I117" s="13">
        <f>$AB$13</f>
        <v>0.45</v>
      </c>
      <c r="J117" s="1" t="s">
        <v>387</v>
      </c>
      <c r="K117" s="1" t="s">
        <v>388</v>
      </c>
      <c r="L117" s="1"/>
      <c r="M117" s="1"/>
    </row>
    <row r="118" spans="1:13" ht="32">
      <c r="A118" s="1" t="s">
        <v>295</v>
      </c>
      <c r="B118" s="12">
        <f>$B$30</f>
        <v>0</v>
      </c>
      <c r="C118" s="27" t="s">
        <v>389</v>
      </c>
      <c r="D118" s="27" t="s">
        <v>159</v>
      </c>
      <c r="E118" s="12">
        <f>$B$30</f>
        <v>0</v>
      </c>
      <c r="F118" s="1" t="s">
        <v>18</v>
      </c>
      <c r="G118" s="1"/>
      <c r="H118" s="1" t="s">
        <v>390</v>
      </c>
      <c r="I118" s="29">
        <f>I116*I117</f>
        <v>117</v>
      </c>
      <c r="J118" s="1" t="s">
        <v>391</v>
      </c>
      <c r="K118" s="1" t="s">
        <v>392</v>
      </c>
      <c r="L118" s="1"/>
      <c r="M118" s="1"/>
    </row>
    <row r="119" spans="1:13" ht="48">
      <c r="A119" s="1" t="s">
        <v>393</v>
      </c>
      <c r="B119" s="12">
        <f>$AB$22</f>
        <v>300</v>
      </c>
      <c r="C119" s="27" t="s">
        <v>394</v>
      </c>
      <c r="D119" s="27" t="s">
        <v>159</v>
      </c>
      <c r="E119" s="12">
        <f>$AB$22</f>
        <v>300</v>
      </c>
      <c r="F119" s="1" t="s">
        <v>771</v>
      </c>
      <c r="G119" s="1"/>
      <c r="H119" s="1" t="s">
        <v>395</v>
      </c>
      <c r="I119" s="29" t="e">
        <f>$AB$16</f>
        <v>#REF!</v>
      </c>
      <c r="J119" s="1" t="s">
        <v>396</v>
      </c>
      <c r="K119" s="1" t="s">
        <v>397</v>
      </c>
      <c r="L119" s="1"/>
      <c r="M119" s="1"/>
    </row>
    <row r="120" spans="1:13" ht="32">
      <c r="A120" s="99" t="s">
        <v>772</v>
      </c>
      <c r="B120" s="100">
        <f>'NC Credits'!$B$11*'NC Credits'!$B$7</f>
        <v>0</v>
      </c>
      <c r="C120" s="99" t="s">
        <v>773</v>
      </c>
      <c r="D120" s="99" t="s">
        <v>159</v>
      </c>
      <c r="E120" s="101">
        <f>B120</f>
        <v>0</v>
      </c>
      <c r="F120" s="99" t="s">
        <v>774</v>
      </c>
      <c r="G120" s="1"/>
      <c r="H120" s="1" t="s">
        <v>398</v>
      </c>
      <c r="I120" s="29">
        <f>$B$14</f>
        <v>1.3</v>
      </c>
      <c r="J120" s="1" t="s">
        <v>399</v>
      </c>
      <c r="K120" s="1" t="s">
        <v>400</v>
      </c>
      <c r="L120" s="1"/>
      <c r="M120" s="1"/>
    </row>
    <row r="121" spans="1:13" ht="32">
      <c r="A121" s="99" t="s">
        <v>775</v>
      </c>
      <c r="B121" s="100">
        <f>'NC Credits'!$B$12*'NC Credits'!$B$7</f>
        <v>0</v>
      </c>
      <c r="C121" s="99" t="s">
        <v>389</v>
      </c>
      <c r="D121" s="99" t="s">
        <v>159</v>
      </c>
      <c r="E121" s="101">
        <f>B121</f>
        <v>0</v>
      </c>
      <c r="F121" s="99" t="s">
        <v>774</v>
      </c>
      <c r="G121" s="1"/>
      <c r="H121" s="1"/>
      <c r="I121" s="1"/>
      <c r="J121" s="1"/>
      <c r="K121" s="1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42.75" customHeight="1">
      <c r="A123" s="320" t="s">
        <v>401</v>
      </c>
      <c r="B123" s="320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  <c r="M123" s="320"/>
    </row>
    <row r="124" spans="1:13" ht="32">
      <c r="A124" s="40" t="s">
        <v>262</v>
      </c>
      <c r="B124" s="40" t="s">
        <v>264</v>
      </c>
      <c r="C124" s="40" t="s">
        <v>402</v>
      </c>
      <c r="D124" s="40" t="s">
        <v>403</v>
      </c>
      <c r="E124" s="40" t="s">
        <v>404</v>
      </c>
      <c r="F124" s="40" t="s">
        <v>405</v>
      </c>
      <c r="G124" s="40" t="s">
        <v>406</v>
      </c>
      <c r="H124" s="1"/>
      <c r="I124" s="1"/>
      <c r="J124" s="1"/>
      <c r="K124" s="1"/>
      <c r="L124" s="1"/>
      <c r="M124" s="1"/>
    </row>
    <row r="125" spans="1:13" ht="16">
      <c r="A125" s="1">
        <v>1</v>
      </c>
      <c r="B125" s="12" t="e">
        <f>A125*$AB$11</f>
        <v>#REF!</v>
      </c>
      <c r="C125" s="12" t="e">
        <f>B125</f>
        <v>#REF!</v>
      </c>
      <c r="D125" s="12" t="e">
        <f>C125*$B$31</f>
        <v>#REF!</v>
      </c>
      <c r="E125" s="12">
        <f>$AB$22</f>
        <v>300</v>
      </c>
      <c r="F125" s="27" t="e">
        <f>IF(E125&gt;C125,"RED — CAC exceeds contribution",IF(E125&gt;D125,"AMBER — repeat dependent","GREEN — healthy"))</f>
        <v>#REF!</v>
      </c>
      <c r="G125" s="29" t="e">
        <f>IF($AB$11&lt;=0,0,E125/$AB$11)</f>
        <v>#REF!</v>
      </c>
      <c r="H125" s="1"/>
      <c r="I125" s="1"/>
      <c r="J125" s="1"/>
      <c r="K125" s="1"/>
      <c r="L125" s="1"/>
      <c r="M125" s="1"/>
    </row>
    <row r="126" spans="1:13" ht="16">
      <c r="A126" s="1">
        <v>2</v>
      </c>
      <c r="B126" s="12" t="e">
        <f>A126*$AB$11</f>
        <v>#REF!</v>
      </c>
      <c r="C126" s="12" t="e">
        <f>B126</f>
        <v>#REF!</v>
      </c>
      <c r="D126" s="12" t="e">
        <f>C126*$B$31</f>
        <v>#REF!</v>
      </c>
      <c r="E126" s="12">
        <f>$AB$22</f>
        <v>300</v>
      </c>
      <c r="F126" s="27" t="e">
        <f>IF(E126&gt;C126,"RED — CAC exceeds contribution",IF(E126&gt;D126,"AMBER — repeat dependent","GREEN — healthy"))</f>
        <v>#REF!</v>
      </c>
      <c r="G126" s="29" t="e">
        <f>IF($AB$11&lt;=0,0,E126/$AB$11)</f>
        <v>#REF!</v>
      </c>
      <c r="H126" s="1"/>
      <c r="I126" s="1"/>
      <c r="J126" s="1"/>
      <c r="K126" s="1"/>
      <c r="L126" s="1"/>
      <c r="M126" s="1"/>
    </row>
    <row r="127" spans="1:13" ht="16">
      <c r="A127" s="1">
        <v>4</v>
      </c>
      <c r="B127" s="12" t="e">
        <f>A127*$AB$11</f>
        <v>#REF!</v>
      </c>
      <c r="C127" s="12" t="e">
        <f>B127</f>
        <v>#REF!</v>
      </c>
      <c r="D127" s="12" t="e">
        <f>C127*$B$31</f>
        <v>#REF!</v>
      </c>
      <c r="E127" s="12">
        <f>$AB$22</f>
        <v>300</v>
      </c>
      <c r="F127" s="27" t="e">
        <f>IF(E127&gt;C127,"RED — CAC exceeds contribution",IF(E127&gt;D127,"AMBER — repeat dependent","GREEN — healthy"))</f>
        <v>#REF!</v>
      </c>
      <c r="G127" s="29" t="e">
        <f>IF($AB$11&lt;=0,0,E127/$AB$11)</f>
        <v>#REF!</v>
      </c>
      <c r="H127" s="1"/>
      <c r="I127" s="1"/>
      <c r="J127" s="1"/>
      <c r="K127" s="1"/>
      <c r="L127" s="1"/>
      <c r="M127" s="1"/>
    </row>
    <row r="128" spans="1:13" ht="16">
      <c r="A128" s="1">
        <v>8</v>
      </c>
      <c r="B128" s="12" t="e">
        <f>A128*$AB$11</f>
        <v>#REF!</v>
      </c>
      <c r="C128" s="12" t="e">
        <f>B128</f>
        <v>#REF!</v>
      </c>
      <c r="D128" s="12" t="e">
        <f>C128*$B$31</f>
        <v>#REF!</v>
      </c>
      <c r="E128" s="12">
        <f>$AB$22</f>
        <v>300</v>
      </c>
      <c r="F128" s="27" t="e">
        <f>IF(E128&gt;C128,"RED — CAC exceeds contribution",IF(E128&gt;D128,"AMBER — repeat dependent","GREEN — healthy"))</f>
        <v>#REF!</v>
      </c>
      <c r="G128" s="29" t="e">
        <f>IF($AB$11&lt;=0,0,E128/$AB$11)</f>
        <v>#REF!</v>
      </c>
      <c r="H128" s="1"/>
      <c r="I128" s="1"/>
      <c r="J128" s="1"/>
      <c r="K128" s="1"/>
      <c r="L128" s="1"/>
      <c r="M128" s="1"/>
    </row>
    <row r="129" spans="1:13" ht="16">
      <c r="A129" s="1">
        <v>12</v>
      </c>
      <c r="B129" s="12" t="e">
        <f>A129*$AB$11</f>
        <v>#REF!</v>
      </c>
      <c r="C129" s="12" t="e">
        <f>B129</f>
        <v>#REF!</v>
      </c>
      <c r="D129" s="12" t="e">
        <f>C129*$B$31</f>
        <v>#REF!</v>
      </c>
      <c r="E129" s="12">
        <f>$AB$22</f>
        <v>300</v>
      </c>
      <c r="F129" s="27" t="e">
        <f>IF(E129&gt;C129,"RED — CAC exceeds contribution",IF(E129&gt;D129,"AMBER — repeat dependent","GREEN — healthy"))</f>
        <v>#REF!</v>
      </c>
      <c r="G129" s="29" t="e">
        <f>IF($AB$11&lt;=0,0,E129/$AB$11)</f>
        <v>#REF!</v>
      </c>
      <c r="H129" s="1"/>
      <c r="I129" s="1"/>
      <c r="J129" s="1"/>
      <c r="K129" s="1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42.75" customHeight="1">
      <c r="A133" s="320" t="s">
        <v>407</v>
      </c>
      <c r="B133" s="320"/>
      <c r="C133" s="320"/>
      <c r="D133" s="320"/>
      <c r="E133" s="320"/>
      <c r="F133" s="320"/>
      <c r="G133" s="320"/>
      <c r="H133" s="320"/>
      <c r="I133" s="320"/>
      <c r="J133" s="320"/>
      <c r="K133" s="320"/>
      <c r="L133" s="320"/>
      <c r="M133" s="320"/>
    </row>
    <row r="134" spans="1:13" ht="32">
      <c r="A134" s="40" t="s">
        <v>210</v>
      </c>
      <c r="B134" s="40" t="s">
        <v>408</v>
      </c>
      <c r="C134" s="40" t="s">
        <v>409</v>
      </c>
      <c r="D134" s="40" t="s">
        <v>410</v>
      </c>
      <c r="E134" s="40" t="s">
        <v>411</v>
      </c>
      <c r="F134" s="40" t="s">
        <v>412</v>
      </c>
      <c r="G134" s="40" t="s">
        <v>413</v>
      </c>
      <c r="H134" s="40" t="s">
        <v>414</v>
      </c>
      <c r="I134" s="1"/>
      <c r="J134" s="40" t="s">
        <v>415</v>
      </c>
      <c r="K134" s="40" t="s">
        <v>232</v>
      </c>
      <c r="L134" s="40" t="s">
        <v>416</v>
      </c>
      <c r="M134" s="40" t="s">
        <v>417</v>
      </c>
    </row>
    <row r="135" spans="1:13" ht="32">
      <c r="A135" s="1">
        <v>1</v>
      </c>
      <c r="B135" s="12" t="e">
        <f>A135*$AB$23</f>
        <v>#REF!</v>
      </c>
      <c r="C135" s="12" t="e">
        <f>A135*$AB$11</f>
        <v>#REF!</v>
      </c>
      <c r="D135" s="12" t="e">
        <f>C135*3</f>
        <v>#REF!</v>
      </c>
      <c r="E135" s="12" t="e">
        <f>C135*6</f>
        <v>#REF!</v>
      </c>
      <c r="F135" s="12" t="e">
        <f>C135*12</f>
        <v>#REF!</v>
      </c>
      <c r="G135" s="29" t="e">
        <f>IF(C135=0,0,$AB$22/C135)</f>
        <v>#REF!</v>
      </c>
      <c r="H135" s="37" t="e">
        <f>IF($AB$22=0,0,F135/$AB$22)</f>
        <v>#REF!</v>
      </c>
      <c r="I135" s="1"/>
      <c r="J135" s="1" t="s">
        <v>418</v>
      </c>
      <c r="K135" s="13">
        <f>$B$15</f>
        <v>0.3</v>
      </c>
      <c r="L135" s="50">
        <v>0.45</v>
      </c>
      <c r="M135" s="1" t="s">
        <v>419</v>
      </c>
    </row>
    <row r="136" spans="1:13" ht="32">
      <c r="A136" s="1">
        <v>2</v>
      </c>
      <c r="B136" s="12" t="e">
        <f>A136*$AB$23</f>
        <v>#REF!</v>
      </c>
      <c r="C136" s="12" t="e">
        <f>A136*$AB$11</f>
        <v>#REF!</v>
      </c>
      <c r="D136" s="12" t="e">
        <f>C136*3</f>
        <v>#REF!</v>
      </c>
      <c r="E136" s="12" t="e">
        <f>C136*6</f>
        <v>#REF!</v>
      </c>
      <c r="F136" s="12" t="e">
        <f>C136*12</f>
        <v>#REF!</v>
      </c>
      <c r="G136" s="29" t="e">
        <f>IF(C136=0,0,$AB$22/C136)</f>
        <v>#REF!</v>
      </c>
      <c r="H136" s="37" t="e">
        <f>IF($AB$22=0,0,F136/$AB$22)</f>
        <v>#REF!</v>
      </c>
      <c r="I136" s="1"/>
      <c r="J136" s="1" t="s">
        <v>215</v>
      </c>
      <c r="K136" s="29">
        <f>$B$14</f>
        <v>1.3</v>
      </c>
      <c r="L136" s="51">
        <v>1.5</v>
      </c>
      <c r="M136" s="1" t="s">
        <v>420</v>
      </c>
    </row>
    <row r="137" spans="1:13" ht="32">
      <c r="A137" s="1">
        <v>4</v>
      </c>
      <c r="B137" s="12" t="e">
        <f>A137*$AB$23</f>
        <v>#REF!</v>
      </c>
      <c r="C137" s="12" t="e">
        <f>A137*$AB$11</f>
        <v>#REF!</v>
      </c>
      <c r="D137" s="12" t="e">
        <f>C137*3</f>
        <v>#REF!</v>
      </c>
      <c r="E137" s="12" t="e">
        <f>C137*6</f>
        <v>#REF!</v>
      </c>
      <c r="F137" s="12" t="e">
        <f>C137*12</f>
        <v>#REF!</v>
      </c>
      <c r="G137" s="29" t="e">
        <f>IF(C137=0,0,$AB$22/C137)</f>
        <v>#REF!</v>
      </c>
      <c r="H137" s="37" t="e">
        <f>IF($AB$22=0,0,F137/$AB$22)</f>
        <v>#REF!</v>
      </c>
      <c r="I137" s="1"/>
      <c r="J137" s="1" t="s">
        <v>421</v>
      </c>
      <c r="K137" s="12" t="e">
        <f>$AB$11*$B$14</f>
        <v>#REF!</v>
      </c>
      <c r="L137" s="27"/>
      <c r="M137" s="1" t="s">
        <v>216</v>
      </c>
    </row>
    <row r="138" spans="1:13">
      <c r="A138" s="1">
        <v>8</v>
      </c>
      <c r="B138" s="12" t="e">
        <f>A138*$AB$23</f>
        <v>#REF!</v>
      </c>
      <c r="C138" s="12" t="e">
        <f>A138*$AB$11</f>
        <v>#REF!</v>
      </c>
      <c r="D138" s="12" t="e">
        <f>C138*3</f>
        <v>#REF!</v>
      </c>
      <c r="E138" s="12" t="e">
        <f>C138*6</f>
        <v>#REF!</v>
      </c>
      <c r="F138" s="12" t="e">
        <f>C138*12</f>
        <v>#REF!</v>
      </c>
      <c r="G138" s="29" t="e">
        <f>IF(C138=0,0,$AB$22/C138)</f>
        <v>#REF!</v>
      </c>
      <c r="H138" s="37" t="e">
        <f>IF($AB$22=0,0,F138/$AB$22)</f>
        <v>#REF!</v>
      </c>
      <c r="I138" s="1"/>
      <c r="J138" s="1"/>
      <c r="K138" s="1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42.75" customHeight="1">
      <c r="A142" s="320" t="s">
        <v>422</v>
      </c>
      <c r="B142" s="320"/>
      <c r="C142" s="320"/>
      <c r="D142" s="320"/>
      <c r="E142" s="320"/>
      <c r="F142" s="320"/>
      <c r="G142" s="320"/>
      <c r="H142" s="320"/>
      <c r="I142" s="320"/>
      <c r="J142" s="320"/>
      <c r="K142" s="320"/>
      <c r="L142" s="320"/>
      <c r="M142" s="320"/>
    </row>
    <row r="143" spans="1:13" ht="32">
      <c r="A143" s="40" t="s">
        <v>208</v>
      </c>
      <c r="B143" s="40" t="s">
        <v>209</v>
      </c>
      <c r="C143" s="40" t="s">
        <v>210</v>
      </c>
      <c r="D143" s="40" t="s">
        <v>211</v>
      </c>
      <c r="E143" s="40" t="s">
        <v>423</v>
      </c>
      <c r="F143" s="40" t="s">
        <v>424</v>
      </c>
      <c r="G143" s="40" t="s">
        <v>200</v>
      </c>
      <c r="H143" s="40" t="s">
        <v>164</v>
      </c>
      <c r="I143" s="40" t="s">
        <v>212</v>
      </c>
      <c r="J143" s="40" t="s">
        <v>425</v>
      </c>
      <c r="K143" s="1"/>
      <c r="L143" s="1"/>
      <c r="M143" s="1"/>
    </row>
    <row r="144" spans="1:13" ht="16">
      <c r="A144" s="1" t="s">
        <v>73</v>
      </c>
      <c r="B144" s="46">
        <v>2</v>
      </c>
      <c r="C144" s="46">
        <v>8</v>
      </c>
      <c r="D144" s="29">
        <f t="shared" ref="D144:D150" si="31">B144*C144</f>
        <v>16</v>
      </c>
      <c r="E144" s="29">
        <f>SUMIF('Service Economics'!$A$5:$A$34,A144,'Service Economics'!$C$5:$C$34)</f>
        <v>5</v>
      </c>
      <c r="F144" s="12">
        <f>$B$17+$B$18*$B$16*SUMIF('Service Economics'!$A$5:$A$34,A144,'Service Economics'!$D$5:$D$34)+MAX(E144-$B$18,0)*$B$19*SUMIF('Service Economics'!$A$5:$A$34,A144,'Service Economics'!$D$5:$D$34)+SUMIF('Service Economics'!$A$5:$A$34,A144,'Service Economics'!$E$5:$E$34)</f>
        <v>1463.5</v>
      </c>
      <c r="G144" s="12">
        <v>1215.9317372881358</v>
      </c>
      <c r="H144" s="12">
        <f t="shared" ref="H144:H150" si="32">D144*F144</f>
        <v>23416</v>
      </c>
      <c r="I144" s="12">
        <f t="shared" ref="I144:I150" si="33">D144*G144</f>
        <v>19454.907796610172</v>
      </c>
      <c r="J144" s="13" t="e">
        <f t="shared" ref="J144:J151" si="34">IF($B$27=0,0,I144/$B$27)</f>
        <v>#REF!</v>
      </c>
      <c r="K144" s="1"/>
      <c r="L144" s="1"/>
      <c r="M144" s="1"/>
    </row>
    <row r="145" spans="1:13" ht="16">
      <c r="A145" s="1" t="s">
        <v>75</v>
      </c>
      <c r="B145" s="46">
        <v>2</v>
      </c>
      <c r="C145" s="46">
        <v>2</v>
      </c>
      <c r="D145" s="29">
        <f t="shared" si="31"/>
        <v>4</v>
      </c>
      <c r="E145" s="29">
        <f>SUMIF('Service Economics'!$A$5:$A$34,A145,'Service Economics'!$C$5:$C$34)</f>
        <v>6</v>
      </c>
      <c r="F145" s="12">
        <f>$B$17+$B$18*$B$16*SUMIF('Service Economics'!$A$5:$A$34,A145,'Service Economics'!$D$5:$D$34)+MAX(E145-$B$18,0)*$B$19*SUMIF('Service Economics'!$A$5:$A$34,A145,'Service Economics'!$D$5:$D$34)+SUMIF('Service Economics'!$A$5:$A$34,A145,'Service Economics'!$E$5:$E$34)</f>
        <v>1873</v>
      </c>
      <c r="G145" s="12">
        <v>1548.6331355932205</v>
      </c>
      <c r="H145" s="12">
        <f t="shared" si="32"/>
        <v>7492</v>
      </c>
      <c r="I145" s="12">
        <f t="shared" si="33"/>
        <v>6194.5325423728818</v>
      </c>
      <c r="J145" s="13" t="e">
        <f t="shared" si="34"/>
        <v>#REF!</v>
      </c>
      <c r="K145" s="1"/>
      <c r="L145" s="1"/>
      <c r="M145" s="1"/>
    </row>
    <row r="146" spans="1:13" ht="16">
      <c r="A146" s="1" t="s">
        <v>76</v>
      </c>
      <c r="B146" s="46">
        <v>1</v>
      </c>
      <c r="C146" s="46">
        <v>10</v>
      </c>
      <c r="D146" s="29">
        <f t="shared" si="31"/>
        <v>10</v>
      </c>
      <c r="E146" s="29">
        <f>SUMIF('Service Economics'!$A$5:$A$34,A146,'Service Economics'!$C$5:$C$34)</f>
        <v>3</v>
      </c>
      <c r="F146" s="12">
        <f>$B$17+$B$18*$B$16*SUMIF('Service Economics'!$A$5:$A$34,A146,'Service Economics'!$D$5:$D$34)+MAX(E146-$B$18,0)*$B$19*SUMIF('Service Economics'!$A$5:$A$34,A146,'Service Economics'!$D$5:$D$34)+SUMIF('Service Economics'!$A$5:$A$34,A146,'Service Economics'!$E$5:$E$34)</f>
        <v>1022.65</v>
      </c>
      <c r="G146" s="12">
        <v>857.75979237288141</v>
      </c>
      <c r="H146" s="12">
        <f t="shared" si="32"/>
        <v>10226.5</v>
      </c>
      <c r="I146" s="12">
        <f t="shared" si="33"/>
        <v>8577.5979237288138</v>
      </c>
      <c r="J146" s="13" t="e">
        <f t="shared" si="34"/>
        <v>#REF!</v>
      </c>
      <c r="K146" s="1"/>
      <c r="L146" s="1"/>
      <c r="M146" s="1"/>
    </row>
    <row r="147" spans="1:13" ht="16">
      <c r="A147" s="1" t="s">
        <v>77</v>
      </c>
      <c r="B147" s="46">
        <v>3</v>
      </c>
      <c r="C147" s="46">
        <v>4</v>
      </c>
      <c r="D147" s="29">
        <f t="shared" si="31"/>
        <v>12</v>
      </c>
      <c r="E147" s="29">
        <f>SUMIF('Service Economics'!$A$5:$A$34,A147,'Service Economics'!$C$5:$C$34)</f>
        <v>2</v>
      </c>
      <c r="F147" s="12">
        <f>$B$17+$B$18*$B$16*SUMIF('Service Economics'!$A$5:$A$34,A147,'Service Economics'!$D$5:$D$34)+MAX(E147-$B$18,0)*$B$19*SUMIF('Service Economics'!$A$5:$A$34,A147,'Service Economics'!$D$5:$D$34)+SUMIF('Service Economics'!$A$5:$A$34,A147,'Service Economics'!$E$5:$E$34)</f>
        <v>707.3</v>
      </c>
      <c r="G147" s="12">
        <v>601.55127966101691</v>
      </c>
      <c r="H147" s="12">
        <f t="shared" si="32"/>
        <v>8487.5999999999985</v>
      </c>
      <c r="I147" s="12">
        <f t="shared" si="33"/>
        <v>7218.6153559322029</v>
      </c>
      <c r="J147" s="13" t="e">
        <f t="shared" si="34"/>
        <v>#REF!</v>
      </c>
      <c r="K147" s="1"/>
      <c r="L147" s="1"/>
      <c r="M147" s="1"/>
    </row>
    <row r="148" spans="1:13" ht="16">
      <c r="A148" s="1" t="s">
        <v>78</v>
      </c>
      <c r="B148" s="46">
        <v>3</v>
      </c>
      <c r="C148" s="46">
        <v>1</v>
      </c>
      <c r="D148" s="29">
        <f t="shared" si="31"/>
        <v>3</v>
      </c>
      <c r="E148" s="29">
        <f>SUMIF('Service Economics'!$A$5:$A$34,A148,'Service Economics'!$C$5:$C$34)</f>
        <v>3</v>
      </c>
      <c r="F148" s="12">
        <f>$B$17+$B$18*$B$16*SUMIF('Service Economics'!$A$5:$A$34,A148,'Service Economics'!$D$5:$D$34)+MAX(E148-$B$18,0)*$B$19*SUMIF('Service Economics'!$A$5:$A$34,A148,'Service Economics'!$D$5:$D$34)+SUMIF('Service Economics'!$A$5:$A$34,A148,'Service Economics'!$E$5:$E$34)</f>
        <v>979.30000000000007</v>
      </c>
      <c r="G148" s="12">
        <v>822.53975423728821</v>
      </c>
      <c r="H148" s="12">
        <f t="shared" si="32"/>
        <v>2937.9</v>
      </c>
      <c r="I148" s="12">
        <f t="shared" si="33"/>
        <v>2467.6192627118644</v>
      </c>
      <c r="J148" s="13" t="e">
        <f t="shared" si="34"/>
        <v>#REF!</v>
      </c>
      <c r="K148" s="1"/>
      <c r="L148" s="1"/>
      <c r="M148" s="1"/>
    </row>
    <row r="149" spans="1:13" ht="16">
      <c r="A149" s="1" t="s">
        <v>80</v>
      </c>
      <c r="B149" s="46">
        <v>3</v>
      </c>
      <c r="C149" s="46">
        <v>2</v>
      </c>
      <c r="D149" s="29">
        <f t="shared" si="31"/>
        <v>6</v>
      </c>
      <c r="E149" s="29">
        <f>SUMIF('Service Economics'!$A$5:$A$34,A149,'Service Economics'!$C$5:$C$34)</f>
        <v>4</v>
      </c>
      <c r="F149" s="12">
        <f>$B$17+$B$18*$B$16*SUMIF('Service Economics'!$A$5:$A$34,A149,'Service Economics'!$D$5:$D$34)+MAX(E149-$B$18,0)*$B$19*SUMIF('Service Economics'!$A$5:$A$34,A149,'Service Economics'!$D$5:$D$34)+SUMIF('Service Economics'!$A$5:$A$34,A149,'Service Economics'!$E$5:$E$34)</f>
        <v>1562.2</v>
      </c>
      <c r="G149" s="12">
        <v>1296.1213050847462</v>
      </c>
      <c r="H149" s="12">
        <f t="shared" si="32"/>
        <v>9373.2000000000007</v>
      </c>
      <c r="I149" s="12">
        <f t="shared" si="33"/>
        <v>7776.7278305084765</v>
      </c>
      <c r="J149" s="13" t="e">
        <f t="shared" si="34"/>
        <v>#REF!</v>
      </c>
      <c r="K149" s="1"/>
      <c r="L149" s="1"/>
      <c r="M149" s="1"/>
    </row>
    <row r="150" spans="1:13" ht="16">
      <c r="A150" s="1" t="s">
        <v>72</v>
      </c>
      <c r="B150" s="46">
        <v>2</v>
      </c>
      <c r="C150" s="46">
        <v>1</v>
      </c>
      <c r="D150" s="29">
        <f t="shared" si="31"/>
        <v>2</v>
      </c>
      <c r="E150" s="29">
        <f>SUMIF('Service Economics'!$A$5:$A$34,A150,'Service Economics'!$C$5:$C$34)</f>
        <v>3</v>
      </c>
      <c r="F150" s="12">
        <f>$B$17+$B$18*$B$16*SUMIF('Service Economics'!$A$5:$A$34,A150,'Service Economics'!$D$5:$D$34)+MAX(E150-$B$18,0)*$B$19*SUMIF('Service Economics'!$A$5:$A$34,A150,'Service Economics'!$D$5:$D$34)+SUMIF('Service Economics'!$A$5:$A$34,A150,'Service Economics'!$E$5:$E$34)</f>
        <v>1066</v>
      </c>
      <c r="G150" s="12">
        <v>892.97983050847461</v>
      </c>
      <c r="H150" s="12">
        <f t="shared" si="32"/>
        <v>2132</v>
      </c>
      <c r="I150" s="12">
        <f t="shared" si="33"/>
        <v>1785.9596610169492</v>
      </c>
      <c r="J150" s="13" t="e">
        <f t="shared" si="34"/>
        <v>#REF!</v>
      </c>
      <c r="K150" s="1"/>
      <c r="L150" s="1"/>
      <c r="M150" s="1"/>
    </row>
    <row r="151" spans="1:13" ht="16">
      <c r="A151" s="47" t="s">
        <v>214</v>
      </c>
      <c r="B151" s="47"/>
      <c r="C151" s="47"/>
      <c r="D151" s="52">
        <f>SUM(D144:D150)</f>
        <v>53</v>
      </c>
      <c r="E151" s="53"/>
      <c r="F151" s="53"/>
      <c r="G151" s="53"/>
      <c r="H151" s="54">
        <f>SUM(H144:H150)</f>
        <v>64065.2</v>
      </c>
      <c r="I151" s="54">
        <f>SUM(I144:I150)</f>
        <v>53475.96037288136</v>
      </c>
      <c r="J151" s="55" t="e">
        <f t="shared" si="34"/>
        <v>#REF!</v>
      </c>
      <c r="K151" s="1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42.75" customHeight="1">
      <c r="A155" s="320" t="s">
        <v>426</v>
      </c>
      <c r="B155" s="320"/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  <c r="M155" s="320"/>
    </row>
    <row r="156" spans="1:13" ht="32">
      <c r="A156" s="40" t="s">
        <v>427</v>
      </c>
      <c r="B156" s="40" t="s">
        <v>428</v>
      </c>
      <c r="C156" s="40" t="s">
        <v>429</v>
      </c>
      <c r="D156" s="40" t="s">
        <v>430</v>
      </c>
      <c r="E156" s="40" t="s">
        <v>431</v>
      </c>
      <c r="F156" s="40" t="s">
        <v>432</v>
      </c>
      <c r="G156" s="40" t="s">
        <v>433</v>
      </c>
      <c r="H156" s="40" t="s">
        <v>434</v>
      </c>
      <c r="I156" s="40" t="s">
        <v>435</v>
      </c>
      <c r="J156" s="1"/>
      <c r="K156" s="1"/>
      <c r="L156" s="1"/>
      <c r="M156" s="1"/>
    </row>
    <row r="157" spans="1:13" ht="16">
      <c r="A157" s="33">
        <v>299</v>
      </c>
      <c r="B157" s="42">
        <v>30</v>
      </c>
      <c r="C157" s="44">
        <v>0.05</v>
      </c>
      <c r="D157" s="42">
        <v>50</v>
      </c>
      <c r="E157" s="44">
        <v>0.1</v>
      </c>
      <c r="F157" s="12">
        <f>A157*B157</f>
        <v>8970</v>
      </c>
      <c r="G157" s="12" t="e">
        <f>B157*$B$14*(($AB$5-$B$17)*C157+D157)</f>
        <v>#REF!</v>
      </c>
      <c r="H157" s="12" t="e">
        <f>F157-G157+B157*$B$14*E157*$AB$11</f>
        <v>#REF!</v>
      </c>
      <c r="I157" s="27" t="e">
        <f>IF(H157&lt;=0,"Do Not Launch",IF($AB$16&gt;=100,"Launch Now","Pilot Later"))</f>
        <v>#REF!</v>
      </c>
      <c r="J157" s="1"/>
      <c r="K157" s="1"/>
      <c r="L157" s="1"/>
      <c r="M157" s="1"/>
    </row>
    <row r="158" spans="1:13" ht="16">
      <c r="A158" s="33">
        <v>499</v>
      </c>
      <c r="B158" s="42">
        <v>30</v>
      </c>
      <c r="C158" s="44">
        <v>0.05</v>
      </c>
      <c r="D158" s="42">
        <v>50</v>
      </c>
      <c r="E158" s="44">
        <v>0.1</v>
      </c>
      <c r="F158" s="12">
        <f>A158*B158</f>
        <v>14970</v>
      </c>
      <c r="G158" s="12" t="e">
        <f>B158*$B$14*(($AB$5-$B$17)*C158+D158)</f>
        <v>#REF!</v>
      </c>
      <c r="H158" s="12" t="e">
        <f>F158-G158+B158*$B$14*E158*$AB$11</f>
        <v>#REF!</v>
      </c>
      <c r="I158" s="27" t="e">
        <f>IF(H158&lt;=0,"Do Not Launch",IF($AB$16&gt;=100,"Launch Now","Pilot Later"))</f>
        <v>#REF!</v>
      </c>
      <c r="J158" s="1"/>
      <c r="K158" s="1"/>
      <c r="L158" s="1"/>
      <c r="M158" s="1"/>
    </row>
    <row r="159" spans="1:13" ht="16">
      <c r="A159" s="33">
        <v>799</v>
      </c>
      <c r="B159" s="42">
        <v>30</v>
      </c>
      <c r="C159" s="44">
        <v>0.05</v>
      </c>
      <c r="D159" s="42">
        <v>50</v>
      </c>
      <c r="E159" s="44">
        <v>0.1</v>
      </c>
      <c r="F159" s="12">
        <f>A159*B159</f>
        <v>23970</v>
      </c>
      <c r="G159" s="12" t="e">
        <f>B159*$B$14*(($AB$5-$B$17)*C159+D159)</f>
        <v>#REF!</v>
      </c>
      <c r="H159" s="12" t="e">
        <f>F159-G159+B159*$B$14*E159*$AB$11</f>
        <v>#REF!</v>
      </c>
      <c r="I159" s="27" t="e">
        <f>IF(H159&lt;=0,"Do Not Launch",IF($AB$16&gt;=100,"Launch Now","Pilot Later"))</f>
        <v>#REF!</v>
      </c>
      <c r="J159" s="1"/>
      <c r="K159" s="1"/>
      <c r="L159" s="1"/>
      <c r="M159" s="1"/>
    </row>
    <row r="160" spans="1:13" ht="16">
      <c r="A160" s="33">
        <v>999</v>
      </c>
      <c r="B160" s="42">
        <v>30</v>
      </c>
      <c r="C160" s="44">
        <v>0.05</v>
      </c>
      <c r="D160" s="42">
        <v>50</v>
      </c>
      <c r="E160" s="44">
        <v>0.1</v>
      </c>
      <c r="F160" s="12">
        <f>A160*B160</f>
        <v>29970</v>
      </c>
      <c r="G160" s="12" t="e">
        <f>B160*$B$14*(($AB$5-$B$17)*C160+D160)</f>
        <v>#REF!</v>
      </c>
      <c r="H160" s="12" t="e">
        <f>F160-G160+B160*$B$14*E160*$AB$11</f>
        <v>#REF!</v>
      </c>
      <c r="I160" s="27" t="e">
        <f>IF(H160&lt;=0,"Do Not Launch",IF($AB$16&gt;=100,"Launch Now","Pilot Later"))</f>
        <v>#REF!</v>
      </c>
      <c r="J160" s="1"/>
      <c r="K160" s="1"/>
      <c r="L160" s="1"/>
      <c r="M160" s="1"/>
    </row>
    <row r="161" spans="1:1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4" ht="42.75" customHeight="1">
      <c r="A164" s="320" t="s">
        <v>436</v>
      </c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</row>
    <row r="165" spans="1:14" ht="32">
      <c r="A165" s="40" t="s">
        <v>437</v>
      </c>
      <c r="B165" s="40" t="s">
        <v>438</v>
      </c>
      <c r="C165" s="40" t="s">
        <v>41</v>
      </c>
      <c r="D165" s="40" t="s">
        <v>148</v>
      </c>
      <c r="E165" s="40" t="s">
        <v>439</v>
      </c>
      <c r="F165" s="40" t="s">
        <v>440</v>
      </c>
      <c r="G165" s="40" t="s">
        <v>441</v>
      </c>
      <c r="H165" s="40" t="s">
        <v>442</v>
      </c>
      <c r="I165" s="1"/>
      <c r="J165" s="1"/>
      <c r="K165" s="1"/>
      <c r="L165" s="1"/>
      <c r="M165" s="1"/>
    </row>
    <row r="166" spans="1:14" ht="32">
      <c r="A166" s="1" t="s">
        <v>443</v>
      </c>
      <c r="B166" s="1" t="s">
        <v>444</v>
      </c>
      <c r="C166" s="41">
        <v>0.95</v>
      </c>
      <c r="D166" s="42">
        <v>0</v>
      </c>
      <c r="E166" s="12">
        <f t="shared" ref="E166:E171" si="35">$B$17+$B$18*$B$16*C166+MAX(3-$B$18,0)*$B$19*C166+D166</f>
        <v>1022.65</v>
      </c>
      <c r="F166" s="12">
        <f t="shared" ref="F166:F171" si="36">$B$17+$B$18*$B$16*C166+MAX(4-$B$18,0)*$B$19*C166+D166</f>
        <v>1278.2</v>
      </c>
      <c r="G166" s="1" t="s">
        <v>445</v>
      </c>
      <c r="H166" s="1" t="s">
        <v>446</v>
      </c>
      <c r="I166" s="1"/>
      <c r="J166" s="1"/>
      <c r="K166" s="1"/>
      <c r="L166" s="1"/>
      <c r="M166" s="1"/>
    </row>
    <row r="167" spans="1:14" ht="32">
      <c r="A167" s="1" t="s">
        <v>447</v>
      </c>
      <c r="B167" s="1" t="s">
        <v>448</v>
      </c>
      <c r="C167" s="41">
        <v>1</v>
      </c>
      <c r="D167" s="42">
        <v>0</v>
      </c>
      <c r="E167" s="12">
        <f t="shared" si="35"/>
        <v>1066</v>
      </c>
      <c r="F167" s="12">
        <f t="shared" si="36"/>
        <v>1335</v>
      </c>
      <c r="G167" s="1" t="s">
        <v>449</v>
      </c>
      <c r="H167" s="1" t="s">
        <v>450</v>
      </c>
      <c r="I167" s="1"/>
      <c r="J167" s="1"/>
      <c r="K167" s="1"/>
      <c r="L167" s="1"/>
      <c r="M167" s="1"/>
    </row>
    <row r="168" spans="1:14" ht="32">
      <c r="A168" s="1" t="s">
        <v>451</v>
      </c>
      <c r="B168" s="1" t="s">
        <v>452</v>
      </c>
      <c r="C168" s="41">
        <v>1.1000000000000001</v>
      </c>
      <c r="D168" s="42">
        <v>149</v>
      </c>
      <c r="E168" s="12">
        <f t="shared" si="35"/>
        <v>1301.7</v>
      </c>
      <c r="F168" s="12">
        <f t="shared" si="36"/>
        <v>1597.6000000000001</v>
      </c>
      <c r="G168" s="1" t="s">
        <v>453</v>
      </c>
      <c r="H168" s="1" t="s">
        <v>454</v>
      </c>
      <c r="I168" s="1"/>
      <c r="J168" s="1"/>
      <c r="K168" s="1"/>
      <c r="L168" s="1"/>
      <c r="M168" s="1"/>
    </row>
    <row r="169" spans="1:14" ht="32">
      <c r="A169" s="1" t="s">
        <v>455</v>
      </c>
      <c r="B169" s="1" t="s">
        <v>456</v>
      </c>
      <c r="C169" s="41">
        <v>1.25</v>
      </c>
      <c r="D169" s="42">
        <v>299</v>
      </c>
      <c r="E169" s="12">
        <f t="shared" si="35"/>
        <v>1581.75</v>
      </c>
      <c r="F169" s="12">
        <f t="shared" si="36"/>
        <v>1918</v>
      </c>
      <c r="G169" s="1" t="s">
        <v>457</v>
      </c>
      <c r="H169" s="1" t="s">
        <v>458</v>
      </c>
      <c r="I169" s="1"/>
      <c r="J169" s="1"/>
      <c r="K169" s="1"/>
      <c r="L169" s="1"/>
      <c r="M169" s="1"/>
    </row>
    <row r="170" spans="1:14" ht="32">
      <c r="A170" s="1" t="s">
        <v>459</v>
      </c>
      <c r="B170" s="1" t="s">
        <v>460</v>
      </c>
      <c r="C170" s="41">
        <v>0.95</v>
      </c>
      <c r="D170" s="42">
        <v>0</v>
      </c>
      <c r="E170" s="12">
        <f t="shared" si="35"/>
        <v>1022.65</v>
      </c>
      <c r="F170" s="12">
        <f t="shared" si="36"/>
        <v>1278.2</v>
      </c>
      <c r="G170" s="1" t="s">
        <v>461</v>
      </c>
      <c r="H170" s="1" t="s">
        <v>462</v>
      </c>
      <c r="I170" s="1"/>
      <c r="J170" s="1"/>
      <c r="K170" s="1"/>
      <c r="L170" s="1"/>
      <c r="M170" s="1"/>
    </row>
    <row r="171" spans="1:14" ht="32">
      <c r="A171" s="1" t="s">
        <v>463</v>
      </c>
      <c r="B171" s="1" t="s">
        <v>464</v>
      </c>
      <c r="C171" s="41">
        <v>1.1499999999999999</v>
      </c>
      <c r="D171" s="42">
        <v>299</v>
      </c>
      <c r="E171" s="12">
        <f t="shared" si="35"/>
        <v>1495.05</v>
      </c>
      <c r="F171" s="12">
        <f t="shared" si="36"/>
        <v>1804.3999999999999</v>
      </c>
      <c r="G171" s="1" t="s">
        <v>465</v>
      </c>
      <c r="H171" s="1" t="s">
        <v>466</v>
      </c>
      <c r="I171" s="1"/>
      <c r="J171" s="1"/>
      <c r="K171" s="1"/>
      <c r="L171" s="1"/>
      <c r="M171" s="1"/>
    </row>
    <row r="172" spans="1:1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4" ht="42.75" customHeight="1">
      <c r="A175" s="320" t="s">
        <v>467</v>
      </c>
      <c r="B175" s="320"/>
      <c r="C175" s="320"/>
      <c r="D175" s="320"/>
      <c r="E175" s="320"/>
      <c r="F175" s="320"/>
      <c r="G175" s="320"/>
      <c r="H175" s="320"/>
      <c r="I175" s="320"/>
      <c r="J175" s="320"/>
      <c r="K175" s="320"/>
      <c r="L175" s="320"/>
      <c r="M175" s="320"/>
    </row>
    <row r="176" spans="1:14" ht="32">
      <c r="A176" s="40" t="s">
        <v>38</v>
      </c>
      <c r="B176" s="40" t="s">
        <v>39</v>
      </c>
      <c r="C176" s="40" t="s">
        <v>40</v>
      </c>
      <c r="D176" s="40" t="s">
        <v>468</v>
      </c>
      <c r="E176" s="40" t="s">
        <v>200</v>
      </c>
      <c r="F176" s="40" t="s">
        <v>137</v>
      </c>
      <c r="G176" s="40" t="s">
        <v>308</v>
      </c>
      <c r="H176" s="40" t="s">
        <v>469</v>
      </c>
      <c r="I176" s="40" t="s">
        <v>470</v>
      </c>
      <c r="J176" s="40" t="s">
        <v>471</v>
      </c>
      <c r="K176" s="40" t="s">
        <v>472</v>
      </c>
      <c r="L176" s="1"/>
      <c r="M176" s="40" t="s">
        <v>473</v>
      </c>
      <c r="N176" s="38" t="s">
        <v>232</v>
      </c>
    </row>
    <row r="177" spans="1:14" ht="288">
      <c r="A177" s="25" t="str">
        <f>'Profit Maximizer'!A15</f>
        <v>Hospital Visit</v>
      </c>
      <c r="B177" s="25" t="str">
        <f>'Profit Maximizer'!B15</f>
        <v>Medical Visit</v>
      </c>
      <c r="C177" s="28">
        <f>'Profit Maximizer'!C15</f>
        <v>4</v>
      </c>
      <c r="D177" s="12">
        <f>$B$17+$B$18*$B$16*'Profit Maximizer'!V15+MAX(C177-$B$18,0)*$B$19*'Profit Maximizer'!V15+'Profit Maximizer'!W15</f>
        <v>1335</v>
      </c>
      <c r="E177" s="12">
        <v>1111.53093220339</v>
      </c>
      <c r="F177" s="13">
        <f t="shared" ref="F177:F206" si="37">IF(D177/(1+$B$23)=0,0,E177/(D177/(1+$B$23)))</f>
        <v>0.98247677902621744</v>
      </c>
      <c r="G177" s="12">
        <f t="shared" ref="G177:G206" si="38">IF(C177=0,0,E177/C177)</f>
        <v>277.88273305084749</v>
      </c>
      <c r="H177" s="29">
        <f>'Profit Maximizer'!K15</f>
        <v>3</v>
      </c>
      <c r="I177" s="13" t="e">
        <f>'Profit Maximizer'!R15</f>
        <v>#REF!</v>
      </c>
      <c r="J177" s="29">
        <f>'Profit Maximizer'!L15</f>
        <v>3</v>
      </c>
      <c r="K177" s="29" t="e">
        <f t="shared" ref="K177:K206" si="39">MAX(G177,0)*H177*(1+I177)/MAX(J177,1)</f>
        <v>#REF!</v>
      </c>
      <c r="L177" s="1"/>
      <c r="M177" s="1" t="s">
        <v>474</v>
      </c>
      <c r="N177" s="1" t="e">
        <f>INDEX($A$177:$A$206,MATCH(MAX($K$177:$K$206),$K$177:$K$206,0))</f>
        <v>#REF!</v>
      </c>
    </row>
    <row r="178" spans="1:14" ht="409.6">
      <c r="A178" s="25" t="str">
        <f>'Profit Maximizer'!A16</f>
        <v>Hospital Visit — Concierge at Hospital</v>
      </c>
      <c r="B178" s="25" t="str">
        <f>'Profit Maximizer'!B16</f>
        <v>Medical Visit</v>
      </c>
      <c r="C178" s="28">
        <f>'Profit Maximizer'!C16</f>
        <v>3</v>
      </c>
      <c r="D178" s="12">
        <f>$B$17+$B$18*$B$16*'Profit Maximizer'!V16+MAX(C178-$B$18,0)*$B$19*'Profit Maximizer'!V16+'Profit Maximizer'!W16</f>
        <v>892.60000000000014</v>
      </c>
      <c r="E178" s="12">
        <v>752.09967796610181</v>
      </c>
      <c r="F178" s="13">
        <f t="shared" si="37"/>
        <v>0.99426128164911498</v>
      </c>
      <c r="G178" s="12">
        <f t="shared" si="38"/>
        <v>250.69989265536728</v>
      </c>
      <c r="H178" s="29">
        <f>'Profit Maximizer'!K16</f>
        <v>3</v>
      </c>
      <c r="I178" s="13" t="e">
        <f>'Profit Maximizer'!R16</f>
        <v>#REF!</v>
      </c>
      <c r="J178" s="29">
        <f>'Profit Maximizer'!L16</f>
        <v>2</v>
      </c>
      <c r="K178" s="29" t="e">
        <f t="shared" si="39"/>
        <v>#REF!</v>
      </c>
      <c r="L178" s="1"/>
      <c r="M178" s="1" t="s">
        <v>475</v>
      </c>
      <c r="N178" s="1" t="str">
        <f>INDEX($A$177:$A$206,MATCH(MAX($G$177:$G$206),$G$177:$G$206,0))</f>
        <v>Medical Tourism — Concierge Package (24 HR Basis)</v>
      </c>
    </row>
    <row r="179" spans="1:14" ht="16">
      <c r="A179" s="25" t="str">
        <f>'Profit Maximizer'!A17</f>
        <v>Clinic Visit</v>
      </c>
      <c r="B179" s="25" t="str">
        <f>'Profit Maximizer'!B17</f>
        <v>Medical Visit</v>
      </c>
      <c r="C179" s="28">
        <f>'Profit Maximizer'!C17</f>
        <v>2</v>
      </c>
      <c r="D179" s="12">
        <f>$B$17+$B$18*$B$16*'Profit Maximizer'!V17+MAX(C179-$B$18,0)*$B$19*'Profit Maximizer'!V17+'Profit Maximizer'!W17</f>
        <v>737.2</v>
      </c>
      <c r="E179" s="12">
        <v>625.84376271186443</v>
      </c>
      <c r="F179" s="13">
        <f t="shared" si="37"/>
        <v>1.0017575149213238</v>
      </c>
      <c r="G179" s="12">
        <f t="shared" si="38"/>
        <v>312.92188135593221</v>
      </c>
      <c r="H179" s="29">
        <f>'Profit Maximizer'!K17</f>
        <v>3</v>
      </c>
      <c r="I179" s="13" t="e">
        <f>'Profit Maximizer'!R17</f>
        <v>#REF!</v>
      </c>
      <c r="J179" s="29">
        <f>'Profit Maximizer'!L17</f>
        <v>2</v>
      </c>
      <c r="K179" s="29" t="e">
        <f t="shared" si="39"/>
        <v>#REF!</v>
      </c>
      <c r="L179" s="1"/>
      <c r="M179" s="1" t="s">
        <v>476</v>
      </c>
      <c r="N179" s="1" t="e">
        <f>INDEX($A$177:$A$206,MATCH(MAX(IF('Profit Maximizer'!$U$15:$U$44="Yes",$K$177:$K$206,0)),IF('Profit Maximizer'!$U$15:$U$44="Yes",$K$177:$K$206,0),0))</f>
        <v>#VALUE!</v>
      </c>
    </row>
    <row r="180" spans="1:14" ht="335">
      <c r="A180" s="25" t="str">
        <f>'Profit Maximizer'!A18</f>
        <v>Diagnostic Center Visit</v>
      </c>
      <c r="B180" s="25" t="str">
        <f>'Profit Maximizer'!B18</f>
        <v>Medical Visit</v>
      </c>
      <c r="C180" s="28">
        <f>'Profit Maximizer'!C18</f>
        <v>3</v>
      </c>
      <c r="D180" s="12">
        <f>$B$17+$B$18*$B$16*'Profit Maximizer'!V18+MAX(C180-$B$18,0)*$B$19*'Profit Maximizer'!V18+'Profit Maximizer'!W18</f>
        <v>935.94999999999993</v>
      </c>
      <c r="E180" s="12">
        <v>787.31971610169489</v>
      </c>
      <c r="F180" s="13">
        <f t="shared" si="37"/>
        <v>0.99261420481863349</v>
      </c>
      <c r="G180" s="12">
        <f t="shared" si="38"/>
        <v>262.43990536723163</v>
      </c>
      <c r="H180" s="29">
        <f>'Profit Maximizer'!K18</f>
        <v>3</v>
      </c>
      <c r="I180" s="13" t="e">
        <f>'Profit Maximizer'!R18</f>
        <v>#REF!</v>
      </c>
      <c r="J180" s="29">
        <f>'Profit Maximizer'!L18</f>
        <v>2</v>
      </c>
      <c r="K180" s="29" t="e">
        <f t="shared" si="39"/>
        <v>#REF!</v>
      </c>
      <c r="L180" s="1"/>
      <c r="M180" s="1" t="s">
        <v>477</v>
      </c>
      <c r="N180" s="1" t="str">
        <f>INDEX($A$177:$A$206,MATCH(MIN($G$177:$G$206),$G$177:$G$206,0))</f>
        <v>Family Medical Update Concierge</v>
      </c>
    </row>
    <row r="181" spans="1:14" ht="409.6">
      <c r="A181" s="25" t="str">
        <f>'Profit Maximizer'!A19</f>
        <v>Health Check-up Concierge</v>
      </c>
      <c r="B181" s="25" t="str">
        <f>'Profit Maximizer'!B19</f>
        <v>Medical Visit</v>
      </c>
      <c r="C181" s="28">
        <f>'Profit Maximizer'!C19</f>
        <v>5</v>
      </c>
      <c r="D181" s="12">
        <f>$B$17+$B$18*$B$16*'Profit Maximizer'!V19+MAX(C181-$B$18,0)*$B$19*'Profit Maximizer'!V19+'Profit Maximizer'!W19</f>
        <v>1463.5</v>
      </c>
      <c r="E181" s="12">
        <v>1215.9317372881358</v>
      </c>
      <c r="F181" s="13">
        <f t="shared" si="37"/>
        <v>0.98038910146908098</v>
      </c>
      <c r="G181" s="12">
        <f t="shared" si="38"/>
        <v>243.18634745762716</v>
      </c>
      <c r="H181" s="29">
        <f>'Profit Maximizer'!K19</f>
        <v>2</v>
      </c>
      <c r="I181" s="13" t="e">
        <f>'Profit Maximizer'!R19</f>
        <v>#REF!</v>
      </c>
      <c r="J181" s="29">
        <f>'Profit Maximizer'!L19</f>
        <v>3</v>
      </c>
      <c r="K181" s="29" t="e">
        <f t="shared" si="39"/>
        <v>#REF!</v>
      </c>
      <c r="L181" s="1"/>
      <c r="M181" s="1" t="s">
        <v>478</v>
      </c>
      <c r="N181" s="1" t="s">
        <v>479</v>
      </c>
    </row>
    <row r="182" spans="1:14" ht="16">
      <c r="A182" s="25" t="str">
        <f>'Profit Maximizer'!A20</f>
        <v>Hospital Admission Concierge</v>
      </c>
      <c r="B182" s="25" t="str">
        <f>'Profit Maximizer'!B20</f>
        <v>Hospital Support</v>
      </c>
      <c r="C182" s="28">
        <f>'Profit Maximizer'!C20</f>
        <v>4</v>
      </c>
      <c r="D182" s="12">
        <f>$B$17+$B$18*$B$16*'Profit Maximizer'!V20+MAX(C182-$B$18,0)*$B$19*'Profit Maximizer'!V20+'Profit Maximizer'!W20</f>
        <v>1505.3999999999999</v>
      </c>
      <c r="E182" s="12">
        <v>1249.9737118644068</v>
      </c>
      <c r="F182" s="13">
        <f t="shared" si="37"/>
        <v>0.97978542580045169</v>
      </c>
      <c r="G182" s="12">
        <f t="shared" si="38"/>
        <v>312.49342796610171</v>
      </c>
      <c r="H182" s="29">
        <f>'Profit Maximizer'!K20</f>
        <v>2</v>
      </c>
      <c r="I182" s="13" t="e">
        <f>'Profit Maximizer'!R20</f>
        <v>#REF!</v>
      </c>
      <c r="J182" s="29">
        <f>'Profit Maximizer'!L20</f>
        <v>4</v>
      </c>
      <c r="K182" s="29" t="e">
        <f t="shared" si="39"/>
        <v>#REF!</v>
      </c>
      <c r="L182" s="1"/>
      <c r="M182" s="1"/>
    </row>
    <row r="183" spans="1:14" ht="16">
      <c r="A183" s="25" t="str">
        <f>'Profit Maximizer'!A21</f>
        <v>Hospital Discharge Concierge</v>
      </c>
      <c r="B183" s="25" t="str">
        <f>'Profit Maximizer'!B21</f>
        <v>Hospital Support</v>
      </c>
      <c r="C183" s="28">
        <f>'Profit Maximizer'!C21</f>
        <v>4</v>
      </c>
      <c r="D183" s="12">
        <f>$B$17+$B$18*$B$16*'Profit Maximizer'!V21+MAX(C183-$B$18,0)*$B$19*'Profit Maximizer'!V21+'Profit Maximizer'!W21</f>
        <v>1448.6000000000001</v>
      </c>
      <c r="E183" s="12">
        <v>1203.8261186440679</v>
      </c>
      <c r="F183" s="13">
        <f t="shared" si="37"/>
        <v>0.9806121910810438</v>
      </c>
      <c r="G183" s="12">
        <f t="shared" si="38"/>
        <v>300.95652966101699</v>
      </c>
      <c r="H183" s="29">
        <f>'Profit Maximizer'!K21</f>
        <v>2</v>
      </c>
      <c r="I183" s="13" t="e">
        <f>'Profit Maximizer'!R21</f>
        <v>#REF!</v>
      </c>
      <c r="J183" s="29">
        <f>'Profit Maximizer'!L21</f>
        <v>4</v>
      </c>
      <c r="K183" s="29" t="e">
        <f t="shared" si="39"/>
        <v>#REF!</v>
      </c>
      <c r="L183" s="1"/>
      <c r="M183" s="1"/>
    </row>
    <row r="184" spans="1:14" ht="16">
      <c r="A184" s="25" t="str">
        <f>'Profit Maximizer'!A22</f>
        <v>Overnight Hospital Concierge</v>
      </c>
      <c r="B184" s="25" t="str">
        <f>'Profit Maximizer'!B22</f>
        <v>Hospital Support</v>
      </c>
      <c r="C184" s="28">
        <f>'Profit Maximizer'!C22</f>
        <v>12</v>
      </c>
      <c r="D184" s="12">
        <f>$B$17+$B$18*$B$16*'Profit Maximizer'!V22+MAX(C184-$B$18,0)*$B$19*'Profit Maximizer'!V22+'Profit Maximizer'!W22</f>
        <v>3292.8</v>
      </c>
      <c r="E184" s="12">
        <v>2702.1604745762716</v>
      </c>
      <c r="F184" s="13">
        <f t="shared" si="37"/>
        <v>0.96833982021379983</v>
      </c>
      <c r="G184" s="12">
        <f t="shared" si="38"/>
        <v>225.18003954802262</v>
      </c>
      <c r="H184" s="29">
        <f>'Profit Maximizer'!K22</f>
        <v>2</v>
      </c>
      <c r="I184" s="13" t="e">
        <f>'Profit Maximizer'!R22</f>
        <v>#REF!</v>
      </c>
      <c r="J184" s="29">
        <f>'Profit Maximizer'!L22</f>
        <v>4</v>
      </c>
      <c r="K184" s="29" t="e">
        <f t="shared" si="39"/>
        <v>#REF!</v>
      </c>
      <c r="L184" s="1"/>
      <c r="M184" s="1"/>
    </row>
    <row r="185" spans="1:14" ht="32">
      <c r="A185" s="25" t="str">
        <f>'Profit Maximizer'!A23</f>
        <v>Multi-Day Hospital Concierge (per 12h shift)</v>
      </c>
      <c r="B185" s="25" t="str">
        <f>'Profit Maximizer'!B23</f>
        <v>Hospital Support</v>
      </c>
      <c r="C185" s="28">
        <f>'Profit Maximizer'!C23</f>
        <v>12</v>
      </c>
      <c r="D185" s="12">
        <f>$B$17+$B$18*$B$16*'Profit Maximizer'!V23+MAX(C185-$B$18,0)*$B$19*'Profit Maximizer'!V23+'Profit Maximizer'!W23</f>
        <v>3292.8</v>
      </c>
      <c r="E185" s="12">
        <v>2702.1604745762716</v>
      </c>
      <c r="F185" s="13">
        <f t="shared" si="37"/>
        <v>0.96833982021379983</v>
      </c>
      <c r="G185" s="12">
        <f t="shared" si="38"/>
        <v>225.18003954802262</v>
      </c>
      <c r="H185" s="29">
        <f>'Profit Maximizer'!K23</f>
        <v>3</v>
      </c>
      <c r="I185" s="13" t="e">
        <f>'Profit Maximizer'!R23</f>
        <v>#REF!</v>
      </c>
      <c r="J185" s="29">
        <f>'Profit Maximizer'!L23</f>
        <v>5</v>
      </c>
      <c r="K185" s="29" t="e">
        <f t="shared" si="39"/>
        <v>#REF!</v>
      </c>
      <c r="L185" s="1"/>
      <c r="M185" s="1"/>
    </row>
    <row r="186" spans="1:14" ht="32">
      <c r="A186" s="25" t="str">
        <f>'Profit Maximizer'!A24</f>
        <v>Day Surgery / Procedure Concierge</v>
      </c>
      <c r="B186" s="25" t="str">
        <f>'Profit Maximizer'!B24</f>
        <v>Procedure &amp; Treatment</v>
      </c>
      <c r="C186" s="28">
        <f>'Profit Maximizer'!C24</f>
        <v>6</v>
      </c>
      <c r="D186" s="12">
        <f>$B$17+$B$18*$B$16*'Profit Maximizer'!V24+MAX(C186-$B$18,0)*$B$19*'Profit Maximizer'!V24+'Profit Maximizer'!W24</f>
        <v>2207.8000000000002</v>
      </c>
      <c r="E186" s="12">
        <v>1820.6439491525427</v>
      </c>
      <c r="F186" s="13">
        <f t="shared" si="37"/>
        <v>0.97307720808044218</v>
      </c>
      <c r="G186" s="12">
        <f t="shared" si="38"/>
        <v>303.44065819209044</v>
      </c>
      <c r="H186" s="29">
        <f>'Profit Maximizer'!K24</f>
        <v>2</v>
      </c>
      <c r="I186" s="13" t="e">
        <f>'Profit Maximizer'!R24</f>
        <v>#REF!</v>
      </c>
      <c r="J186" s="29">
        <f>'Profit Maximizer'!L24</f>
        <v>4</v>
      </c>
      <c r="K186" s="29" t="e">
        <f t="shared" si="39"/>
        <v>#REF!</v>
      </c>
      <c r="L186" s="1"/>
      <c r="M186" s="1"/>
    </row>
    <row r="187" spans="1:14" ht="32">
      <c r="A187" s="25" t="str">
        <f>'Profit Maximizer'!A25</f>
        <v>Pre-Surgery Concierge</v>
      </c>
      <c r="B187" s="25" t="str">
        <f>'Profit Maximizer'!B25</f>
        <v>Procedure &amp; Treatment</v>
      </c>
      <c r="C187" s="28">
        <f>'Profit Maximizer'!C25</f>
        <v>4</v>
      </c>
      <c r="D187" s="12">
        <f>$B$17+$B$18*$B$16*'Profit Maximizer'!V25+MAX(C187-$B$18,0)*$B$19*'Profit Maximizer'!V25+'Profit Maximizer'!W25</f>
        <v>1448.6000000000001</v>
      </c>
      <c r="E187" s="12">
        <v>1203.8261186440679</v>
      </c>
      <c r="F187" s="13">
        <f t="shared" si="37"/>
        <v>0.9806121910810438</v>
      </c>
      <c r="G187" s="12">
        <f t="shared" si="38"/>
        <v>300.95652966101699</v>
      </c>
      <c r="H187" s="29">
        <f>'Profit Maximizer'!K25</f>
        <v>2</v>
      </c>
      <c r="I187" s="13" t="e">
        <f>'Profit Maximizer'!R25</f>
        <v>#REF!</v>
      </c>
      <c r="J187" s="29">
        <f>'Profit Maximizer'!L25</f>
        <v>3</v>
      </c>
      <c r="K187" s="29" t="e">
        <f t="shared" si="39"/>
        <v>#REF!</v>
      </c>
      <c r="L187" s="1"/>
      <c r="M187" s="1"/>
    </row>
    <row r="188" spans="1:14" ht="32">
      <c r="A188" s="25" t="str">
        <f>'Profit Maximizer'!A26</f>
        <v>Post-Surgery Follow-up</v>
      </c>
      <c r="B188" s="25" t="str">
        <f>'Profit Maximizer'!B26</f>
        <v>Procedure &amp; Treatment</v>
      </c>
      <c r="C188" s="28">
        <f>'Profit Maximizer'!C26</f>
        <v>3</v>
      </c>
      <c r="D188" s="12">
        <f>$B$17+$B$18*$B$16*'Profit Maximizer'!V26+MAX(C188-$B$18,0)*$B$19*'Profit Maximizer'!V26+'Profit Maximizer'!W26</f>
        <v>1066</v>
      </c>
      <c r="E188" s="12">
        <v>892.97983050847461</v>
      </c>
      <c r="F188" s="13">
        <f t="shared" si="37"/>
        <v>0.9884767354596623</v>
      </c>
      <c r="G188" s="12">
        <f t="shared" si="38"/>
        <v>297.65994350282489</v>
      </c>
      <c r="H188" s="29">
        <f>'Profit Maximizer'!K26</f>
        <v>3</v>
      </c>
      <c r="I188" s="13" t="e">
        <f>'Profit Maximizer'!R26</f>
        <v>#REF!</v>
      </c>
      <c r="J188" s="29">
        <f>'Profit Maximizer'!L26</f>
        <v>3</v>
      </c>
      <c r="K188" s="29" t="e">
        <f t="shared" si="39"/>
        <v>#REF!</v>
      </c>
      <c r="L188" s="1"/>
      <c r="M188" s="1"/>
    </row>
    <row r="189" spans="1:14" ht="32">
      <c r="A189" s="25" t="str">
        <f>'Profit Maximizer'!A27</f>
        <v>Dialysis Visit Concierge</v>
      </c>
      <c r="B189" s="25" t="str">
        <f>'Profit Maximizer'!B27</f>
        <v>Recurring Treatment</v>
      </c>
      <c r="C189" s="28">
        <f>'Profit Maximizer'!C27</f>
        <v>5</v>
      </c>
      <c r="D189" s="12">
        <f>$B$17+$B$18*$B$16*'Profit Maximizer'!V27+MAX(C189-$B$18,0)*$B$19*'Profit Maximizer'!V27+'Profit Maximizer'!W27</f>
        <v>1463.5</v>
      </c>
      <c r="E189" s="12">
        <v>1215.9317372881358</v>
      </c>
      <c r="F189" s="13">
        <f t="shared" si="37"/>
        <v>0.98038910146908098</v>
      </c>
      <c r="G189" s="12">
        <f t="shared" si="38"/>
        <v>243.18634745762716</v>
      </c>
      <c r="H189" s="29">
        <f>'Profit Maximizer'!K27</f>
        <v>5</v>
      </c>
      <c r="I189" s="13" t="e">
        <f>'Profit Maximizer'!R27</f>
        <v>#REF!</v>
      </c>
      <c r="J189" s="29">
        <f>'Profit Maximizer'!L27</f>
        <v>3</v>
      </c>
      <c r="K189" s="29" t="e">
        <f t="shared" si="39"/>
        <v>#REF!</v>
      </c>
      <c r="L189" s="1"/>
      <c r="M189" s="1"/>
    </row>
    <row r="190" spans="1:14" ht="32">
      <c r="A190" s="25" t="str">
        <f>'Profit Maximizer'!A28</f>
        <v>Chemotherapy Visit Concierge</v>
      </c>
      <c r="B190" s="25" t="str">
        <f>'Profit Maximizer'!B28</f>
        <v>Recurring Treatment</v>
      </c>
      <c r="C190" s="28">
        <f>'Profit Maximizer'!C28</f>
        <v>6</v>
      </c>
      <c r="D190" s="12">
        <f>$B$17+$B$18*$B$16*'Profit Maximizer'!V28+MAX(C190-$B$18,0)*$B$19*'Profit Maximizer'!V28+'Profit Maximizer'!W28</f>
        <v>1873</v>
      </c>
      <c r="E190" s="12">
        <v>1548.6331355932205</v>
      </c>
      <c r="F190" s="13">
        <f t="shared" si="37"/>
        <v>0.97564714361986116</v>
      </c>
      <c r="G190" s="12">
        <f t="shared" si="38"/>
        <v>258.1055225988701</v>
      </c>
      <c r="H190" s="29">
        <f>'Profit Maximizer'!K28</f>
        <v>5</v>
      </c>
      <c r="I190" s="13" t="e">
        <f>'Profit Maximizer'!R28</f>
        <v>#REF!</v>
      </c>
      <c r="J190" s="29">
        <f>'Profit Maximizer'!L28</f>
        <v>4</v>
      </c>
      <c r="K190" s="29" t="e">
        <f t="shared" si="39"/>
        <v>#REF!</v>
      </c>
      <c r="L190" s="1"/>
      <c r="M190" s="1"/>
    </row>
    <row r="191" spans="1:14" ht="32">
      <c r="A191" s="25" t="str">
        <f>'Profit Maximizer'!A29</f>
        <v>Radiation Therapy Concierge</v>
      </c>
      <c r="B191" s="25" t="str">
        <f>'Profit Maximizer'!B29</f>
        <v>Recurring Treatment</v>
      </c>
      <c r="C191" s="28">
        <f>'Profit Maximizer'!C29</f>
        <v>3</v>
      </c>
      <c r="D191" s="12">
        <f>$B$17+$B$18*$B$16*'Profit Maximizer'!V29+MAX(C191-$B$18,0)*$B$19*'Profit Maximizer'!V29+'Profit Maximizer'!W29</f>
        <v>1022.65</v>
      </c>
      <c r="E191" s="12">
        <v>857.75979237288141</v>
      </c>
      <c r="F191" s="13">
        <f t="shared" si="37"/>
        <v>0.9897389673886472</v>
      </c>
      <c r="G191" s="12">
        <f t="shared" si="38"/>
        <v>285.91993079096045</v>
      </c>
      <c r="H191" s="29">
        <f>'Profit Maximizer'!K29</f>
        <v>5</v>
      </c>
      <c r="I191" s="13" t="e">
        <f>'Profit Maximizer'!R29</f>
        <v>#REF!</v>
      </c>
      <c r="J191" s="29">
        <f>'Profit Maximizer'!L29</f>
        <v>3</v>
      </c>
      <c r="K191" s="29" t="e">
        <f t="shared" si="39"/>
        <v>#REF!</v>
      </c>
      <c r="L191" s="1"/>
      <c r="M191" s="1"/>
    </row>
    <row r="192" spans="1:14" ht="32">
      <c r="A192" s="25" t="str">
        <f>'Profit Maximizer'!A30</f>
        <v>Physiotherapy / Rehab Visit</v>
      </c>
      <c r="B192" s="25" t="str">
        <f>'Profit Maximizer'!B30</f>
        <v>Recurring Treatment</v>
      </c>
      <c r="C192" s="28">
        <f>'Profit Maximizer'!C30</f>
        <v>2</v>
      </c>
      <c r="D192" s="12">
        <f>$B$17+$B$18*$B$16*'Profit Maximizer'!V30+MAX(C192-$B$18,0)*$B$19*'Profit Maximizer'!V30+'Profit Maximizer'!W30</f>
        <v>707.3</v>
      </c>
      <c r="E192" s="12">
        <v>601.55127966101691</v>
      </c>
      <c r="F192" s="13">
        <f t="shared" si="37"/>
        <v>1.0035777039445779</v>
      </c>
      <c r="G192" s="12">
        <f t="shared" si="38"/>
        <v>300.77563983050845</v>
      </c>
      <c r="H192" s="29">
        <f>'Profit Maximizer'!K30</f>
        <v>5</v>
      </c>
      <c r="I192" s="13" t="e">
        <f>'Profit Maximizer'!R30</f>
        <v>#REF!</v>
      </c>
      <c r="J192" s="29">
        <f>'Profit Maximizer'!L30</f>
        <v>2</v>
      </c>
      <c r="K192" s="29" t="e">
        <f t="shared" si="39"/>
        <v>#REF!</v>
      </c>
      <c r="L192" s="1"/>
      <c r="M192" s="1"/>
    </row>
    <row r="193" spans="1:13" ht="16">
      <c r="A193" s="25" t="str">
        <f>'Profit Maximizer'!A31</f>
        <v>Chronic Care Follow-up</v>
      </c>
      <c r="B193" s="25" t="str">
        <f>'Profit Maximizer'!B31</f>
        <v>Continuing Care</v>
      </c>
      <c r="C193" s="28">
        <f>'Profit Maximizer'!C31</f>
        <v>3</v>
      </c>
      <c r="D193" s="12">
        <f>$B$17+$B$18*$B$16*'Profit Maximizer'!V31+MAX(C193-$B$18,0)*$B$19*'Profit Maximizer'!V31+'Profit Maximizer'!W31</f>
        <v>979.30000000000007</v>
      </c>
      <c r="E193" s="12">
        <v>822.53975423728821</v>
      </c>
      <c r="F193" s="13">
        <f t="shared" si="37"/>
        <v>0.99111294802409888</v>
      </c>
      <c r="G193" s="12">
        <f t="shared" si="38"/>
        <v>274.17991807909607</v>
      </c>
      <c r="H193" s="29">
        <f>'Profit Maximizer'!K31</f>
        <v>5</v>
      </c>
      <c r="I193" s="13" t="e">
        <f>'Profit Maximizer'!R31</f>
        <v>#REF!</v>
      </c>
      <c r="J193" s="29">
        <f>'Profit Maximizer'!L31</f>
        <v>2</v>
      </c>
      <c r="K193" s="29" t="e">
        <f t="shared" si="39"/>
        <v>#REF!</v>
      </c>
      <c r="L193" s="1"/>
      <c r="M193" s="1"/>
    </row>
    <row r="194" spans="1:13" ht="16">
      <c r="A194" s="25" t="str">
        <f>'Profit Maximizer'!A32</f>
        <v>NRI Parent Medical Concierge</v>
      </c>
      <c r="B194" s="25" t="str">
        <f>'Profit Maximizer'!B32</f>
        <v>Continuing Care</v>
      </c>
      <c r="C194" s="28">
        <f>'Profit Maximizer'!C32</f>
        <v>4</v>
      </c>
      <c r="D194" s="12">
        <f>$B$17+$B$18*$B$16*'Profit Maximizer'!V32+MAX(C194-$B$18,0)*$B$19*'Profit Maximizer'!V32+'Profit Maximizer'!W32</f>
        <v>1562.2</v>
      </c>
      <c r="E194" s="12">
        <v>1296.1213050847462</v>
      </c>
      <c r="F194" s="13">
        <f t="shared" si="37"/>
        <v>0.97901878120599173</v>
      </c>
      <c r="G194" s="12">
        <f t="shared" si="38"/>
        <v>324.03032627118654</v>
      </c>
      <c r="H194" s="29">
        <f>'Profit Maximizer'!K32</f>
        <v>5</v>
      </c>
      <c r="I194" s="13" t="e">
        <f>'Profit Maximizer'!R32</f>
        <v>#REF!</v>
      </c>
      <c r="J194" s="29">
        <f>'Profit Maximizer'!L32</f>
        <v>3</v>
      </c>
      <c r="K194" s="29" t="e">
        <f t="shared" si="39"/>
        <v>#REF!</v>
      </c>
      <c r="L194" s="1"/>
      <c r="M194" s="1"/>
    </row>
    <row r="195" spans="1:13" ht="32">
      <c r="A195" s="25" t="str">
        <f>'Profit Maximizer'!A33</f>
        <v>Second Opinion Concierge</v>
      </c>
      <c r="B195" s="25" t="str">
        <f>'Profit Maximizer'!B33</f>
        <v>Medical Coordination</v>
      </c>
      <c r="C195" s="28">
        <f>'Profit Maximizer'!C33</f>
        <v>2.5</v>
      </c>
      <c r="D195" s="12">
        <f>$B$17+$B$18*$B$16*'Profit Maximizer'!V33+MAX(C195-$B$18,0)*$B$19*'Profit Maximizer'!V33+'Profit Maximizer'!W33</f>
        <v>821.625</v>
      </c>
      <c r="E195" s="12">
        <v>694.4354978813559</v>
      </c>
      <c r="F195" s="13">
        <f t="shared" si="37"/>
        <v>0.9973331964095542</v>
      </c>
      <c r="G195" s="12">
        <f t="shared" si="38"/>
        <v>277.77419915254234</v>
      </c>
      <c r="H195" s="29">
        <f>'Profit Maximizer'!K33</f>
        <v>2</v>
      </c>
      <c r="I195" s="13" t="e">
        <f>'Profit Maximizer'!R33</f>
        <v>#REF!</v>
      </c>
      <c r="J195" s="29">
        <f>'Profit Maximizer'!L33</f>
        <v>2</v>
      </c>
      <c r="K195" s="29" t="e">
        <f t="shared" si="39"/>
        <v>#REF!</v>
      </c>
      <c r="L195" s="1"/>
      <c r="M195" s="1"/>
    </row>
    <row r="196" spans="1:13" ht="32">
      <c r="A196" s="25" t="str">
        <f>'Profit Maximizer'!A34</f>
        <v>Teleconsultation Concierge</v>
      </c>
      <c r="B196" s="25" t="str">
        <f>'Profit Maximizer'!B34</f>
        <v>Medical Coordination</v>
      </c>
      <c r="C196" s="28">
        <f>'Profit Maximizer'!C34</f>
        <v>1.5</v>
      </c>
      <c r="D196" s="12">
        <f>$B$17+$B$18*$B$16*'Profit Maximizer'!V34+MAX(C196-$B$18,0)*$B$19*'Profit Maximizer'!V34+'Profit Maximizer'!W34</f>
        <v>587.70000000000005</v>
      </c>
      <c r="E196" s="12">
        <v>504.38134745762716</v>
      </c>
      <c r="F196" s="13">
        <f t="shared" si="37"/>
        <v>1.0127105496001361</v>
      </c>
      <c r="G196" s="12">
        <f t="shared" si="38"/>
        <v>336.2542316384181</v>
      </c>
      <c r="H196" s="29">
        <f>'Profit Maximizer'!K34</f>
        <v>4</v>
      </c>
      <c r="I196" s="13" t="e">
        <f>'Profit Maximizer'!R34</f>
        <v>#REF!</v>
      </c>
      <c r="J196" s="29">
        <f>'Profit Maximizer'!L34</f>
        <v>1</v>
      </c>
      <c r="K196" s="29" t="e">
        <f t="shared" si="39"/>
        <v>#REF!</v>
      </c>
      <c r="L196" s="1"/>
      <c r="M196" s="1"/>
    </row>
    <row r="197" spans="1:13" ht="32">
      <c r="A197" s="25" t="str">
        <f>'Profit Maximizer'!A35</f>
        <v>Medical Records Concierge</v>
      </c>
      <c r="B197" s="25" t="str">
        <f>'Profit Maximizer'!B35</f>
        <v>Medical Coordination</v>
      </c>
      <c r="C197" s="28">
        <f>'Profit Maximizer'!C35</f>
        <v>2</v>
      </c>
      <c r="D197" s="12">
        <f>$B$17+$B$18*$B$16*'Profit Maximizer'!V35+MAX(C197-$B$18,0)*$B$19*'Profit Maximizer'!V35+'Profit Maximizer'!W35</f>
        <v>557.79999999999995</v>
      </c>
      <c r="E197" s="12">
        <v>480.08886440677963</v>
      </c>
      <c r="F197" s="13">
        <f t="shared" si="37"/>
        <v>1.015605700968089</v>
      </c>
      <c r="G197" s="12">
        <f t="shared" si="38"/>
        <v>240.04443220338982</v>
      </c>
      <c r="H197" s="29">
        <f>'Profit Maximizer'!K35</f>
        <v>3</v>
      </c>
      <c r="I197" s="13" t="e">
        <f>'Profit Maximizer'!R35</f>
        <v>#REF!</v>
      </c>
      <c r="J197" s="29">
        <f>'Profit Maximizer'!L35</f>
        <v>1</v>
      </c>
      <c r="K197" s="29" t="e">
        <f t="shared" si="39"/>
        <v>#REF!</v>
      </c>
      <c r="L197" s="1"/>
      <c r="M197" s="1"/>
    </row>
    <row r="198" spans="1:13" ht="32">
      <c r="A198" s="25" t="str">
        <f>'Profit Maximizer'!A36</f>
        <v>Insurance / TPA Desk Concierge</v>
      </c>
      <c r="B198" s="25" t="str">
        <f>'Profit Maximizer'!B36</f>
        <v>Medical Coordination</v>
      </c>
      <c r="C198" s="28">
        <f>'Profit Maximizer'!C36</f>
        <v>3</v>
      </c>
      <c r="D198" s="12">
        <f>$B$17+$B$18*$B$16*'Profit Maximizer'!V36+MAX(C198-$B$18,0)*$B$19*'Profit Maximizer'!V36+'Profit Maximizer'!W36</f>
        <v>849.25</v>
      </c>
      <c r="E198" s="12">
        <v>716.87963983050849</v>
      </c>
      <c r="F198" s="13">
        <f t="shared" si="37"/>
        <v>0.996076508684133</v>
      </c>
      <c r="G198" s="12">
        <f t="shared" si="38"/>
        <v>238.95987994350284</v>
      </c>
      <c r="H198" s="29">
        <f>'Profit Maximizer'!K36</f>
        <v>2</v>
      </c>
      <c r="I198" s="13" t="e">
        <f>'Profit Maximizer'!R36</f>
        <v>#REF!</v>
      </c>
      <c r="J198" s="29">
        <f>'Profit Maximizer'!L36</f>
        <v>3</v>
      </c>
      <c r="K198" s="29" t="e">
        <f t="shared" si="39"/>
        <v>#REF!</v>
      </c>
      <c r="L198" s="1"/>
      <c r="M198" s="1"/>
    </row>
    <row r="199" spans="1:13" ht="32">
      <c r="A199" s="25" t="str">
        <f>'Profit Maximizer'!A37</f>
        <v>Hospital Transfer Concierge</v>
      </c>
      <c r="B199" s="25" t="str">
        <f>'Profit Maximizer'!B37</f>
        <v>Medical Coordination</v>
      </c>
      <c r="C199" s="28">
        <f>'Profit Maximizer'!C37</f>
        <v>4</v>
      </c>
      <c r="D199" s="12">
        <f>$B$17+$B$18*$B$16*'Profit Maximizer'!V37+MAX(C199-$B$18,0)*$B$19*'Profit Maximizer'!V37+'Profit Maximizer'!W37</f>
        <v>1448.6000000000001</v>
      </c>
      <c r="E199" s="12">
        <v>1203.8261186440679</v>
      </c>
      <c r="F199" s="13">
        <f t="shared" si="37"/>
        <v>0.9806121910810438</v>
      </c>
      <c r="G199" s="12">
        <f t="shared" si="38"/>
        <v>300.95652966101699</v>
      </c>
      <c r="H199" s="29">
        <f>'Profit Maximizer'!K37</f>
        <v>2</v>
      </c>
      <c r="I199" s="13" t="e">
        <f>'Profit Maximizer'!R37</f>
        <v>#REF!</v>
      </c>
      <c r="J199" s="29">
        <f>'Profit Maximizer'!L37</f>
        <v>4</v>
      </c>
      <c r="K199" s="29" t="e">
        <f t="shared" si="39"/>
        <v>#REF!</v>
      </c>
      <c r="L199" s="1"/>
      <c r="M199" s="1"/>
    </row>
    <row r="200" spans="1:13" ht="32">
      <c r="A200" s="25" t="str">
        <f>'Profit Maximizer'!A38</f>
        <v>Rehab / Nursing Facility Transfer</v>
      </c>
      <c r="B200" s="25" t="str">
        <f>'Profit Maximizer'!B38</f>
        <v>Medical Coordination</v>
      </c>
      <c r="C200" s="28">
        <f>'Profit Maximizer'!C38</f>
        <v>4</v>
      </c>
      <c r="D200" s="12">
        <f>$B$17+$B$18*$B$16*'Profit Maximizer'!V38+MAX(C200-$B$18,0)*$B$19*'Profit Maximizer'!V38+'Profit Maximizer'!W38</f>
        <v>1391.8</v>
      </c>
      <c r="E200" s="12">
        <v>1157.6785254237291</v>
      </c>
      <c r="F200" s="13">
        <f t="shared" si="37"/>
        <v>0.98150643770656709</v>
      </c>
      <c r="G200" s="12">
        <f t="shared" si="38"/>
        <v>289.41963135593227</v>
      </c>
      <c r="H200" s="29">
        <f>'Profit Maximizer'!K38</f>
        <v>2</v>
      </c>
      <c r="I200" s="13" t="e">
        <f>'Profit Maximizer'!R38</f>
        <v>#REF!</v>
      </c>
      <c r="J200" s="29">
        <f>'Profit Maximizer'!L38</f>
        <v>4</v>
      </c>
      <c r="K200" s="29" t="e">
        <f t="shared" si="39"/>
        <v>#REF!</v>
      </c>
      <c r="L200" s="1"/>
      <c r="M200" s="1"/>
    </row>
    <row r="201" spans="1:13" ht="16">
      <c r="A201" s="25" t="str">
        <f>'Profit Maximizer'!A39</f>
        <v>24×7 Urgent Care Coordination</v>
      </c>
      <c r="B201" s="25" t="str">
        <f>'Profit Maximizer'!B39</f>
        <v>Urgent Coordination</v>
      </c>
      <c r="C201" s="28">
        <f>'Profit Maximizer'!C39</f>
        <v>4</v>
      </c>
      <c r="D201" s="12">
        <f>$B$17+$B$18*$B$16*'Profit Maximizer'!V39+MAX(C201-$B$18,0)*$B$19*'Profit Maximizer'!V39+'Profit Maximizer'!W39</f>
        <v>2174.8000000000002</v>
      </c>
      <c r="E201" s="12">
        <v>1793.8328474576276</v>
      </c>
      <c r="F201" s="13">
        <f t="shared" si="37"/>
        <v>0.97329536509104297</v>
      </c>
      <c r="G201" s="12">
        <f t="shared" si="38"/>
        <v>448.45821186440691</v>
      </c>
      <c r="H201" s="29">
        <f>'Profit Maximizer'!K39</f>
        <v>2</v>
      </c>
      <c r="I201" s="13" t="e">
        <f>'Profit Maximizer'!R39</f>
        <v>#REF!</v>
      </c>
      <c r="J201" s="29">
        <f>'Profit Maximizer'!L39</f>
        <v>5</v>
      </c>
      <c r="K201" s="29" t="e">
        <f t="shared" si="39"/>
        <v>#REF!</v>
      </c>
      <c r="L201" s="1"/>
      <c r="M201" s="1"/>
    </row>
    <row r="202" spans="1:13" ht="32">
      <c r="A202" s="25" t="str">
        <f>'Profit Maximizer'!A40</f>
        <v>Doctor-at-Home Coordination</v>
      </c>
      <c r="B202" s="25" t="str">
        <f>'Profit Maximizer'!B40</f>
        <v>Medical Coordination</v>
      </c>
      <c r="C202" s="28">
        <f>'Profit Maximizer'!C40</f>
        <v>2</v>
      </c>
      <c r="D202" s="12">
        <f>$B$17+$B$18*$B$16*'Profit Maximizer'!V40+MAX(C202-$B$18,0)*$B$19*'Profit Maximizer'!V40+'Profit Maximizer'!W40</f>
        <v>707.3</v>
      </c>
      <c r="E202" s="12">
        <v>601.55127966101691</v>
      </c>
      <c r="F202" s="13">
        <f t="shared" si="37"/>
        <v>1.0035777039445779</v>
      </c>
      <c r="G202" s="12">
        <f t="shared" si="38"/>
        <v>300.77563983050845</v>
      </c>
      <c r="H202" s="29">
        <f>'Profit Maximizer'!K40</f>
        <v>3</v>
      </c>
      <c r="I202" s="13" t="e">
        <f>'Profit Maximizer'!R40</f>
        <v>#REF!</v>
      </c>
      <c r="J202" s="29">
        <f>'Profit Maximizer'!L40</f>
        <v>2</v>
      </c>
      <c r="K202" s="29" t="e">
        <f t="shared" si="39"/>
        <v>#REF!</v>
      </c>
      <c r="L202" s="1"/>
      <c r="M202" s="1"/>
    </row>
    <row r="203" spans="1:13" ht="32">
      <c r="A203" s="25" t="str">
        <f>'Profit Maximizer'!A41</f>
        <v>Nurse-at-Home Coordination</v>
      </c>
      <c r="B203" s="25" t="str">
        <f>'Profit Maximizer'!B41</f>
        <v>Medical Coordination</v>
      </c>
      <c r="C203" s="28">
        <f>'Profit Maximizer'!C41</f>
        <v>2</v>
      </c>
      <c r="D203" s="12">
        <f>$B$17+$B$18*$B$16*'Profit Maximizer'!V41+MAX(C203-$B$18,0)*$B$19*'Profit Maximizer'!V41+'Profit Maximizer'!W41</f>
        <v>707.3</v>
      </c>
      <c r="E203" s="12">
        <v>601.55127966101691</v>
      </c>
      <c r="F203" s="13">
        <f t="shared" si="37"/>
        <v>1.0035777039445779</v>
      </c>
      <c r="G203" s="12">
        <f t="shared" si="38"/>
        <v>300.77563983050845</v>
      </c>
      <c r="H203" s="29">
        <f>'Profit Maximizer'!K41</f>
        <v>4</v>
      </c>
      <c r="I203" s="13" t="e">
        <f>'Profit Maximizer'!R41</f>
        <v>#REF!</v>
      </c>
      <c r="J203" s="29">
        <f>'Profit Maximizer'!L41</f>
        <v>2</v>
      </c>
      <c r="K203" s="29" t="e">
        <f t="shared" si="39"/>
        <v>#REF!</v>
      </c>
      <c r="L203" s="1"/>
      <c r="M203" s="1"/>
    </row>
    <row r="204" spans="1:13" ht="32">
      <c r="A204" s="25" t="str">
        <f>'Profit Maximizer'!A42</f>
        <v>Medical Tourism — Concierge Package (24 HR Basis)</v>
      </c>
      <c r="B204" s="25" t="str">
        <f>'Profit Maximizer'!B42</f>
        <v>Medical Coordination</v>
      </c>
      <c r="C204" s="28">
        <f>'Profit Maximizer'!C42</f>
        <v>24</v>
      </c>
      <c r="D204" s="12">
        <f>$B$17+$B$18*$B$16*'Profit Maximizer'!V42+MAX(C204-$B$18,0)*$B$19*'Profit Maximizer'!V42+'Profit Maximizer'!W42</f>
        <v>16230</v>
      </c>
      <c r="E204" s="12">
        <v>13213.087288135594</v>
      </c>
      <c r="F204" s="13">
        <f t="shared" si="37"/>
        <v>0.96065576093653726</v>
      </c>
      <c r="G204" s="12">
        <f t="shared" si="38"/>
        <v>550.54530367231644</v>
      </c>
      <c r="H204" s="29">
        <f>'Profit Maximizer'!K42</f>
        <v>3</v>
      </c>
      <c r="I204" s="13" t="e">
        <f>'Profit Maximizer'!R42</f>
        <v>#REF!</v>
      </c>
      <c r="J204" s="29">
        <f>'Profit Maximizer'!L42</f>
        <v>2</v>
      </c>
      <c r="K204" s="29" t="e">
        <f t="shared" si="39"/>
        <v>#REF!</v>
      </c>
      <c r="L204" s="1"/>
      <c r="M204" s="1"/>
    </row>
    <row r="205" spans="1:13" ht="32">
      <c r="A205" s="25" t="str">
        <f>'Profit Maximizer'!A43</f>
        <v>Pharmacy / Prescription Coordination</v>
      </c>
      <c r="B205" s="25" t="str">
        <f>'Profit Maximizer'!B43</f>
        <v>Medical Coordination</v>
      </c>
      <c r="C205" s="28">
        <f>'Profit Maximizer'!C43</f>
        <v>1.5</v>
      </c>
      <c r="D205" s="12">
        <f>$B$17+$B$18*$B$16*'Profit Maximizer'!V43+MAX(C205-$B$18,0)*$B$19*'Profit Maximizer'!V43+'Profit Maximizer'!W43</f>
        <v>587.70000000000005</v>
      </c>
      <c r="E205" s="12">
        <v>504.38134745762716</v>
      </c>
      <c r="F205" s="13">
        <f t="shared" si="37"/>
        <v>1.0127105496001361</v>
      </c>
      <c r="G205" s="12">
        <f t="shared" si="38"/>
        <v>336.2542316384181</v>
      </c>
      <c r="H205" s="29">
        <f>'Profit Maximizer'!K43</f>
        <v>4</v>
      </c>
      <c r="I205" s="13" t="e">
        <f>'Profit Maximizer'!R43</f>
        <v>#REF!</v>
      </c>
      <c r="J205" s="29">
        <f>'Profit Maximizer'!L43</f>
        <v>1</v>
      </c>
      <c r="K205" s="29" t="e">
        <f t="shared" si="39"/>
        <v>#REF!</v>
      </c>
      <c r="L205" s="1"/>
      <c r="M205" s="1"/>
    </row>
    <row r="206" spans="1:13" ht="16">
      <c r="A206" s="25" t="str">
        <f>'Profit Maximizer'!A44</f>
        <v>Family Medical Update Concierge</v>
      </c>
      <c r="B206" s="25" t="str">
        <f>'Profit Maximizer'!B44</f>
        <v>Continuing Care</v>
      </c>
      <c r="C206" s="28">
        <f>'Profit Maximizer'!C44</f>
        <v>3</v>
      </c>
      <c r="D206" s="12">
        <f>$B$17+$B$18*$B$16*'Profit Maximizer'!V44+MAX(C206-$B$18,0)*$B$19*'Profit Maximizer'!V44+'Profit Maximizer'!W44</f>
        <v>762.55000000000007</v>
      </c>
      <c r="E206" s="12">
        <v>646.4395635593221</v>
      </c>
      <c r="F206" s="13">
        <f t="shared" si="37"/>
        <v>1.0003261228771883</v>
      </c>
      <c r="G206" s="12">
        <f t="shared" si="38"/>
        <v>215.47985451977402</v>
      </c>
      <c r="H206" s="29">
        <f>'Profit Maximizer'!K44</f>
        <v>5</v>
      </c>
      <c r="I206" s="13" t="e">
        <f>'Profit Maximizer'!R44</f>
        <v>#REF!</v>
      </c>
      <c r="J206" s="29">
        <f>'Profit Maximizer'!L44</f>
        <v>1</v>
      </c>
      <c r="K206" s="29" t="e">
        <f t="shared" si="39"/>
        <v>#REF!</v>
      </c>
      <c r="L206" s="1"/>
      <c r="M206" s="1"/>
    </row>
    <row r="207" spans="1: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42.75" customHeight="1">
      <c r="A210" s="320" t="s">
        <v>480</v>
      </c>
      <c r="B210" s="320"/>
      <c r="C210" s="320"/>
      <c r="D210" s="320"/>
      <c r="E210" s="320"/>
      <c r="F210" s="320"/>
      <c r="G210" s="320"/>
      <c r="H210" s="320"/>
      <c r="I210" s="320"/>
      <c r="J210" s="320"/>
      <c r="K210" s="320"/>
      <c r="L210" s="320"/>
      <c r="M210" s="320"/>
    </row>
    <row r="211" spans="1:13" ht="32">
      <c r="A211" s="40" t="s">
        <v>226</v>
      </c>
      <c r="B211" s="40" t="s">
        <v>481</v>
      </c>
      <c r="C211" s="40" t="s">
        <v>482</v>
      </c>
      <c r="D211" s="40" t="s">
        <v>483</v>
      </c>
      <c r="E211" s="40" t="s">
        <v>484</v>
      </c>
      <c r="F211" s="40" t="s">
        <v>485</v>
      </c>
      <c r="G211" s="40" t="s">
        <v>486</v>
      </c>
      <c r="H211" s="40" t="s">
        <v>487</v>
      </c>
      <c r="I211" s="1"/>
      <c r="J211" s="1"/>
      <c r="K211" s="1"/>
      <c r="L211" s="1"/>
      <c r="M211" s="1"/>
    </row>
    <row r="212" spans="1:13" ht="16">
      <c r="A212" s="1" t="s">
        <v>488</v>
      </c>
      <c r="B212" s="1" t="s">
        <v>489</v>
      </c>
      <c r="C212" s="12">
        <f>'Global Inputs'!$B$15+'Global Inputs'!$B$16</f>
        <v>649</v>
      </c>
      <c r="D212" s="12">
        <f>'Global Inputs'!$B$15</f>
        <v>500</v>
      </c>
      <c r="E212" s="12">
        <f>C212*$B$24</f>
        <v>0</v>
      </c>
      <c r="F212" s="12">
        <f>'Global Inputs'!$B$18</f>
        <v>10</v>
      </c>
      <c r="G212" s="12">
        <f>'Global Inputs'!$B$16/(1+'Global Inputs'!$B$17)-D212-E212-F212+'Global Inputs'!$B$15</f>
        <v>139</v>
      </c>
      <c r="H212" s="1" t="s">
        <v>490</v>
      </c>
      <c r="I212" s="1"/>
      <c r="J212" s="1"/>
      <c r="K212" s="1"/>
      <c r="L212" s="1"/>
      <c r="M212" s="1"/>
    </row>
    <row r="213" spans="1:13" ht="32">
      <c r="A213" s="1" t="s">
        <v>491</v>
      </c>
      <c r="B213" s="1" t="s">
        <v>492</v>
      </c>
      <c r="C213" s="12">
        <f>'Global Inputs'!$B$16</f>
        <v>149</v>
      </c>
      <c r="D213" s="12">
        <v>0</v>
      </c>
      <c r="E213" s="12">
        <f>C213*$B$24</f>
        <v>0</v>
      </c>
      <c r="F213" s="12">
        <f>'Global Inputs'!$B$18</f>
        <v>10</v>
      </c>
      <c r="G213" s="12">
        <f>'Global Inputs'!$B$16/(1+'Global Inputs'!$B$17)-E213-F213</f>
        <v>139</v>
      </c>
      <c r="H213" s="1" t="s">
        <v>493</v>
      </c>
      <c r="I213" s="1"/>
      <c r="J213" s="1"/>
      <c r="K213" s="1"/>
      <c r="L213" s="1"/>
      <c r="M213" s="1"/>
    </row>
    <row r="214" spans="1: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64">
      <c r="A215" s="1" t="s">
        <v>494</v>
      </c>
      <c r="B215" s="56" t="str">
        <f>IF(G213&gt;=G212,"Customer pays cab provider direct + NivrāaCare coordination fee","NivrāaCare collects cab + fee")</f>
        <v>Customer pays cab provider direct + NivrāaCare coordination fee</v>
      </c>
      <c r="C215" s="27" t="s">
        <v>495</v>
      </c>
      <c r="D215" s="12">
        <f>G213-G212</f>
        <v>0</v>
      </c>
      <c r="E215" s="1"/>
      <c r="F215" s="1"/>
      <c r="G215" s="1"/>
      <c r="H215" s="1"/>
      <c r="I215" s="1"/>
      <c r="J215" s="1"/>
      <c r="K215" s="1"/>
      <c r="L215" s="1"/>
      <c r="M215" s="1"/>
    </row>
    <row r="216" spans="1: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42.75" customHeight="1">
      <c r="A219" s="320" t="s">
        <v>496</v>
      </c>
      <c r="B219" s="320"/>
      <c r="C219" s="320"/>
      <c r="D219" s="320"/>
      <c r="E219" s="320"/>
      <c r="F219" s="320"/>
      <c r="G219" s="320"/>
      <c r="H219" s="320"/>
      <c r="I219" s="320"/>
      <c r="J219" s="320"/>
      <c r="K219" s="320"/>
      <c r="L219" s="320"/>
      <c r="M219" s="320"/>
    </row>
    <row r="220" spans="1:13" ht="32">
      <c r="A220" s="40" t="s">
        <v>497</v>
      </c>
      <c r="B220" s="40" t="s">
        <v>498</v>
      </c>
      <c r="C220" s="40" t="s">
        <v>499</v>
      </c>
      <c r="D220" s="40" t="s">
        <v>500</v>
      </c>
      <c r="E220" s="40" t="s">
        <v>114</v>
      </c>
      <c r="F220" s="40" t="s">
        <v>501</v>
      </c>
      <c r="G220" s="40" t="s">
        <v>502</v>
      </c>
      <c r="H220" s="40" t="s">
        <v>503</v>
      </c>
      <c r="I220" s="1"/>
      <c r="J220" s="1"/>
      <c r="K220" s="1"/>
      <c r="L220" s="1"/>
      <c r="M220" s="1"/>
    </row>
    <row r="221" spans="1:13">
      <c r="A221" s="43">
        <v>3</v>
      </c>
      <c r="B221" s="43">
        <v>60</v>
      </c>
      <c r="C221" s="29" t="e">
        <f t="shared" ref="C221:C226" si="40">$B$11</f>
        <v>#REF!</v>
      </c>
      <c r="D221" s="29" t="e">
        <f t="shared" ref="D221:D226" si="41">A221*(C221+B221/60)</f>
        <v>#REF!</v>
      </c>
      <c r="E221" s="29" t="e">
        <f t="shared" ref="E221:E226" si="42">D221/($B$9*$B$10)</f>
        <v>#REF!</v>
      </c>
      <c r="F221" s="29" t="e">
        <f t="shared" ref="F221:F226" si="43">IF(E221=0,0,A221/E221)</f>
        <v>#REF!</v>
      </c>
      <c r="G221" s="13" t="e">
        <f t="shared" ref="G221:G226" si="44">MIN(1,D221/($B$8*$B$9))</f>
        <v>#REF!</v>
      </c>
      <c r="H221" s="12" t="e">
        <f t="shared" ref="H221:H226" si="45">IF(D221=0,0,A221*$AB$11/D221)</f>
        <v>#REF!</v>
      </c>
      <c r="I221" s="1"/>
      <c r="J221" s="1"/>
      <c r="K221" s="1"/>
      <c r="L221" s="1"/>
      <c r="M221" s="1"/>
    </row>
    <row r="222" spans="1:13">
      <c r="A222" s="43">
        <v>5</v>
      </c>
      <c r="B222" s="43">
        <v>50</v>
      </c>
      <c r="C222" s="29" t="e">
        <f t="shared" si="40"/>
        <v>#REF!</v>
      </c>
      <c r="D222" s="29" t="e">
        <f t="shared" si="41"/>
        <v>#REF!</v>
      </c>
      <c r="E222" s="29" t="e">
        <f t="shared" si="42"/>
        <v>#REF!</v>
      </c>
      <c r="F222" s="29" t="e">
        <f t="shared" si="43"/>
        <v>#REF!</v>
      </c>
      <c r="G222" s="13" t="e">
        <f t="shared" si="44"/>
        <v>#REF!</v>
      </c>
      <c r="H222" s="12" t="e">
        <f t="shared" si="45"/>
        <v>#REF!</v>
      </c>
      <c r="I222" s="1"/>
      <c r="J222" s="1"/>
      <c r="K222" s="1"/>
      <c r="L222" s="1"/>
      <c r="M222" s="1"/>
    </row>
    <row r="223" spans="1:13">
      <c r="A223" s="43">
        <v>8</v>
      </c>
      <c r="B223" s="43">
        <v>40</v>
      </c>
      <c r="C223" s="29" t="e">
        <f t="shared" si="40"/>
        <v>#REF!</v>
      </c>
      <c r="D223" s="29" t="e">
        <f t="shared" si="41"/>
        <v>#REF!</v>
      </c>
      <c r="E223" s="29" t="e">
        <f t="shared" si="42"/>
        <v>#REF!</v>
      </c>
      <c r="F223" s="29" t="e">
        <f t="shared" si="43"/>
        <v>#REF!</v>
      </c>
      <c r="G223" s="13" t="e">
        <f t="shared" si="44"/>
        <v>#REF!</v>
      </c>
      <c r="H223" s="12" t="e">
        <f t="shared" si="45"/>
        <v>#REF!</v>
      </c>
      <c r="I223" s="1"/>
      <c r="J223" s="1"/>
      <c r="K223" s="1"/>
      <c r="L223" s="1"/>
      <c r="M223" s="1"/>
    </row>
    <row r="224" spans="1:13">
      <c r="A224" s="43">
        <v>10</v>
      </c>
      <c r="B224" s="43">
        <v>35</v>
      </c>
      <c r="C224" s="29" t="e">
        <f t="shared" si="40"/>
        <v>#REF!</v>
      </c>
      <c r="D224" s="29" t="e">
        <f t="shared" si="41"/>
        <v>#REF!</v>
      </c>
      <c r="E224" s="29" t="e">
        <f t="shared" si="42"/>
        <v>#REF!</v>
      </c>
      <c r="F224" s="29" t="e">
        <f t="shared" si="43"/>
        <v>#REF!</v>
      </c>
      <c r="G224" s="13" t="e">
        <f t="shared" si="44"/>
        <v>#REF!</v>
      </c>
      <c r="H224" s="12" t="e">
        <f t="shared" si="45"/>
        <v>#REF!</v>
      </c>
      <c r="I224" s="1"/>
      <c r="J224" s="1"/>
      <c r="K224" s="1"/>
      <c r="L224" s="1"/>
      <c r="M224" s="1"/>
    </row>
    <row r="225" spans="1:13">
      <c r="A225" s="43">
        <v>15</v>
      </c>
      <c r="B225" s="43">
        <v>30</v>
      </c>
      <c r="C225" s="29" t="e">
        <f t="shared" si="40"/>
        <v>#REF!</v>
      </c>
      <c r="D225" s="29" t="e">
        <f t="shared" si="41"/>
        <v>#REF!</v>
      </c>
      <c r="E225" s="29" t="e">
        <f t="shared" si="42"/>
        <v>#REF!</v>
      </c>
      <c r="F225" s="29" t="e">
        <f t="shared" si="43"/>
        <v>#REF!</v>
      </c>
      <c r="G225" s="13" t="e">
        <f t="shared" si="44"/>
        <v>#REF!</v>
      </c>
      <c r="H225" s="12" t="e">
        <f t="shared" si="45"/>
        <v>#REF!</v>
      </c>
      <c r="I225" s="1"/>
      <c r="J225" s="1"/>
      <c r="K225" s="1"/>
      <c r="L225" s="1"/>
      <c r="M225" s="1"/>
    </row>
    <row r="226" spans="1:13">
      <c r="A226" s="43">
        <v>20</v>
      </c>
      <c r="B226" s="43">
        <v>25</v>
      </c>
      <c r="C226" s="29" t="e">
        <f t="shared" si="40"/>
        <v>#REF!</v>
      </c>
      <c r="D226" s="29" t="e">
        <f t="shared" si="41"/>
        <v>#REF!</v>
      </c>
      <c r="E226" s="29" t="e">
        <f t="shared" si="42"/>
        <v>#REF!</v>
      </c>
      <c r="F226" s="29" t="e">
        <f t="shared" si="43"/>
        <v>#REF!</v>
      </c>
      <c r="G226" s="13" t="e">
        <f t="shared" si="44"/>
        <v>#REF!</v>
      </c>
      <c r="H226" s="12" t="e">
        <f t="shared" si="45"/>
        <v>#REF!</v>
      </c>
      <c r="I226" s="1"/>
      <c r="J226" s="1"/>
      <c r="K226" s="1"/>
      <c r="L226" s="1"/>
      <c r="M226" s="1"/>
    </row>
    <row r="227" spans="1: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42.75" customHeight="1">
      <c r="A230" s="320" t="s">
        <v>504</v>
      </c>
      <c r="B230" s="320"/>
      <c r="C230" s="320"/>
      <c r="D230" s="320"/>
      <c r="E230" s="320"/>
      <c r="F230" s="320"/>
      <c r="G230" s="320"/>
      <c r="H230" s="320"/>
      <c r="I230" s="320"/>
      <c r="J230" s="320"/>
      <c r="K230" s="320"/>
      <c r="L230" s="320"/>
      <c r="M230" s="320"/>
    </row>
    <row r="231" spans="1:13" ht="48">
      <c r="A231" s="40" t="s">
        <v>505</v>
      </c>
      <c r="B231" s="40" t="s">
        <v>506</v>
      </c>
      <c r="C231" s="40" t="s">
        <v>507</v>
      </c>
      <c r="D231" s="40" t="s">
        <v>230</v>
      </c>
      <c r="E231" s="40" t="s">
        <v>508</v>
      </c>
      <c r="F231" s="40" t="s">
        <v>509</v>
      </c>
      <c r="G231" s="40" t="s">
        <v>510</v>
      </c>
      <c r="H231" s="40" t="s">
        <v>511</v>
      </c>
      <c r="I231" s="40" t="s">
        <v>512</v>
      </c>
      <c r="J231" s="1"/>
      <c r="K231" s="40" t="s">
        <v>513</v>
      </c>
      <c r="L231" s="40" t="s">
        <v>232</v>
      </c>
      <c r="M231" s="40" t="s">
        <v>233</v>
      </c>
    </row>
    <row r="232" spans="1:13" ht="32">
      <c r="A232" s="1" t="s">
        <v>514</v>
      </c>
      <c r="B232" s="48">
        <v>40</v>
      </c>
      <c r="C232" s="42">
        <v>150</v>
      </c>
      <c r="D232" s="44">
        <v>0.35</v>
      </c>
      <c r="E232" s="44">
        <v>0.35</v>
      </c>
      <c r="F232" s="29">
        <f t="shared" ref="F232:F241" si="46">B232*D232</f>
        <v>14</v>
      </c>
      <c r="G232" s="12" t="e">
        <f t="shared" ref="G232:G241" si="47">F232*$AB$11*MAX(1,$B$14*(1+E232-$B$15))</f>
        <v>#REF!</v>
      </c>
      <c r="H232" s="12">
        <f t="shared" ref="H232:H241" si="48">F232*C232</f>
        <v>2100</v>
      </c>
      <c r="I232" s="12" t="e">
        <f t="shared" ref="I232:I241" si="49">G232-H232</f>
        <v>#REF!</v>
      </c>
      <c r="J232" s="1"/>
      <c r="K232" s="1" t="s">
        <v>515</v>
      </c>
      <c r="L232" s="1" t="e">
        <f>INDEX($A$232:$A$241,MATCH(MAX($I$232:$I$241),$I$232:$I$241,0))</f>
        <v>#REF!</v>
      </c>
      <c r="M232" s="1" t="s">
        <v>516</v>
      </c>
    </row>
    <row r="233" spans="1:13" ht="48">
      <c r="A233" s="1" t="s">
        <v>517</v>
      </c>
      <c r="B233" s="48">
        <v>25</v>
      </c>
      <c r="C233" s="42">
        <v>250</v>
      </c>
      <c r="D233" s="44">
        <v>0.3</v>
      </c>
      <c r="E233" s="44">
        <v>0.4</v>
      </c>
      <c r="F233" s="29">
        <f t="shared" si="46"/>
        <v>7.5</v>
      </c>
      <c r="G233" s="12" t="e">
        <f t="shared" si="47"/>
        <v>#REF!</v>
      </c>
      <c r="H233" s="12">
        <f t="shared" si="48"/>
        <v>1875</v>
      </c>
      <c r="I233" s="12" t="e">
        <f t="shared" si="49"/>
        <v>#REF!</v>
      </c>
      <c r="J233" s="1"/>
      <c r="K233" s="1" t="s">
        <v>518</v>
      </c>
      <c r="L233" s="1" t="str">
        <f>INDEX($A$232:$A$241,MATCH(MIN($C$232:$C$241),$C$232:$C$241,0))</f>
        <v>Nursing schools / Angel ecosystem</v>
      </c>
      <c r="M233" s="1" t="s">
        <v>519</v>
      </c>
    </row>
    <row r="234" spans="1:13" ht="32">
      <c r="A234" s="1" t="s">
        <v>520</v>
      </c>
      <c r="B234" s="48">
        <v>20</v>
      </c>
      <c r="C234" s="42">
        <v>200</v>
      </c>
      <c r="D234" s="44">
        <v>0.3</v>
      </c>
      <c r="E234" s="44">
        <v>0.35</v>
      </c>
      <c r="F234" s="29">
        <f t="shared" si="46"/>
        <v>6</v>
      </c>
      <c r="G234" s="12" t="e">
        <f t="shared" si="47"/>
        <v>#REF!</v>
      </c>
      <c r="H234" s="12">
        <f t="shared" si="48"/>
        <v>1200</v>
      </c>
      <c r="I234" s="12" t="e">
        <f t="shared" si="49"/>
        <v>#REF!</v>
      </c>
      <c r="J234" s="1"/>
      <c r="K234" s="1" t="s">
        <v>521</v>
      </c>
      <c r="L234" s="1" t="str">
        <f>INDEX($A$232:$A$241,MATCH(MAX($D$232:$D$241),$D$232:$D$241,0))</f>
        <v>WhatsApp referrals</v>
      </c>
      <c r="M234" s="1" t="s">
        <v>522</v>
      </c>
    </row>
    <row r="235" spans="1:13" ht="32">
      <c r="A235" s="1" t="s">
        <v>523</v>
      </c>
      <c r="B235" s="48">
        <v>10</v>
      </c>
      <c r="C235" s="42">
        <v>100</v>
      </c>
      <c r="D235" s="44">
        <v>0.2</v>
      </c>
      <c r="E235" s="44">
        <v>0.25</v>
      </c>
      <c r="F235" s="29">
        <f t="shared" si="46"/>
        <v>2</v>
      </c>
      <c r="G235" s="12" t="e">
        <f t="shared" si="47"/>
        <v>#REF!</v>
      </c>
      <c r="H235" s="12">
        <f t="shared" si="48"/>
        <v>200</v>
      </c>
      <c r="I235" s="12" t="e">
        <f t="shared" si="49"/>
        <v>#REF!</v>
      </c>
      <c r="J235" s="1"/>
      <c r="K235" s="1" t="s">
        <v>524</v>
      </c>
      <c r="L235" s="1" t="str">
        <f>INDEX($A$232:$A$241,MATCH(MAX($E$232:$E$241),$E$232:$E$241,0))</f>
        <v>NRI communities</v>
      </c>
      <c r="M235" s="1" t="s">
        <v>525</v>
      </c>
    </row>
    <row r="236" spans="1:13" ht="16">
      <c r="A236" s="1" t="s">
        <v>526</v>
      </c>
      <c r="B236" s="48">
        <v>30</v>
      </c>
      <c r="C236" s="42">
        <v>100</v>
      </c>
      <c r="D236" s="44">
        <v>0.45</v>
      </c>
      <c r="E236" s="44">
        <v>0.5</v>
      </c>
      <c r="F236" s="29">
        <f t="shared" si="46"/>
        <v>13.5</v>
      </c>
      <c r="G236" s="12" t="e">
        <f t="shared" si="47"/>
        <v>#REF!</v>
      </c>
      <c r="H236" s="12">
        <f t="shared" si="48"/>
        <v>1350</v>
      </c>
      <c r="I236" s="12" t="e">
        <f t="shared" si="49"/>
        <v>#REF!</v>
      </c>
      <c r="J236" s="1"/>
      <c r="K236" s="1"/>
      <c r="L236" s="1"/>
      <c r="M236" s="1"/>
    </row>
    <row r="237" spans="1:13" ht="16">
      <c r="A237" s="1" t="s">
        <v>527</v>
      </c>
      <c r="B237" s="48">
        <v>35</v>
      </c>
      <c r="C237" s="42">
        <v>500</v>
      </c>
      <c r="D237" s="44">
        <v>0.25</v>
      </c>
      <c r="E237" s="44">
        <v>0.3</v>
      </c>
      <c r="F237" s="29">
        <f t="shared" si="46"/>
        <v>8.75</v>
      </c>
      <c r="G237" s="12" t="e">
        <f t="shared" si="47"/>
        <v>#REF!</v>
      </c>
      <c r="H237" s="12">
        <f t="shared" si="48"/>
        <v>4375</v>
      </c>
      <c r="I237" s="12" t="e">
        <f t="shared" si="49"/>
        <v>#REF!</v>
      </c>
      <c r="J237" s="1"/>
      <c r="K237" s="1"/>
      <c r="L237" s="1"/>
      <c r="M237" s="1"/>
    </row>
    <row r="238" spans="1:13" ht="16">
      <c r="A238" s="1" t="s">
        <v>528</v>
      </c>
      <c r="B238" s="48">
        <v>50</v>
      </c>
      <c r="C238" s="42">
        <v>650</v>
      </c>
      <c r="D238" s="44">
        <v>0.18</v>
      </c>
      <c r="E238" s="44">
        <v>0.25</v>
      </c>
      <c r="F238" s="29">
        <f t="shared" si="46"/>
        <v>9</v>
      </c>
      <c r="G238" s="12" t="e">
        <f t="shared" si="47"/>
        <v>#REF!</v>
      </c>
      <c r="H238" s="12">
        <f t="shared" si="48"/>
        <v>5850</v>
      </c>
      <c r="I238" s="12" t="e">
        <f t="shared" si="49"/>
        <v>#REF!</v>
      </c>
      <c r="J238" s="1"/>
      <c r="K238" s="1"/>
      <c r="L238" s="1"/>
      <c r="M238" s="1"/>
    </row>
    <row r="239" spans="1:13" ht="16">
      <c r="A239" s="1" t="s">
        <v>529</v>
      </c>
      <c r="B239" s="48">
        <v>20</v>
      </c>
      <c r="C239" s="42">
        <v>400</v>
      </c>
      <c r="D239" s="44">
        <v>0.35</v>
      </c>
      <c r="E239" s="44">
        <v>0.55000000000000004</v>
      </c>
      <c r="F239" s="29">
        <f t="shared" si="46"/>
        <v>7</v>
      </c>
      <c r="G239" s="12" t="e">
        <f t="shared" si="47"/>
        <v>#REF!</v>
      </c>
      <c r="H239" s="12">
        <f t="shared" si="48"/>
        <v>2800</v>
      </c>
      <c r="I239" s="12" t="e">
        <f t="shared" si="49"/>
        <v>#REF!</v>
      </c>
      <c r="J239" s="1"/>
      <c r="K239" s="1"/>
      <c r="L239" s="1"/>
      <c r="M239" s="1"/>
    </row>
    <row r="240" spans="1:13" ht="16">
      <c r="A240" s="1" t="s">
        <v>530</v>
      </c>
      <c r="B240" s="48">
        <v>25</v>
      </c>
      <c r="C240" s="42">
        <v>300</v>
      </c>
      <c r="D240" s="44">
        <v>0.3</v>
      </c>
      <c r="E240" s="44">
        <v>0.45</v>
      </c>
      <c r="F240" s="29">
        <f t="shared" si="46"/>
        <v>7.5</v>
      </c>
      <c r="G240" s="12" t="e">
        <f t="shared" si="47"/>
        <v>#REF!</v>
      </c>
      <c r="H240" s="12">
        <f t="shared" si="48"/>
        <v>2250</v>
      </c>
      <c r="I240" s="12" t="e">
        <f t="shared" si="49"/>
        <v>#REF!</v>
      </c>
      <c r="J240" s="1"/>
      <c r="K240" s="1"/>
      <c r="L240" s="1"/>
      <c r="M240" s="1"/>
    </row>
    <row r="241" spans="1:27" ht="16">
      <c r="A241" s="1" t="s">
        <v>531</v>
      </c>
      <c r="B241" s="48">
        <v>30</v>
      </c>
      <c r="C241" s="42">
        <v>180</v>
      </c>
      <c r="D241" s="44">
        <v>0.35</v>
      </c>
      <c r="E241" s="44">
        <v>0.4</v>
      </c>
      <c r="F241" s="29">
        <f t="shared" si="46"/>
        <v>10.5</v>
      </c>
      <c r="G241" s="12" t="e">
        <f t="shared" si="47"/>
        <v>#REF!</v>
      </c>
      <c r="H241" s="12">
        <f t="shared" si="48"/>
        <v>1890</v>
      </c>
      <c r="I241" s="12" t="e">
        <f t="shared" si="49"/>
        <v>#REF!</v>
      </c>
      <c r="J241" s="1"/>
      <c r="K241" s="1"/>
      <c r="L241" s="1"/>
      <c r="M241" s="1"/>
    </row>
    <row r="242" spans="1:2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27" ht="42.75" customHeight="1">
      <c r="A245" s="320" t="s">
        <v>532</v>
      </c>
      <c r="B245" s="320"/>
      <c r="C245" s="320"/>
      <c r="D245" s="320"/>
      <c r="E245" s="320"/>
      <c r="F245" s="320"/>
      <c r="G245" s="320"/>
      <c r="H245" s="320"/>
      <c r="I245" s="320"/>
      <c r="J245" s="320"/>
      <c r="K245" s="320"/>
      <c r="L245" s="320"/>
      <c r="M245" s="320"/>
    </row>
    <row r="246" spans="1:27" ht="48">
      <c r="A246" s="40" t="s">
        <v>533</v>
      </c>
      <c r="B246" s="40" t="s">
        <v>389</v>
      </c>
      <c r="C246" s="40" t="s">
        <v>534</v>
      </c>
      <c r="D246" s="40" t="s">
        <v>535</v>
      </c>
      <c r="E246" s="40" t="s">
        <v>406</v>
      </c>
      <c r="F246" s="40" t="s">
        <v>536</v>
      </c>
      <c r="G246" s="40" t="s">
        <v>537</v>
      </c>
      <c r="H246" s="1"/>
      <c r="I246" s="1"/>
      <c r="J246" s="1"/>
      <c r="K246" s="1"/>
      <c r="L246" s="1"/>
      <c r="M246" s="1"/>
    </row>
    <row r="247" spans="1:27" ht="32">
      <c r="A247" s="42">
        <v>100</v>
      </c>
      <c r="B247" s="42">
        <v>100</v>
      </c>
      <c r="C247" s="12" t="e">
        <f>$AB$11-B247</f>
        <v>#REF!</v>
      </c>
      <c r="D247" s="12" t="e">
        <f>4*$AB$11-B247</f>
        <v>#REF!</v>
      </c>
      <c r="E247" s="29" t="e">
        <f>IF($AB$11&lt;=0,0,B247/$AB$11)</f>
        <v>#REF!</v>
      </c>
      <c r="F247" s="12">
        <f>$B$28-B247</f>
        <v>200</v>
      </c>
      <c r="G247" s="27" t="e">
        <f>IF(D247&gt;0,"Economically viable if referral converts","Too expensive")</f>
        <v>#REF!</v>
      </c>
      <c r="H247" s="1"/>
      <c r="I247" s="1"/>
      <c r="J247" s="1"/>
      <c r="K247" s="1"/>
      <c r="L247" s="1"/>
      <c r="M247" s="1"/>
    </row>
    <row r="248" spans="1:27" ht="32">
      <c r="A248" s="42">
        <v>200</v>
      </c>
      <c r="B248" s="42">
        <v>200</v>
      </c>
      <c r="C248" s="12" t="e">
        <f>$AB$11-B248</f>
        <v>#REF!</v>
      </c>
      <c r="D248" s="12" t="e">
        <f>4*$AB$11-B248</f>
        <v>#REF!</v>
      </c>
      <c r="E248" s="29" t="e">
        <f>IF($AB$11&lt;=0,0,B248/$AB$11)</f>
        <v>#REF!</v>
      </c>
      <c r="F248" s="12">
        <f>$B$28-B248</f>
        <v>100</v>
      </c>
      <c r="G248" s="27" t="e">
        <f>IF(D248&gt;0,"Economically viable if referral converts","Too expensive")</f>
        <v>#REF!</v>
      </c>
      <c r="H248" s="1"/>
      <c r="I248" s="1"/>
      <c r="J248" s="1"/>
      <c r="K248" s="1"/>
      <c r="L248" s="1"/>
      <c r="M248" s="1"/>
    </row>
    <row r="249" spans="1:27" ht="32">
      <c r="A249" s="42">
        <v>300</v>
      </c>
      <c r="B249" s="42">
        <v>300</v>
      </c>
      <c r="C249" s="12" t="e">
        <f>$AB$11-B249</f>
        <v>#REF!</v>
      </c>
      <c r="D249" s="12" t="e">
        <f>4*$AB$11-B249</f>
        <v>#REF!</v>
      </c>
      <c r="E249" s="29" t="e">
        <f>IF($AB$11&lt;=0,0,B249/$AB$11)</f>
        <v>#REF!</v>
      </c>
      <c r="F249" s="12">
        <f>$B$28-B249</f>
        <v>0</v>
      </c>
      <c r="G249" s="27" t="e">
        <f>IF(D249&gt;0,"Economically viable if referral converts","Too expensive")</f>
        <v>#REF!</v>
      </c>
      <c r="H249" s="1"/>
      <c r="I249" s="1"/>
      <c r="J249" s="1"/>
      <c r="K249" s="1"/>
      <c r="L249" s="1"/>
      <c r="M249" s="1"/>
    </row>
    <row r="250" spans="1:27" ht="32">
      <c r="A250" s="42">
        <v>500</v>
      </c>
      <c r="B250" s="42">
        <v>500</v>
      </c>
      <c r="C250" s="12" t="e">
        <f>$AB$11-B250</f>
        <v>#REF!</v>
      </c>
      <c r="D250" s="12" t="e">
        <f>4*$AB$11-B250</f>
        <v>#REF!</v>
      </c>
      <c r="E250" s="29" t="e">
        <f>IF($AB$11&lt;=0,0,B250/$AB$11)</f>
        <v>#REF!</v>
      </c>
      <c r="F250" s="12">
        <f>$B$28-B250</f>
        <v>-200</v>
      </c>
      <c r="G250" s="27" t="e">
        <f>IF(D250&gt;0,"Economically viable if referral converts","Too expensive")</f>
        <v>#REF!</v>
      </c>
      <c r="H250" s="1"/>
      <c r="I250" s="1"/>
      <c r="J250" s="1"/>
      <c r="K250" s="1"/>
      <c r="L250" s="1"/>
      <c r="M250" s="1"/>
    </row>
    <row r="251" spans="1:2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2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2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27" ht="42.75" customHeight="1">
      <c r="A254" s="320" t="s">
        <v>538</v>
      </c>
      <c r="B254" s="320"/>
      <c r="C254" s="320"/>
      <c r="D254" s="320"/>
      <c r="E254" s="320"/>
      <c r="F254" s="320"/>
      <c r="G254" s="320"/>
      <c r="H254" s="320"/>
      <c r="I254" s="320"/>
      <c r="J254" s="320"/>
      <c r="K254" s="320"/>
      <c r="L254" s="320"/>
      <c r="M254" s="320"/>
    </row>
    <row r="255" spans="1:27" ht="32">
      <c r="A255" s="40" t="s">
        <v>198</v>
      </c>
      <c r="B255" s="40" t="s">
        <v>539</v>
      </c>
      <c r="C255" s="40" t="s">
        <v>540</v>
      </c>
      <c r="D255" s="40" t="s">
        <v>230</v>
      </c>
      <c r="E255" s="40" t="s">
        <v>541</v>
      </c>
      <c r="F255" s="40" t="s">
        <v>101</v>
      </c>
      <c r="G255" s="40" t="s">
        <v>200</v>
      </c>
      <c r="H255" s="40" t="s">
        <v>211</v>
      </c>
      <c r="I255" s="40" t="s">
        <v>201</v>
      </c>
      <c r="J255" s="40" t="s">
        <v>542</v>
      </c>
      <c r="K255" s="1"/>
      <c r="L255" s="40" t="s">
        <v>543</v>
      </c>
      <c r="M255" s="40" t="s">
        <v>232</v>
      </c>
    </row>
    <row r="256" spans="1:27" ht="32">
      <c r="A256" s="1" t="s">
        <v>544</v>
      </c>
      <c r="B256" s="42">
        <v>299</v>
      </c>
      <c r="C256" s="42">
        <v>99</v>
      </c>
      <c r="D256" s="44">
        <v>0.5</v>
      </c>
      <c r="E256" s="43">
        <v>1.5</v>
      </c>
      <c r="F256" s="12" t="e">
        <f>#REF!</f>
        <v>#REF!</v>
      </c>
      <c r="G256" s="12">
        <v>1229.6460220338986</v>
      </c>
      <c r="H256" s="29" t="e">
        <f t="shared" ref="H256:H261" si="50">MIN($B$6*$B$7*D256*E256*(1-$B$12)*(1-$B$13),$B$8*$B$7*$B$9*$B$10/$B$11)</f>
        <v>#REF!</v>
      </c>
      <c r="I256" s="12" t="e">
        <f t="shared" ref="I256:I261" si="51">H256*G256-F256</f>
        <v>#REF!</v>
      </c>
      <c r="J256" s="29">
        <v>3</v>
      </c>
      <c r="K256" s="1"/>
      <c r="L256" s="1" t="s">
        <v>545</v>
      </c>
      <c r="M256" s="27" t="e">
        <f>INDEX($A$256:$A$261,MATCH(MAX($AA$256:$AA$261),$AA$256:$AA$261,0))</f>
        <v>#REF!</v>
      </c>
      <c r="AA256" t="e">
        <f t="shared" ref="AA256:AA261" si="52">I256-MAX(-I256,0)*0.25-J256*10000</f>
        <v>#REF!</v>
      </c>
    </row>
    <row r="257" spans="1:27" ht="16">
      <c r="A257" s="1" t="s">
        <v>546</v>
      </c>
      <c r="B257" s="42">
        <v>349</v>
      </c>
      <c r="C257" s="42">
        <v>199</v>
      </c>
      <c r="D257" s="44">
        <v>0.4</v>
      </c>
      <c r="E257" s="43">
        <v>1.35</v>
      </c>
      <c r="F257" s="12" t="e">
        <f>#REF!</f>
        <v>#REF!</v>
      </c>
      <c r="G257" s="12">
        <v>1498.5694966101696</v>
      </c>
      <c r="H257" s="29" t="e">
        <f t="shared" si="50"/>
        <v>#REF!</v>
      </c>
      <c r="I257" s="12" t="e">
        <f t="shared" si="51"/>
        <v>#REF!</v>
      </c>
      <c r="J257" s="29">
        <v>2</v>
      </c>
      <c r="K257" s="1"/>
      <c r="L257" s="1" t="s">
        <v>547</v>
      </c>
      <c r="M257" s="12" t="e">
        <f>INDEX($I$256:$I$261,MATCH(M256,$A$256:$A$261,0))</f>
        <v>#REF!</v>
      </c>
      <c r="AA257" t="e">
        <f t="shared" si="52"/>
        <v>#REF!</v>
      </c>
    </row>
    <row r="258" spans="1:27" ht="16">
      <c r="A258" s="1" t="s">
        <v>548</v>
      </c>
      <c r="B258" s="42">
        <v>449</v>
      </c>
      <c r="C258" s="42">
        <v>199</v>
      </c>
      <c r="D258" s="44">
        <v>0.3</v>
      </c>
      <c r="E258" s="43">
        <v>1.2</v>
      </c>
      <c r="F258" s="12" t="e">
        <f>#REF!</f>
        <v>#REF!</v>
      </c>
      <c r="G258" s="12">
        <v>1873.9249203389834</v>
      </c>
      <c r="H258" s="29" t="e">
        <f t="shared" si="50"/>
        <v>#REF!</v>
      </c>
      <c r="I258" s="12" t="e">
        <f t="shared" si="51"/>
        <v>#REF!</v>
      </c>
      <c r="J258" s="29">
        <v>2</v>
      </c>
      <c r="K258" s="1"/>
      <c r="L258" s="1" t="s">
        <v>183</v>
      </c>
      <c r="M258" s="29" t="e">
        <f>INDEX($H$256:$H$261,MATCH(M256,$A$256:$A$261,0))</f>
        <v>#REF!</v>
      </c>
      <c r="AA258" t="e">
        <f t="shared" si="52"/>
        <v>#REF!</v>
      </c>
    </row>
    <row r="259" spans="1:27" ht="16">
      <c r="A259" s="1" t="s">
        <v>549</v>
      </c>
      <c r="B259" s="42">
        <v>299</v>
      </c>
      <c r="C259" s="42">
        <v>199</v>
      </c>
      <c r="D259" s="44">
        <v>0.45</v>
      </c>
      <c r="E259" s="43">
        <v>1.3</v>
      </c>
      <c r="F259" s="12" t="e">
        <f>#REF!</f>
        <v>#REF!</v>
      </c>
      <c r="G259" s="12">
        <v>1310.8917847457628</v>
      </c>
      <c r="H259" s="29" t="e">
        <f t="shared" si="50"/>
        <v>#REF!</v>
      </c>
      <c r="I259" s="12" t="e">
        <f t="shared" si="51"/>
        <v>#REF!</v>
      </c>
      <c r="J259" s="29">
        <v>1</v>
      </c>
      <c r="K259" s="1"/>
      <c r="L259" s="1" t="s">
        <v>254</v>
      </c>
      <c r="M259" s="29" t="e">
        <f>M258*$B$11/($B$7*$B$9*$B$10)</f>
        <v>#REF!</v>
      </c>
      <c r="AA259" t="e">
        <f t="shared" si="52"/>
        <v>#REF!</v>
      </c>
    </row>
    <row r="260" spans="1:27" ht="16">
      <c r="A260" s="1" t="s">
        <v>550</v>
      </c>
      <c r="B260" s="42">
        <v>349</v>
      </c>
      <c r="C260" s="42">
        <v>149</v>
      </c>
      <c r="D260" s="44">
        <v>0.38</v>
      </c>
      <c r="E260" s="43">
        <v>2.2000000000000002</v>
      </c>
      <c r="F260" s="12" t="e">
        <f>#REF!</f>
        <v>#REF!</v>
      </c>
      <c r="G260" s="12">
        <v>1457.9466152542375</v>
      </c>
      <c r="H260" s="29" t="e">
        <f t="shared" si="50"/>
        <v>#REF!</v>
      </c>
      <c r="I260" s="12" t="e">
        <f t="shared" si="51"/>
        <v>#REF!</v>
      </c>
      <c r="J260" s="29">
        <v>2</v>
      </c>
      <c r="K260" s="1"/>
      <c r="L260" s="1" t="s">
        <v>551</v>
      </c>
      <c r="M260" s="12" t="e">
        <f>MAX($B$5-M257,0)</f>
        <v>#REF!</v>
      </c>
      <c r="AA260" t="e">
        <f t="shared" si="52"/>
        <v>#REF!</v>
      </c>
    </row>
    <row r="261" spans="1:27" ht="16">
      <c r="A261" s="1" t="s">
        <v>552</v>
      </c>
      <c r="B261" s="42">
        <v>349</v>
      </c>
      <c r="C261" s="42">
        <v>199</v>
      </c>
      <c r="D261" s="44">
        <v>0.42</v>
      </c>
      <c r="E261" s="43">
        <v>1.6</v>
      </c>
      <c r="F261" s="12" t="e">
        <f>#REF!</f>
        <v>#REF!</v>
      </c>
      <c r="G261" s="12">
        <v>1498.5694966101696</v>
      </c>
      <c r="H261" s="29" t="e">
        <f t="shared" si="50"/>
        <v>#REF!</v>
      </c>
      <c r="I261" s="12" t="e">
        <f t="shared" si="51"/>
        <v>#REF!</v>
      </c>
      <c r="J261" s="29">
        <v>2</v>
      </c>
      <c r="K261" s="1"/>
      <c r="L261" s="1"/>
      <c r="M261" s="1"/>
      <c r="AA261" t="e">
        <f t="shared" si="52"/>
        <v>#REF!</v>
      </c>
    </row>
    <row r="262" spans="1:2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2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2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27" ht="42.75" customHeight="1">
      <c r="A265" s="320" t="s">
        <v>553</v>
      </c>
      <c r="B265" s="320"/>
      <c r="C265" s="320"/>
      <c r="D265" s="320"/>
      <c r="E265" s="320"/>
      <c r="F265" s="320"/>
      <c r="G265" s="320"/>
      <c r="H265" s="320"/>
      <c r="I265" s="320"/>
      <c r="J265" s="320"/>
      <c r="K265" s="320"/>
      <c r="L265" s="320"/>
      <c r="M265" s="320"/>
    </row>
    <row r="266" spans="1:27" ht="32">
      <c r="A266" s="40" t="s">
        <v>211</v>
      </c>
      <c r="B266" s="40" t="s">
        <v>554</v>
      </c>
      <c r="C266" s="40" t="s">
        <v>555</v>
      </c>
      <c r="D266" s="40" t="s">
        <v>110</v>
      </c>
      <c r="E266" s="40" t="s">
        <v>114</v>
      </c>
      <c r="F266" s="40" t="s">
        <v>206</v>
      </c>
      <c r="G266" s="40" t="s">
        <v>101</v>
      </c>
      <c r="H266" s="40" t="s">
        <v>217</v>
      </c>
      <c r="I266" s="40" t="s">
        <v>556</v>
      </c>
      <c r="J266" s="40" t="s">
        <v>557</v>
      </c>
      <c r="K266" s="1"/>
      <c r="L266" s="1"/>
      <c r="M266" s="1"/>
    </row>
    <row r="267" spans="1:27" ht="48">
      <c r="A267" s="35">
        <v>25</v>
      </c>
      <c r="B267" s="29">
        <f>IF($B$14=0,0,A267/$B$14)</f>
        <v>19.23076923076923</v>
      </c>
      <c r="C267" s="12" t="e">
        <f>A267*$AB$23</f>
        <v>#REF!</v>
      </c>
      <c r="D267" s="12" t="e">
        <f>A267*$AB$11</f>
        <v>#REF!</v>
      </c>
      <c r="E267" s="29" t="e">
        <f>A267*$B$11/($B$7*$B$9*$B$10)</f>
        <v>#REF!</v>
      </c>
      <c r="F267" s="13" t="e">
        <f>MIN(1,A267*$B$11/($B$8*$B$7*$B$9))</f>
        <v>#REF!</v>
      </c>
      <c r="G267" s="12" t="e">
        <f>IF(A267&lt;=50,#REF!,IF(A267&lt;=150,#REF!,IF(A267&lt;=400,#REF!,#REF!*(A267/400))))</f>
        <v>#REF!</v>
      </c>
      <c r="H267" s="12" t="e">
        <f>D267-G267</f>
        <v>#REF!</v>
      </c>
      <c r="I267" s="12">
        <f>B267*$AB$22</f>
        <v>5769.2307692307686</v>
      </c>
      <c r="J267" s="1" t="s">
        <v>558</v>
      </c>
      <c r="K267" s="1"/>
      <c r="L267" s="1"/>
      <c r="M267" s="1"/>
    </row>
    <row r="268" spans="1:27" ht="32">
      <c r="A268" s="35">
        <v>50</v>
      </c>
      <c r="B268" s="29">
        <f>IF($B$14=0,0,A268/$B$14)</f>
        <v>38.46153846153846</v>
      </c>
      <c r="C268" s="12" t="e">
        <f>A268*$AB$23</f>
        <v>#REF!</v>
      </c>
      <c r="D268" s="12" t="e">
        <f>A268*$AB$11</f>
        <v>#REF!</v>
      </c>
      <c r="E268" s="29" t="e">
        <f>A268*$B$11/($B$7*$B$9*$B$10)</f>
        <v>#REF!</v>
      </c>
      <c r="F268" s="13" t="e">
        <f>MIN(1,A268*$B$11/($B$8*$B$7*$B$9))</f>
        <v>#REF!</v>
      </c>
      <c r="G268" s="12" t="e">
        <f>IF(A268&lt;=50,#REF!,IF(A268&lt;=150,#REF!,IF(A268&lt;=400,#REF!,#REF!*(A268/400))))</f>
        <v>#REF!</v>
      </c>
      <c r="H268" s="12" t="e">
        <f>D268-G268</f>
        <v>#REF!</v>
      </c>
      <c r="I268" s="12">
        <f>B268*$AB$22</f>
        <v>11538.461538461537</v>
      </c>
      <c r="J268" s="1" t="s">
        <v>559</v>
      </c>
      <c r="K268" s="1"/>
      <c r="L268" s="1"/>
      <c r="M268" s="1"/>
    </row>
    <row r="269" spans="1:27" ht="48">
      <c r="A269" s="35">
        <v>100</v>
      </c>
      <c r="B269" s="29">
        <f>IF($B$14=0,0,A269/$B$14)</f>
        <v>76.92307692307692</v>
      </c>
      <c r="C269" s="12" t="e">
        <f>A269*$AB$23</f>
        <v>#REF!</v>
      </c>
      <c r="D269" s="12" t="e">
        <f>A269*$AB$11</f>
        <v>#REF!</v>
      </c>
      <c r="E269" s="29" t="e">
        <f>A269*$B$11/($B$7*$B$9*$B$10)</f>
        <v>#REF!</v>
      </c>
      <c r="F269" s="13" t="e">
        <f>MIN(1,A269*$B$11/($B$8*$B$7*$B$9))</f>
        <v>#REF!</v>
      </c>
      <c r="G269" s="12" t="e">
        <f>IF(A269&lt;=50,#REF!,IF(A269&lt;=150,#REF!,IF(A269&lt;=400,#REF!,#REF!*(A269/400))))</f>
        <v>#REF!</v>
      </c>
      <c r="H269" s="12" t="e">
        <f>D269-G269</f>
        <v>#REF!</v>
      </c>
      <c r="I269" s="12">
        <f>B269*$AB$22</f>
        <v>23076.923076923074</v>
      </c>
      <c r="J269" s="1" t="s">
        <v>560</v>
      </c>
      <c r="K269" s="1"/>
      <c r="L269" s="1"/>
      <c r="M269" s="1"/>
    </row>
    <row r="270" spans="1:27" ht="48">
      <c r="A270" s="35">
        <v>250</v>
      </c>
      <c r="B270" s="29">
        <f>IF($B$14=0,0,A270/$B$14)</f>
        <v>192.30769230769229</v>
      </c>
      <c r="C270" s="12" t="e">
        <f>A270*$AB$23</f>
        <v>#REF!</v>
      </c>
      <c r="D270" s="12" t="e">
        <f>A270*$AB$11</f>
        <v>#REF!</v>
      </c>
      <c r="E270" s="29" t="e">
        <f>A270*$B$11/($B$7*$B$9*$B$10)</f>
        <v>#REF!</v>
      </c>
      <c r="F270" s="13" t="e">
        <f>MIN(1,A270*$B$11/($B$8*$B$7*$B$9))</f>
        <v>#REF!</v>
      </c>
      <c r="G270" s="12" t="e">
        <f>IF(A270&lt;=50,#REF!,IF(A270&lt;=150,#REF!,IF(A270&lt;=400,#REF!,#REF!*(A270/400))))</f>
        <v>#REF!</v>
      </c>
      <c r="H270" s="12" t="e">
        <f>D270-G270</f>
        <v>#REF!</v>
      </c>
      <c r="I270" s="12">
        <f>B270*$AB$22</f>
        <v>57692.307692307688</v>
      </c>
      <c r="J270" s="1" t="s">
        <v>561</v>
      </c>
      <c r="K270" s="1"/>
      <c r="L270" s="1"/>
      <c r="M270" s="1"/>
    </row>
    <row r="271" spans="1:27" ht="48">
      <c r="A271" s="35">
        <v>500</v>
      </c>
      <c r="B271" s="29">
        <f>IF($B$14=0,0,A271/$B$14)</f>
        <v>384.61538461538458</v>
      </c>
      <c r="C271" s="12" t="e">
        <f>A271*$AB$23</f>
        <v>#REF!</v>
      </c>
      <c r="D271" s="12" t="e">
        <f>A271*$AB$11</f>
        <v>#REF!</v>
      </c>
      <c r="E271" s="29" t="e">
        <f>A271*$B$11/($B$7*$B$9*$B$10)</f>
        <v>#REF!</v>
      </c>
      <c r="F271" s="13" t="e">
        <f>MIN(1,A271*$B$11/($B$8*$B$7*$B$9))</f>
        <v>#REF!</v>
      </c>
      <c r="G271" s="12" t="e">
        <f>IF(A271&lt;=50,#REF!,IF(A271&lt;=150,#REF!,IF(A271&lt;=400,#REF!,#REF!*(A271/400))))</f>
        <v>#REF!</v>
      </c>
      <c r="H271" s="12" t="e">
        <f>D271-G271</f>
        <v>#REF!</v>
      </c>
      <c r="I271" s="12">
        <f>B271*$AB$22</f>
        <v>115384.61538461538</v>
      </c>
      <c r="J271" s="1" t="s">
        <v>562</v>
      </c>
      <c r="K271" s="1"/>
      <c r="L271" s="1"/>
      <c r="M271" s="1"/>
    </row>
    <row r="272" spans="1:2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5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5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53" ht="42.75" customHeight="1">
      <c r="A275" s="320" t="s">
        <v>563</v>
      </c>
      <c r="B275" s="320"/>
      <c r="C275" s="320"/>
      <c r="D275" s="320"/>
      <c r="E275" s="320"/>
      <c r="F275" s="320"/>
      <c r="G275" s="320"/>
      <c r="H275" s="320"/>
      <c r="I275" s="320"/>
      <c r="J275" s="320"/>
      <c r="K275" s="320"/>
      <c r="L275" s="320"/>
      <c r="M275" s="320"/>
    </row>
    <row r="276" spans="1:53" ht="16">
      <c r="A276" s="40" t="s">
        <v>221</v>
      </c>
      <c r="B276" s="40" t="s">
        <v>222</v>
      </c>
      <c r="C276" s="40" t="s">
        <v>564</v>
      </c>
      <c r="D276" s="40" t="s">
        <v>565</v>
      </c>
      <c r="E276" s="40" t="s">
        <v>566</v>
      </c>
      <c r="F276" s="40" t="s">
        <v>223</v>
      </c>
      <c r="G276" s="1"/>
      <c r="H276" s="1"/>
      <c r="I276" s="1"/>
      <c r="J276" s="1"/>
      <c r="K276" s="1"/>
      <c r="L276" s="1"/>
      <c r="M276" s="1"/>
    </row>
    <row r="277" spans="1:53" ht="16">
      <c r="A277" s="1" t="s">
        <v>225</v>
      </c>
      <c r="B277" s="43">
        <v>75</v>
      </c>
      <c r="C277" s="35" t="s">
        <v>109</v>
      </c>
      <c r="D277" s="29" t="e">
        <f>$AB$16</f>
        <v>#REF!</v>
      </c>
      <c r="E277" s="27" t="e">
        <f>IF(D277&gt;=B277,"HIRE","WAIT")</f>
        <v>#REF!</v>
      </c>
      <c r="F277" s="33">
        <v>45000</v>
      </c>
      <c r="G277" s="1"/>
      <c r="H277" s="1"/>
      <c r="I277" s="1"/>
      <c r="J277" s="1"/>
      <c r="K277" s="1"/>
      <c r="L277" s="1"/>
      <c r="M277" s="1"/>
    </row>
    <row r="278" spans="1:53" ht="16">
      <c r="A278" s="1" t="s">
        <v>102</v>
      </c>
      <c r="B278" s="43">
        <v>120</v>
      </c>
      <c r="C278" s="35" t="s">
        <v>109</v>
      </c>
      <c r="D278" s="29" t="e">
        <f>$AB$16</f>
        <v>#REF!</v>
      </c>
      <c r="E278" s="27" t="e">
        <f>IF(D278&gt;=B278,"HIRE","WAIT")</f>
        <v>#REF!</v>
      </c>
      <c r="F278" s="33">
        <v>35000</v>
      </c>
      <c r="G278" s="1"/>
      <c r="H278" s="1"/>
      <c r="I278" s="1"/>
      <c r="J278" s="1"/>
      <c r="K278" s="1"/>
      <c r="L278" s="1"/>
      <c r="M278" s="1"/>
    </row>
    <row r="279" spans="1:53" ht="16">
      <c r="A279" s="1" t="s">
        <v>567</v>
      </c>
      <c r="B279" s="44">
        <v>0.75</v>
      </c>
      <c r="C279" s="32" t="s">
        <v>172</v>
      </c>
      <c r="D279" s="13" t="e">
        <f>$F$14</f>
        <v>#REF!</v>
      </c>
      <c r="E279" s="27" t="e">
        <f>IF(D279&gt;=B279,"HIRE / ADD CAPACITY","WAIT")</f>
        <v>#REF!</v>
      </c>
      <c r="F279" s="33">
        <v>0</v>
      </c>
      <c r="G279" s="1"/>
      <c r="H279" s="1"/>
      <c r="I279" s="1"/>
      <c r="J279" s="1"/>
      <c r="K279" s="1"/>
      <c r="L279" s="1"/>
      <c r="M279" s="1"/>
    </row>
    <row r="280" spans="1:53" ht="16">
      <c r="A280" s="1" t="s">
        <v>568</v>
      </c>
      <c r="B280" s="43">
        <v>250</v>
      </c>
      <c r="C280" s="35" t="s">
        <v>109</v>
      </c>
      <c r="D280" s="29" t="e">
        <f>$AB$16</f>
        <v>#REF!</v>
      </c>
      <c r="E280" s="27" t="e">
        <f>IF(D280&gt;=B280,"HIRE","WAIT")</f>
        <v>#REF!</v>
      </c>
      <c r="F280" s="33">
        <v>60000</v>
      </c>
      <c r="G280" s="1"/>
      <c r="H280" s="1"/>
      <c r="I280" s="1"/>
      <c r="J280" s="1"/>
      <c r="K280" s="1"/>
      <c r="L280" s="1"/>
      <c r="M280" s="1"/>
    </row>
    <row r="281" spans="1:53" ht="16">
      <c r="A281" s="1" t="s">
        <v>569</v>
      </c>
      <c r="B281" s="43">
        <v>300</v>
      </c>
      <c r="C281" s="35" t="s">
        <v>109</v>
      </c>
      <c r="D281" s="29" t="e">
        <f>$AB$16</f>
        <v>#REF!</v>
      </c>
      <c r="E281" s="27" t="e">
        <f>IF(D281&gt;=B281,"HIRE","WAIT")</f>
        <v>#REF!</v>
      </c>
      <c r="F281" s="33">
        <v>100000</v>
      </c>
      <c r="G281" s="1"/>
      <c r="H281" s="1"/>
      <c r="I281" s="1"/>
      <c r="J281" s="1"/>
      <c r="K281" s="1"/>
      <c r="L281" s="1"/>
      <c r="M281" s="1"/>
    </row>
    <row r="282" spans="1:5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5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5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53" ht="42.75" customHeight="1">
      <c r="A285" s="320" t="s">
        <v>570</v>
      </c>
      <c r="B285" s="320"/>
      <c r="C285" s="320"/>
      <c r="D285" s="320"/>
      <c r="E285" s="320"/>
      <c r="F285" s="320"/>
      <c r="G285" s="320"/>
      <c r="H285" s="320"/>
      <c r="I285" s="320"/>
      <c r="J285" s="320"/>
      <c r="K285" s="320"/>
      <c r="L285" s="320"/>
      <c r="M285" s="320"/>
    </row>
    <row r="286" spans="1:53" ht="32">
      <c r="A286" s="40" t="s">
        <v>112</v>
      </c>
      <c r="B286" s="40" t="s">
        <v>211</v>
      </c>
      <c r="C286" s="40" t="s">
        <v>200</v>
      </c>
      <c r="D286" s="40" t="s">
        <v>212</v>
      </c>
      <c r="E286" s="40" t="s">
        <v>101</v>
      </c>
      <c r="F286" s="40" t="s">
        <v>571</v>
      </c>
      <c r="G286" s="40" t="s">
        <v>213</v>
      </c>
      <c r="H286" s="40" t="s">
        <v>224</v>
      </c>
      <c r="I286" s="1"/>
      <c r="J286" s="40" t="s">
        <v>572</v>
      </c>
      <c r="K286" s="40" t="s">
        <v>232</v>
      </c>
      <c r="L286" s="40" t="s">
        <v>573</v>
      </c>
      <c r="M286" s="40" t="s">
        <v>233</v>
      </c>
    </row>
    <row r="287" spans="1:53" ht="32">
      <c r="A287" s="1" t="s">
        <v>115</v>
      </c>
      <c r="B287" s="29" t="e">
        <f>$AB$16</f>
        <v>#REF!</v>
      </c>
      <c r="C287" s="12" t="e">
        <f t="shared" ref="C287:C298" si="53">$AB$11</f>
        <v>#REF!</v>
      </c>
      <c r="D287" s="12" t="e">
        <f t="shared" ref="D287:D298" si="54">B287*C287</f>
        <v>#REF!</v>
      </c>
      <c r="E287" s="12" t="e">
        <f>IF(B287&lt;=50,#REF!,IF(B287&lt;=150,#REF!,IF(B287&lt;=400,#REF!,#REF!*(B287/400))))</f>
        <v>#REF!</v>
      </c>
      <c r="F287" s="12" t="e">
        <f t="shared" ref="F287:F298" si="55">D287-E287</f>
        <v>#REF!</v>
      </c>
      <c r="G287" s="12" t="e">
        <f>$B$32+$B$33-$B$34+F287</f>
        <v>#REF!</v>
      </c>
      <c r="H287" s="27" t="e">
        <f t="shared" ref="H287:H298" si="56">IF(G287&lt;0,"CASH OUT",IF(F287&gt;=$B$5,"TARGET PROFIT ACHIEVED",IF(F287&gt;=0,"PROFITABLE","BURNING CASH")))</f>
        <v>#REF!</v>
      </c>
      <c r="I287" s="1"/>
      <c r="J287" s="1" t="s">
        <v>574</v>
      </c>
      <c r="K287" s="12">
        <f>$B$32+$B$33-$B$34</f>
        <v>1300000</v>
      </c>
      <c r="L287" s="1" t="s">
        <v>575</v>
      </c>
      <c r="M287" s="1" t="s">
        <v>576</v>
      </c>
      <c r="AZ287" t="e">
        <f t="shared" ref="AZ287:AZ298" si="57">IF(F287&gt;=0,ROW()-286,999)</f>
        <v>#REF!</v>
      </c>
      <c r="BA287" t="e">
        <f t="shared" ref="BA287:BA298" si="58">IF(F287&gt;=$B$5,ROW()-286,999)</f>
        <v>#REF!</v>
      </c>
    </row>
    <row r="288" spans="1:53" ht="16">
      <c r="A288" s="1" t="s">
        <v>116</v>
      </c>
      <c r="B288" s="29" t="e">
        <f t="shared" ref="B288:B298" si="59">B287*(1+$B$35)</f>
        <v>#REF!</v>
      </c>
      <c r="C288" s="12" t="e">
        <f t="shared" si="53"/>
        <v>#REF!</v>
      </c>
      <c r="D288" s="12" t="e">
        <f t="shared" si="54"/>
        <v>#REF!</v>
      </c>
      <c r="E288" s="12" t="e">
        <f>IF(B288&lt;=50,#REF!,IF(B288&lt;=150,#REF!,IF(B288&lt;=400,#REF!,#REF!*(B288/400))))</f>
        <v>#REF!</v>
      </c>
      <c r="F288" s="12" t="e">
        <f t="shared" si="55"/>
        <v>#REF!</v>
      </c>
      <c r="G288" s="12" t="e">
        <f t="shared" ref="G288:G298" si="60">G287+F288</f>
        <v>#REF!</v>
      </c>
      <c r="H288" s="27" t="e">
        <f t="shared" si="56"/>
        <v>#REF!</v>
      </c>
      <c r="I288" s="1"/>
      <c r="J288" s="1" t="s">
        <v>577</v>
      </c>
      <c r="K288" s="12" t="e">
        <f>$G$298</f>
        <v>#REF!</v>
      </c>
      <c r="L288" s="1" t="s">
        <v>575</v>
      </c>
      <c r="M288" s="1" t="s">
        <v>578</v>
      </c>
      <c r="AZ288" t="e">
        <f t="shared" si="57"/>
        <v>#REF!</v>
      </c>
      <c r="BA288" t="e">
        <f t="shared" si="58"/>
        <v>#REF!</v>
      </c>
    </row>
    <row r="289" spans="1:53" ht="32">
      <c r="A289" s="1" t="s">
        <v>117</v>
      </c>
      <c r="B289" s="29" t="e">
        <f t="shared" si="59"/>
        <v>#REF!</v>
      </c>
      <c r="C289" s="12" t="e">
        <f t="shared" si="53"/>
        <v>#REF!</v>
      </c>
      <c r="D289" s="12" t="e">
        <f t="shared" si="54"/>
        <v>#REF!</v>
      </c>
      <c r="E289" s="12" t="e">
        <f>IF(B289&lt;=50,#REF!,IF(B289&lt;=150,#REF!,IF(B289&lt;=400,#REF!,#REF!*(B289/400))))</f>
        <v>#REF!</v>
      </c>
      <c r="F289" s="12" t="e">
        <f t="shared" si="55"/>
        <v>#REF!</v>
      </c>
      <c r="G289" s="12" t="e">
        <f t="shared" si="60"/>
        <v>#REF!</v>
      </c>
      <c r="H289" s="27" t="e">
        <f t="shared" si="56"/>
        <v>#REF!</v>
      </c>
      <c r="I289" s="1"/>
      <c r="J289" s="1" t="s">
        <v>219</v>
      </c>
      <c r="K289" s="27" t="e">
        <f>IF(MIN($AZ$287:$AZ$298)=999,"Not within 12 months",MIN($AZ$287:$AZ$298))</f>
        <v>#REF!</v>
      </c>
      <c r="L289" s="1" t="s">
        <v>579</v>
      </c>
      <c r="M289" s="1" t="s">
        <v>580</v>
      </c>
      <c r="AZ289" t="e">
        <f t="shared" si="57"/>
        <v>#REF!</v>
      </c>
      <c r="BA289" t="e">
        <f t="shared" si="58"/>
        <v>#REF!</v>
      </c>
    </row>
    <row r="290" spans="1:53" ht="32">
      <c r="A290" s="1" t="s">
        <v>118</v>
      </c>
      <c r="B290" s="29" t="e">
        <f t="shared" si="59"/>
        <v>#REF!</v>
      </c>
      <c r="C290" s="12" t="e">
        <f t="shared" si="53"/>
        <v>#REF!</v>
      </c>
      <c r="D290" s="12" t="e">
        <f t="shared" si="54"/>
        <v>#REF!</v>
      </c>
      <c r="E290" s="12" t="e">
        <f>IF(B290&lt;=50,#REF!,IF(B290&lt;=150,#REF!,IF(B290&lt;=400,#REF!,#REF!*(B290/400))))</f>
        <v>#REF!</v>
      </c>
      <c r="F290" s="12" t="e">
        <f t="shared" si="55"/>
        <v>#REF!</v>
      </c>
      <c r="G290" s="12" t="e">
        <f t="shared" si="60"/>
        <v>#REF!</v>
      </c>
      <c r="H290" s="27" t="e">
        <f t="shared" si="56"/>
        <v>#REF!</v>
      </c>
      <c r="I290" s="1"/>
      <c r="J290" s="1" t="s">
        <v>581</v>
      </c>
      <c r="K290" s="27" t="e">
        <f>IF(MIN($BA$287:$BA$298)=999,"Not within 12 months",MIN($BA$287:$BA$298))</f>
        <v>#REF!</v>
      </c>
      <c r="L290" s="1" t="s">
        <v>579</v>
      </c>
      <c r="M290" s="1" t="s">
        <v>582</v>
      </c>
      <c r="AZ290" t="e">
        <f t="shared" si="57"/>
        <v>#REF!</v>
      </c>
      <c r="BA290" t="e">
        <f t="shared" si="58"/>
        <v>#REF!</v>
      </c>
    </row>
    <row r="291" spans="1:53" ht="32">
      <c r="A291" s="1" t="s">
        <v>119</v>
      </c>
      <c r="B291" s="29" t="e">
        <f t="shared" si="59"/>
        <v>#REF!</v>
      </c>
      <c r="C291" s="12" t="e">
        <f t="shared" si="53"/>
        <v>#REF!</v>
      </c>
      <c r="D291" s="12" t="e">
        <f t="shared" si="54"/>
        <v>#REF!</v>
      </c>
      <c r="E291" s="12" t="e">
        <f>IF(B291&lt;=50,#REF!,IF(B291&lt;=150,#REF!,IF(B291&lt;=400,#REF!,#REF!*(B291/400))))</f>
        <v>#REF!</v>
      </c>
      <c r="F291" s="12" t="e">
        <f t="shared" si="55"/>
        <v>#REF!</v>
      </c>
      <c r="G291" s="12" t="e">
        <f t="shared" si="60"/>
        <v>#REF!</v>
      </c>
      <c r="H291" s="27" t="e">
        <f t="shared" si="56"/>
        <v>#REF!</v>
      </c>
      <c r="I291" s="1"/>
      <c r="J291" s="1" t="s">
        <v>583</v>
      </c>
      <c r="K291" s="12" t="e">
        <f>MAX(-MIN($G$287:$G$298),0)</f>
        <v>#REF!</v>
      </c>
      <c r="L291" s="1" t="s">
        <v>575</v>
      </c>
      <c r="M291" s="1" t="s">
        <v>584</v>
      </c>
      <c r="AZ291" t="e">
        <f t="shared" si="57"/>
        <v>#REF!</v>
      </c>
      <c r="BA291" t="e">
        <f t="shared" si="58"/>
        <v>#REF!</v>
      </c>
    </row>
    <row r="292" spans="1:53" ht="32">
      <c r="A292" s="1" t="s">
        <v>120</v>
      </c>
      <c r="B292" s="29" t="e">
        <f t="shared" si="59"/>
        <v>#REF!</v>
      </c>
      <c r="C292" s="12" t="e">
        <f t="shared" si="53"/>
        <v>#REF!</v>
      </c>
      <c r="D292" s="12" t="e">
        <f t="shared" si="54"/>
        <v>#REF!</v>
      </c>
      <c r="E292" s="12" t="e">
        <f>IF(B292&lt;=50,#REF!,IF(B292&lt;=150,#REF!,IF(B292&lt;=400,#REF!,#REF!*(B292/400))))</f>
        <v>#REF!</v>
      </c>
      <c r="F292" s="12" t="e">
        <f t="shared" si="55"/>
        <v>#REF!</v>
      </c>
      <c r="G292" s="12" t="e">
        <f t="shared" si="60"/>
        <v>#REF!</v>
      </c>
      <c r="H292" s="27" t="e">
        <f t="shared" si="56"/>
        <v>#REF!</v>
      </c>
      <c r="I292" s="1"/>
      <c r="J292" s="1"/>
      <c r="K292" s="1"/>
      <c r="L292" s="1"/>
      <c r="M292" s="1"/>
      <c r="AZ292" t="e">
        <f t="shared" si="57"/>
        <v>#REF!</v>
      </c>
      <c r="BA292" t="e">
        <f t="shared" si="58"/>
        <v>#REF!</v>
      </c>
    </row>
    <row r="293" spans="1:53" ht="32">
      <c r="A293" s="1" t="s">
        <v>121</v>
      </c>
      <c r="B293" s="29" t="e">
        <f t="shared" si="59"/>
        <v>#REF!</v>
      </c>
      <c r="C293" s="12" t="e">
        <f t="shared" si="53"/>
        <v>#REF!</v>
      </c>
      <c r="D293" s="12" t="e">
        <f t="shared" si="54"/>
        <v>#REF!</v>
      </c>
      <c r="E293" s="12" t="e">
        <f>IF(B293&lt;=50,#REF!,IF(B293&lt;=150,#REF!,IF(B293&lt;=400,#REF!,#REF!*(B293/400))))</f>
        <v>#REF!</v>
      </c>
      <c r="F293" s="12" t="e">
        <f t="shared" si="55"/>
        <v>#REF!</v>
      </c>
      <c r="G293" s="12" t="e">
        <f t="shared" si="60"/>
        <v>#REF!</v>
      </c>
      <c r="H293" s="27" t="e">
        <f t="shared" si="56"/>
        <v>#REF!</v>
      </c>
      <c r="I293" s="1"/>
      <c r="J293" s="1"/>
      <c r="K293" s="1"/>
      <c r="L293" s="1"/>
      <c r="M293" s="1"/>
      <c r="AZ293" t="e">
        <f t="shared" si="57"/>
        <v>#REF!</v>
      </c>
      <c r="BA293" t="e">
        <f t="shared" si="58"/>
        <v>#REF!</v>
      </c>
    </row>
    <row r="294" spans="1:53" ht="32">
      <c r="A294" s="1" t="s">
        <v>122</v>
      </c>
      <c r="B294" s="29" t="e">
        <f t="shared" si="59"/>
        <v>#REF!</v>
      </c>
      <c r="C294" s="12" t="e">
        <f t="shared" si="53"/>
        <v>#REF!</v>
      </c>
      <c r="D294" s="12" t="e">
        <f t="shared" si="54"/>
        <v>#REF!</v>
      </c>
      <c r="E294" s="12" t="e">
        <f>IF(B294&lt;=50,#REF!,IF(B294&lt;=150,#REF!,IF(B294&lt;=400,#REF!,#REF!*(B294/400))))</f>
        <v>#REF!</v>
      </c>
      <c r="F294" s="12" t="e">
        <f t="shared" si="55"/>
        <v>#REF!</v>
      </c>
      <c r="G294" s="12" t="e">
        <f t="shared" si="60"/>
        <v>#REF!</v>
      </c>
      <c r="H294" s="27" t="e">
        <f t="shared" si="56"/>
        <v>#REF!</v>
      </c>
      <c r="I294" s="1"/>
      <c r="J294" s="1"/>
      <c r="K294" s="1"/>
      <c r="L294" s="1"/>
      <c r="M294" s="1"/>
      <c r="AZ294" t="e">
        <f t="shared" si="57"/>
        <v>#REF!</v>
      </c>
      <c r="BA294" t="e">
        <f t="shared" si="58"/>
        <v>#REF!</v>
      </c>
    </row>
    <row r="295" spans="1:53" ht="32">
      <c r="A295" s="1" t="s">
        <v>123</v>
      </c>
      <c r="B295" s="29" t="e">
        <f t="shared" si="59"/>
        <v>#REF!</v>
      </c>
      <c r="C295" s="12" t="e">
        <f t="shared" si="53"/>
        <v>#REF!</v>
      </c>
      <c r="D295" s="12" t="e">
        <f t="shared" si="54"/>
        <v>#REF!</v>
      </c>
      <c r="E295" s="12" t="e">
        <f>IF(B295&lt;=50,#REF!,IF(B295&lt;=150,#REF!,IF(B295&lt;=400,#REF!,#REF!*(B295/400))))</f>
        <v>#REF!</v>
      </c>
      <c r="F295" s="12" t="e">
        <f t="shared" si="55"/>
        <v>#REF!</v>
      </c>
      <c r="G295" s="12" t="e">
        <f t="shared" si="60"/>
        <v>#REF!</v>
      </c>
      <c r="H295" s="27" t="e">
        <f t="shared" si="56"/>
        <v>#REF!</v>
      </c>
      <c r="I295" s="1"/>
      <c r="J295" s="1"/>
      <c r="K295" s="1"/>
      <c r="L295" s="1"/>
      <c r="M295" s="1"/>
      <c r="AZ295" t="e">
        <f t="shared" si="57"/>
        <v>#REF!</v>
      </c>
      <c r="BA295" t="e">
        <f t="shared" si="58"/>
        <v>#REF!</v>
      </c>
    </row>
    <row r="296" spans="1:53" ht="32">
      <c r="A296" s="1" t="s">
        <v>124</v>
      </c>
      <c r="B296" s="29" t="e">
        <f t="shared" si="59"/>
        <v>#REF!</v>
      </c>
      <c r="C296" s="12" t="e">
        <f t="shared" si="53"/>
        <v>#REF!</v>
      </c>
      <c r="D296" s="12" t="e">
        <f t="shared" si="54"/>
        <v>#REF!</v>
      </c>
      <c r="E296" s="12" t="e">
        <f>IF(B296&lt;=50,#REF!,IF(B296&lt;=150,#REF!,IF(B296&lt;=400,#REF!,#REF!*(B296/400))))</f>
        <v>#REF!</v>
      </c>
      <c r="F296" s="12" t="e">
        <f t="shared" si="55"/>
        <v>#REF!</v>
      </c>
      <c r="G296" s="12" t="e">
        <f t="shared" si="60"/>
        <v>#REF!</v>
      </c>
      <c r="H296" s="27" t="e">
        <f t="shared" si="56"/>
        <v>#REF!</v>
      </c>
      <c r="I296" s="1"/>
      <c r="J296" s="1"/>
      <c r="K296" s="1"/>
      <c r="L296" s="1"/>
      <c r="M296" s="1"/>
      <c r="AZ296" t="e">
        <f t="shared" si="57"/>
        <v>#REF!</v>
      </c>
      <c r="BA296" t="e">
        <f t="shared" si="58"/>
        <v>#REF!</v>
      </c>
    </row>
    <row r="297" spans="1:53" ht="32">
      <c r="A297" s="1" t="s">
        <v>125</v>
      </c>
      <c r="B297" s="29" t="e">
        <f t="shared" si="59"/>
        <v>#REF!</v>
      </c>
      <c r="C297" s="12" t="e">
        <f t="shared" si="53"/>
        <v>#REF!</v>
      </c>
      <c r="D297" s="12" t="e">
        <f t="shared" si="54"/>
        <v>#REF!</v>
      </c>
      <c r="E297" s="12" t="e">
        <f>IF(B297&lt;=50,#REF!,IF(B297&lt;=150,#REF!,IF(B297&lt;=400,#REF!,#REF!*(B297/400))))</f>
        <v>#REF!</v>
      </c>
      <c r="F297" s="12" t="e">
        <f t="shared" si="55"/>
        <v>#REF!</v>
      </c>
      <c r="G297" s="12" t="e">
        <f t="shared" si="60"/>
        <v>#REF!</v>
      </c>
      <c r="H297" s="27" t="e">
        <f t="shared" si="56"/>
        <v>#REF!</v>
      </c>
      <c r="I297" s="1"/>
      <c r="J297" s="1"/>
      <c r="K297" s="1"/>
      <c r="L297" s="1"/>
      <c r="M297" s="1"/>
      <c r="AZ297" t="e">
        <f t="shared" si="57"/>
        <v>#REF!</v>
      </c>
      <c r="BA297" t="e">
        <f t="shared" si="58"/>
        <v>#REF!</v>
      </c>
    </row>
    <row r="298" spans="1:53" ht="32">
      <c r="A298" s="1" t="s">
        <v>126</v>
      </c>
      <c r="B298" s="29" t="e">
        <f t="shared" si="59"/>
        <v>#REF!</v>
      </c>
      <c r="C298" s="12" t="e">
        <f t="shared" si="53"/>
        <v>#REF!</v>
      </c>
      <c r="D298" s="12" t="e">
        <f t="shared" si="54"/>
        <v>#REF!</v>
      </c>
      <c r="E298" s="12" t="e">
        <f>IF(B298&lt;=50,#REF!,IF(B298&lt;=150,#REF!,IF(B298&lt;=400,#REF!,#REF!*(B298/400))))</f>
        <v>#REF!</v>
      </c>
      <c r="F298" s="12" t="e">
        <f t="shared" si="55"/>
        <v>#REF!</v>
      </c>
      <c r="G298" s="12" t="e">
        <f t="shared" si="60"/>
        <v>#REF!</v>
      </c>
      <c r="H298" s="27" t="e">
        <f t="shared" si="56"/>
        <v>#REF!</v>
      </c>
      <c r="I298" s="1"/>
      <c r="J298" s="1"/>
      <c r="K298" s="1"/>
      <c r="L298" s="1"/>
      <c r="M298" s="1"/>
      <c r="AZ298" t="e">
        <f t="shared" si="57"/>
        <v>#REF!</v>
      </c>
      <c r="BA298" t="e">
        <f t="shared" si="58"/>
        <v>#REF!</v>
      </c>
    </row>
    <row r="299" spans="1:5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5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5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53">
      <c r="A302" s="320" t="s">
        <v>585</v>
      </c>
      <c r="B302" s="320"/>
      <c r="C302" s="320"/>
      <c r="D302" s="320"/>
      <c r="E302" s="320"/>
      <c r="F302" s="320"/>
      <c r="G302" s="320"/>
      <c r="H302" s="320"/>
      <c r="I302" s="320"/>
      <c r="J302" s="320"/>
      <c r="K302" s="320"/>
      <c r="L302" s="320"/>
      <c r="M302" s="320"/>
    </row>
    <row r="303" spans="1:53" ht="32">
      <c r="A303" s="40" t="s">
        <v>586</v>
      </c>
      <c r="B303" s="40" t="s">
        <v>587</v>
      </c>
      <c r="C303" s="40" t="s">
        <v>588</v>
      </c>
      <c r="D303" s="40" t="s">
        <v>589</v>
      </c>
      <c r="E303" s="40" t="s">
        <v>254</v>
      </c>
      <c r="F303" s="40" t="s">
        <v>590</v>
      </c>
      <c r="G303" s="40" t="s">
        <v>591</v>
      </c>
      <c r="H303" s="1"/>
      <c r="I303" s="1"/>
      <c r="J303" s="1"/>
      <c r="K303" s="1"/>
      <c r="L303" s="1"/>
      <c r="M303" s="1"/>
    </row>
    <row r="304" spans="1:53">
      <c r="A304" s="57">
        <v>0</v>
      </c>
      <c r="B304" s="33" t="e">
        <f t="shared" ref="B304:B312" si="61">$B$27+A304</f>
        <v>#REF!</v>
      </c>
      <c r="C304" s="35" t="e">
        <f t="shared" ref="C304:C312" si="62">IF($AB$11&lt;=0,0,B304/$AB$11)</f>
        <v>#REF!</v>
      </c>
      <c r="D304" s="35" t="e">
        <f t="shared" ref="D304:D312" si="63">C304/$B$7</f>
        <v>#REF!</v>
      </c>
      <c r="E304" s="35" t="e">
        <f t="shared" ref="E304:E312" si="64">C304*$B$11/($B$7*$B$9*$B$10)</f>
        <v>#REF!</v>
      </c>
      <c r="F304" s="35" t="e">
        <f t="shared" ref="F304:F312" si="65">IF($AB$13*$B$14*(1-$B$12)*(1-$B$13)=0,0,C304/($B$7*$AB$13*$B$14*(1-$B$12)*(1-$B$13)))</f>
        <v>#REF!</v>
      </c>
      <c r="G304" s="33" t="e">
        <f t="shared" ref="G304:G312" si="66">$AB$18-A304</f>
        <v>#REF!</v>
      </c>
      <c r="H304" s="1"/>
      <c r="I304" s="1"/>
      <c r="J304" s="1"/>
      <c r="K304" s="1"/>
      <c r="L304" s="1"/>
      <c r="M304" s="1"/>
    </row>
    <row r="305" spans="1:13">
      <c r="A305" s="57">
        <v>50000</v>
      </c>
      <c r="B305" s="33" t="e">
        <f t="shared" si="61"/>
        <v>#REF!</v>
      </c>
      <c r="C305" s="35" t="e">
        <f t="shared" si="62"/>
        <v>#REF!</v>
      </c>
      <c r="D305" s="35" t="e">
        <f t="shared" si="63"/>
        <v>#REF!</v>
      </c>
      <c r="E305" s="35" t="e">
        <f t="shared" si="64"/>
        <v>#REF!</v>
      </c>
      <c r="F305" s="35" t="e">
        <f t="shared" si="65"/>
        <v>#REF!</v>
      </c>
      <c r="G305" s="33" t="e">
        <f t="shared" si="66"/>
        <v>#REF!</v>
      </c>
      <c r="H305" s="1"/>
      <c r="I305" s="1"/>
      <c r="J305" s="1"/>
      <c r="K305" s="1"/>
      <c r="L305" s="1"/>
      <c r="M305" s="1"/>
    </row>
    <row r="306" spans="1:13">
      <c r="A306" s="57">
        <v>100000</v>
      </c>
      <c r="B306" s="33" t="e">
        <f t="shared" si="61"/>
        <v>#REF!</v>
      </c>
      <c r="C306" s="35" t="e">
        <f t="shared" si="62"/>
        <v>#REF!</v>
      </c>
      <c r="D306" s="35" t="e">
        <f t="shared" si="63"/>
        <v>#REF!</v>
      </c>
      <c r="E306" s="35" t="e">
        <f t="shared" si="64"/>
        <v>#REF!</v>
      </c>
      <c r="F306" s="35" t="e">
        <f t="shared" si="65"/>
        <v>#REF!</v>
      </c>
      <c r="G306" s="33" t="e">
        <f t="shared" si="66"/>
        <v>#REF!</v>
      </c>
      <c r="H306" s="1"/>
      <c r="I306" s="1"/>
      <c r="J306" s="1"/>
      <c r="K306" s="1"/>
      <c r="L306" s="1"/>
      <c r="M306" s="1"/>
    </row>
    <row r="307" spans="1:13">
      <c r="A307" s="57">
        <v>200000</v>
      </c>
      <c r="B307" s="33" t="e">
        <f t="shared" si="61"/>
        <v>#REF!</v>
      </c>
      <c r="C307" s="35" t="e">
        <f t="shared" si="62"/>
        <v>#REF!</v>
      </c>
      <c r="D307" s="35" t="e">
        <f t="shared" si="63"/>
        <v>#REF!</v>
      </c>
      <c r="E307" s="35" t="e">
        <f t="shared" si="64"/>
        <v>#REF!</v>
      </c>
      <c r="F307" s="35" t="e">
        <f t="shared" si="65"/>
        <v>#REF!</v>
      </c>
      <c r="G307" s="33" t="e">
        <f t="shared" si="66"/>
        <v>#REF!</v>
      </c>
      <c r="H307" s="1"/>
      <c r="I307" s="1"/>
      <c r="J307" s="1"/>
      <c r="K307" s="1"/>
      <c r="L307" s="1"/>
      <c r="M307" s="1"/>
    </row>
    <row r="308" spans="1:13">
      <c r="A308" s="57">
        <v>300000</v>
      </c>
      <c r="B308" s="33" t="e">
        <f t="shared" si="61"/>
        <v>#REF!</v>
      </c>
      <c r="C308" s="35" t="e">
        <f t="shared" si="62"/>
        <v>#REF!</v>
      </c>
      <c r="D308" s="35" t="e">
        <f t="shared" si="63"/>
        <v>#REF!</v>
      </c>
      <c r="E308" s="35" t="e">
        <f t="shared" si="64"/>
        <v>#REF!</v>
      </c>
      <c r="F308" s="35" t="e">
        <f t="shared" si="65"/>
        <v>#REF!</v>
      </c>
      <c r="G308" s="33" t="e">
        <f t="shared" si="66"/>
        <v>#REF!</v>
      </c>
      <c r="H308" s="1"/>
      <c r="I308" s="1"/>
      <c r="J308" s="1"/>
      <c r="K308" s="1"/>
      <c r="L308" s="1"/>
      <c r="M308" s="1"/>
    </row>
    <row r="309" spans="1:13">
      <c r="A309" s="57">
        <v>500000</v>
      </c>
      <c r="B309" s="33" t="e">
        <f t="shared" si="61"/>
        <v>#REF!</v>
      </c>
      <c r="C309" s="35" t="e">
        <f t="shared" si="62"/>
        <v>#REF!</v>
      </c>
      <c r="D309" s="35" t="e">
        <f t="shared" si="63"/>
        <v>#REF!</v>
      </c>
      <c r="E309" s="35" t="e">
        <f t="shared" si="64"/>
        <v>#REF!</v>
      </c>
      <c r="F309" s="35" t="e">
        <f t="shared" si="65"/>
        <v>#REF!</v>
      </c>
      <c r="G309" s="33" t="e">
        <f t="shared" si="66"/>
        <v>#REF!</v>
      </c>
      <c r="H309" s="1"/>
      <c r="I309" s="1"/>
      <c r="J309" s="1"/>
      <c r="K309" s="1"/>
      <c r="L309" s="1"/>
      <c r="M309" s="1"/>
    </row>
    <row r="310" spans="1:13">
      <c r="A310" s="57">
        <v>1000000</v>
      </c>
      <c r="B310" s="33" t="e">
        <f t="shared" si="61"/>
        <v>#REF!</v>
      </c>
      <c r="C310" s="35" t="e">
        <f t="shared" si="62"/>
        <v>#REF!</v>
      </c>
      <c r="D310" s="35" t="e">
        <f t="shared" si="63"/>
        <v>#REF!</v>
      </c>
      <c r="E310" s="35" t="e">
        <f t="shared" si="64"/>
        <v>#REF!</v>
      </c>
      <c r="F310" s="35" t="e">
        <f t="shared" si="65"/>
        <v>#REF!</v>
      </c>
      <c r="G310" s="33" t="e">
        <f t="shared" si="66"/>
        <v>#REF!</v>
      </c>
      <c r="H310" s="1"/>
      <c r="I310" s="1"/>
      <c r="J310" s="1"/>
      <c r="K310" s="1"/>
      <c r="L310" s="1"/>
      <c r="M310" s="1"/>
    </row>
    <row r="311" spans="1:13">
      <c r="A311" s="58">
        <v>5000000</v>
      </c>
      <c r="B311" s="15" t="e">
        <f t="shared" si="61"/>
        <v>#REF!</v>
      </c>
      <c r="C311" s="14" t="e">
        <f t="shared" si="62"/>
        <v>#REF!</v>
      </c>
      <c r="D311" s="14" t="e">
        <f t="shared" si="63"/>
        <v>#REF!</v>
      </c>
      <c r="E311" s="14" t="e">
        <f t="shared" si="64"/>
        <v>#REF!</v>
      </c>
      <c r="F311" s="14" t="e">
        <f t="shared" si="65"/>
        <v>#REF!</v>
      </c>
      <c r="G311" s="15" t="e">
        <f t="shared" si="66"/>
        <v>#REF!</v>
      </c>
    </row>
    <row r="312" spans="1:13">
      <c r="A312" s="58">
        <v>10000000</v>
      </c>
      <c r="B312" s="15" t="e">
        <f t="shared" si="61"/>
        <v>#REF!</v>
      </c>
      <c r="C312" s="14" t="e">
        <f t="shared" si="62"/>
        <v>#REF!</v>
      </c>
      <c r="D312" s="14" t="e">
        <f t="shared" si="63"/>
        <v>#REF!</v>
      </c>
      <c r="E312" s="14" t="e">
        <f t="shared" si="64"/>
        <v>#REF!</v>
      </c>
      <c r="F312" s="14" t="e">
        <f t="shared" si="65"/>
        <v>#REF!</v>
      </c>
      <c r="G312" s="15" t="e">
        <f t="shared" si="66"/>
        <v>#REF!</v>
      </c>
    </row>
    <row r="316" spans="1:13">
      <c r="A316" s="321" t="s">
        <v>592</v>
      </c>
      <c r="B316" s="321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</row>
    <row r="317" spans="1:13">
      <c r="A317" s="321"/>
      <c r="B317" s="321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</row>
    <row r="318" spans="1:13">
      <c r="A318" s="321"/>
      <c r="B318" s="321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</row>
    <row r="319" spans="1:13">
      <c r="A319" s="321"/>
      <c r="B319" s="321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</row>
    <row r="320" spans="1:13">
      <c r="A320" s="321"/>
      <c r="B320" s="321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</row>
  </sheetData>
  <mergeCells count="27">
    <mergeCell ref="A1:M1"/>
    <mergeCell ref="A2:M2"/>
    <mergeCell ref="E4:M4"/>
    <mergeCell ref="A38:M38"/>
    <mergeCell ref="A51:M51"/>
    <mergeCell ref="A62:M62"/>
    <mergeCell ref="A72:M72"/>
    <mergeCell ref="A82:M82"/>
    <mergeCell ref="A93:M93"/>
    <mergeCell ref="A105:M105"/>
    <mergeCell ref="A114:M114"/>
    <mergeCell ref="A123:M123"/>
    <mergeCell ref="A133:M133"/>
    <mergeCell ref="A142:M142"/>
    <mergeCell ref="A155:M155"/>
    <mergeCell ref="A164:M164"/>
    <mergeCell ref="A175:M175"/>
    <mergeCell ref="A210:M210"/>
    <mergeCell ref="A219:M219"/>
    <mergeCell ref="A230:M230"/>
    <mergeCell ref="A302:M302"/>
    <mergeCell ref="A316:M320"/>
    <mergeCell ref="A245:M245"/>
    <mergeCell ref="A254:M254"/>
    <mergeCell ref="A265:M265"/>
    <mergeCell ref="A275:M275"/>
    <mergeCell ref="A285:M285"/>
  </mergeCells>
  <conditionalFormatting sqref="B74:H78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  <cfRule type="expression" dxfId="37" priority="15">
      <formula>B74&lt;0</formula>
    </cfRule>
  </conditionalFormatting>
  <conditionalFormatting sqref="E53:E59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F40:F48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F287:G298">
    <cfRule type="colorScale" priority="13">
      <colorScale>
        <cfvo type="min"/>
        <cfvo type="percentile" val="50"/>
        <cfvo type="max"/>
        <color rgb="FFF4CCCC"/>
        <color rgb="FFFFF2CC"/>
        <color rgb="FFD9EAD3"/>
      </colorScale>
    </cfRule>
    <cfRule type="expression" dxfId="36" priority="22">
      <formula>F287&lt;0</formula>
    </cfRule>
  </conditionalFormatting>
  <conditionalFormatting sqref="F107:H109">
    <cfRule type="colorScale" priority="7">
      <colorScale>
        <cfvo type="min"/>
        <cfvo type="percentile" val="50"/>
        <cfvo type="max"/>
        <color rgb="FFF4CCCC"/>
        <color rgb="FFFFF2CC"/>
        <color rgb="FFD9EAD3"/>
      </colorScale>
    </cfRule>
    <cfRule type="expression" dxfId="35" priority="18">
      <formula>F107&lt;0</formula>
    </cfRule>
  </conditionalFormatting>
  <conditionalFormatting sqref="G84:G89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  <cfRule type="expression" dxfId="34" priority="16">
      <formula>G84&lt;0</formula>
    </cfRule>
  </conditionalFormatting>
  <conditionalFormatting sqref="G304:G312">
    <cfRule type="expression" dxfId="33" priority="23">
      <formula>G304&lt;0</formula>
    </cfRule>
  </conditionalFormatting>
  <conditionalFormatting sqref="H64:H68">
    <cfRule type="expression" dxfId="32" priority="14">
      <formula>H64&lt;0</formula>
    </cfRule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H95:H101">
    <cfRule type="expression" dxfId="31" priority="17">
      <formula>H95&lt;0</formula>
    </cfRule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H157:H160">
    <cfRule type="colorScale" priority="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H221:H226">
    <cfRule type="dataBar" priority="10">
      <dataBar>
        <cfvo type="min"/>
        <cfvo type="max"/>
        <color rgb="FFA02B93"/>
      </dataBar>
    </cfRule>
    <cfRule type="dataBar" priority="25">
      <dataBar>
        <cfvo type="min"/>
        <cfvo type="max"/>
        <color rgb="FFA02B93"/>
      </dataBar>
    </cfRule>
    <cfRule type="dataBar" priority="26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{327DE131-B6CC-A2F4-C439-205FB5F44527}</x14:id>
        </ext>
      </extLst>
    </cfRule>
  </conditionalFormatting>
  <conditionalFormatting sqref="H267:H271">
    <cfRule type="colorScale" priority="12">
      <colorScale>
        <cfvo type="min"/>
        <cfvo type="percentile" val="50"/>
        <cfvo type="max"/>
        <color rgb="FFF4CCCC"/>
        <color rgb="FFFFF2CC"/>
        <color rgb="FFD9EAD3"/>
      </colorScale>
    </cfRule>
    <cfRule type="expression" dxfId="30" priority="21">
      <formula>H267&lt;0</formula>
    </cfRule>
  </conditionalFormatting>
  <conditionalFormatting sqref="I232:I241">
    <cfRule type="colorScale" priority="11">
      <colorScale>
        <cfvo type="min"/>
        <cfvo type="percentile" val="50"/>
        <cfvo type="max"/>
        <color rgb="FFF4CCCC"/>
        <color rgb="FFFFF2CC"/>
        <color rgb="FFD9EAD3"/>
      </colorScale>
    </cfRule>
    <cfRule type="expression" dxfId="29" priority="19">
      <formula>I232&lt;0</formula>
    </cfRule>
  </conditionalFormatting>
  <conditionalFormatting sqref="I256:I261">
    <cfRule type="expression" dxfId="28" priority="20">
      <formula>I256&lt;0</formula>
    </cfRule>
  </conditionalFormatting>
  <conditionalFormatting sqref="K177:K206">
    <cfRule type="dataBar" priority="9">
      <dataBar>
        <cfvo type="min"/>
        <cfvo type="max"/>
        <color rgb="FFA02B93"/>
      </dataBar>
    </cfRule>
    <cfRule type="dataBar" priority="24">
      <dataBar>
        <cfvo type="min"/>
        <cfvo type="max"/>
        <color rgb="FFA02B93"/>
      </dataBar>
    </cfRule>
    <cfRule type="dataBar" priority="27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{3AEFF887-C229-3497-E9D1-0579FFFF1B57}</x14:id>
        </ext>
      </extLst>
    </cfRule>
  </conditionalFormatting>
  <dataValidations count="4">
    <dataValidation type="list" sqref="B5" xr:uid="{00000000-0002-0000-0700-000000000000}">
      <formula1>"0,50000,100000,200000,300000,500000,1000000,5000000,10000000"</formula1>
    </dataValidation>
    <dataValidation type="list" sqref="B17 B20" xr:uid="{00000000-0002-0000-0700-000001000000}">
      <formula1>"249,299,349,399,449"</formula1>
    </dataValidation>
    <dataValidation type="list" sqref="B18" xr:uid="{00000000-0002-0000-0700-000002000000}">
      <formula1>"0,99,199,299"</formula1>
    </dataValidation>
    <dataValidation type="list" sqref="B19" xr:uid="{00000000-0002-0000-0700-000003000000}">
      <formula1>"1,2,3"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7DE131-B6CC-A2F4-C439-205FB5F44527}">
            <x14:dataBar>
              <x14:cfvo type="min"/>
              <x14:cfvo type="max"/>
              <x14:negativeFillColor auto="1"/>
              <x14:axisColor auto="1"/>
            </x14:dataBar>
          </x14:cfRule>
          <xm:sqref>H221:H226</xm:sqref>
        </x14:conditionalFormatting>
        <x14:conditionalFormatting xmlns:xm="http://schemas.microsoft.com/office/excel/2006/main">
          <x14:cfRule type="dataBar" id="{3AEFF887-C229-3497-E9D1-0579FFFF1B57}">
            <x14:dataBar>
              <x14:cfvo type="min"/>
              <x14:cfvo type="max"/>
              <x14:negativeFillColor auto="1"/>
              <x14:axisColor auto="1"/>
            </x14:dataBar>
          </x14:cfRule>
          <xm:sqref>K177:K206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0"/>
  <sheetViews>
    <sheetView workbookViewId="0">
      <selection sqref="A1:H1"/>
    </sheetView>
  </sheetViews>
  <sheetFormatPr baseColWidth="10" defaultColWidth="8.83203125" defaultRowHeight="15"/>
  <cols>
    <col min="1" max="1" width="38" customWidth="1"/>
    <col min="2" max="2" width="19" customWidth="1"/>
    <col min="3" max="3" width="22" customWidth="1"/>
    <col min="4" max="4" width="56" customWidth="1"/>
    <col min="5" max="7" width="20" customWidth="1"/>
  </cols>
  <sheetData>
    <row r="1" spans="1:8" ht="40" customHeight="1">
      <c r="A1" s="328" t="s">
        <v>776</v>
      </c>
      <c r="B1" s="328"/>
      <c r="C1" s="328"/>
      <c r="D1" s="328"/>
      <c r="E1" s="328"/>
      <c r="F1" s="328"/>
      <c r="G1" s="328"/>
      <c r="H1" s="328"/>
    </row>
    <row r="2" spans="1:8" ht="45.25" customHeight="1">
      <c r="A2" s="329" t="s">
        <v>777</v>
      </c>
      <c r="B2" s="329"/>
      <c r="C2" s="329"/>
      <c r="D2" s="329"/>
      <c r="E2" s="329"/>
      <c r="F2" s="329"/>
      <c r="G2" s="329"/>
      <c r="H2" s="329"/>
    </row>
    <row r="3" spans="1:8">
      <c r="A3" s="63"/>
      <c r="B3" s="63"/>
      <c r="C3" s="63"/>
      <c r="D3" s="63"/>
      <c r="E3" s="63"/>
      <c r="F3" s="63"/>
      <c r="G3" s="63"/>
      <c r="H3" s="63"/>
    </row>
    <row r="4" spans="1:8" ht="29.25" customHeight="1">
      <c r="A4" s="326" t="s">
        <v>778</v>
      </c>
      <c r="B4" s="326"/>
      <c r="C4" s="326"/>
      <c r="D4" s="326"/>
      <c r="E4" s="63"/>
      <c r="F4" s="63"/>
      <c r="G4" s="63"/>
      <c r="H4" s="63"/>
    </row>
    <row r="5" spans="1:8">
      <c r="A5" s="64" t="s">
        <v>779</v>
      </c>
      <c r="B5" s="65">
        <f>'Global Pricing Config'!$B$11</f>
        <v>1</v>
      </c>
      <c r="C5" s="66" t="s">
        <v>780</v>
      </c>
      <c r="D5" s="67" t="s">
        <v>781</v>
      </c>
      <c r="E5" s="63"/>
      <c r="F5" s="63"/>
      <c r="G5" s="63"/>
      <c r="H5" s="63"/>
    </row>
    <row r="6" spans="1:8" ht="30">
      <c r="A6" s="68" t="s">
        <v>739</v>
      </c>
      <c r="B6" s="69">
        <f>'Global Pricing Config'!$B$12</f>
        <v>0.05</v>
      </c>
      <c r="C6" s="70" t="s">
        <v>782</v>
      </c>
      <c r="D6" s="71" t="str">
        <f>"Founder-configurable. Current setting = "&amp;ROUND(B6*100/B7,2)&amp;" NivrāaCredits per ₹100 eligible spend."</f>
        <v>Founder-configurable. Current setting = 5 NivrāaCredits per ₹100 eligible spend.</v>
      </c>
      <c r="E6" s="63"/>
      <c r="F6" s="63"/>
      <c r="G6" s="63"/>
      <c r="H6" s="63"/>
    </row>
    <row r="7" spans="1:8">
      <c r="A7" s="68" t="s">
        <v>783</v>
      </c>
      <c r="B7" s="102">
        <f>'Global Pricing Config'!$B$13</f>
        <v>1</v>
      </c>
      <c r="C7" s="70" t="s">
        <v>784</v>
      </c>
      <c r="D7" s="71" t="s">
        <v>785</v>
      </c>
      <c r="E7" s="63"/>
      <c r="F7" s="63"/>
      <c r="G7" s="63"/>
      <c r="H7" s="63"/>
    </row>
    <row r="8" spans="1:8">
      <c r="A8" s="68" t="s">
        <v>786</v>
      </c>
      <c r="B8" s="69">
        <f>'Global Pricing Config'!$B$16</f>
        <v>0.7</v>
      </c>
      <c r="C8" s="70" t="s">
        <v>787</v>
      </c>
      <c r="D8" s="71" t="s">
        <v>788</v>
      </c>
      <c r="E8" s="63"/>
      <c r="F8" s="63"/>
      <c r="G8" s="63"/>
      <c r="H8" s="63"/>
    </row>
    <row r="9" spans="1:8">
      <c r="A9" s="68" t="s">
        <v>789</v>
      </c>
      <c r="B9" s="69">
        <f>'Global Pricing Config'!$B$14</f>
        <v>0.2</v>
      </c>
      <c r="C9" s="70" t="s">
        <v>790</v>
      </c>
      <c r="D9" s="71" t="s">
        <v>791</v>
      </c>
      <c r="E9" s="63"/>
      <c r="F9" s="63"/>
      <c r="G9" s="63"/>
      <c r="H9" s="63"/>
    </row>
    <row r="10" spans="1:8">
      <c r="A10" s="68" t="s">
        <v>792</v>
      </c>
      <c r="B10" s="72">
        <f>'Global Pricing Config'!$B$15</f>
        <v>180</v>
      </c>
      <c r="C10" s="70" t="s">
        <v>639</v>
      </c>
      <c r="D10" s="71" t="s">
        <v>793</v>
      </c>
      <c r="E10" s="63"/>
      <c r="F10" s="63"/>
      <c r="G10" s="63"/>
      <c r="H10" s="63"/>
    </row>
    <row r="11" spans="1:8">
      <c r="A11" s="68" t="s">
        <v>794</v>
      </c>
      <c r="B11" s="72">
        <v>0</v>
      </c>
      <c r="C11" s="70" t="s">
        <v>795</v>
      </c>
      <c r="D11" s="71" t="s">
        <v>796</v>
      </c>
      <c r="E11" s="63"/>
      <c r="F11" s="63"/>
      <c r="G11" s="63"/>
      <c r="H11" s="63"/>
    </row>
    <row r="12" spans="1:8">
      <c r="A12" s="68" t="s">
        <v>797</v>
      </c>
      <c r="B12" s="72">
        <v>0</v>
      </c>
      <c r="C12" s="70" t="s">
        <v>798</v>
      </c>
      <c r="D12" s="71" t="s">
        <v>796</v>
      </c>
      <c r="E12" s="63"/>
      <c r="F12" s="63"/>
      <c r="G12" s="63"/>
      <c r="H12" s="63"/>
    </row>
    <row r="13" spans="1:8" ht="30">
      <c r="A13" s="68" t="s">
        <v>799</v>
      </c>
      <c r="B13" s="69">
        <v>1</v>
      </c>
      <c r="C13" s="70" t="s">
        <v>800</v>
      </c>
      <c r="D13" s="71" t="s">
        <v>801</v>
      </c>
      <c r="E13" s="63"/>
      <c r="F13" s="63"/>
      <c r="G13" s="63"/>
      <c r="H13" s="63"/>
    </row>
    <row r="14" spans="1:8" ht="30">
      <c r="A14" s="68" t="s">
        <v>802</v>
      </c>
      <c r="B14" s="73" t="s">
        <v>803</v>
      </c>
      <c r="C14" s="70" t="s">
        <v>804</v>
      </c>
      <c r="D14" s="71" t="s">
        <v>805</v>
      </c>
      <c r="E14" s="63"/>
      <c r="F14" s="63"/>
      <c r="G14" s="63"/>
      <c r="H14" s="63"/>
    </row>
    <row r="15" spans="1:8" ht="30">
      <c r="A15" s="68" t="s">
        <v>806</v>
      </c>
      <c r="B15" s="74">
        <f>B5*B6*B8*B13*(1+'Global Inputs'!$B$7)</f>
        <v>4.1299999999999996E-2</v>
      </c>
      <c r="C15" s="70" t="s">
        <v>807</v>
      </c>
      <c r="D15" s="71" t="s">
        <v>808</v>
      </c>
      <c r="E15" s="63"/>
      <c r="F15" s="63"/>
      <c r="G15" s="63"/>
      <c r="H15" s="63"/>
    </row>
    <row r="16" spans="1:8" ht="30">
      <c r="A16" s="75" t="s">
        <v>809</v>
      </c>
      <c r="B16" s="76">
        <f>B5*B6*B13*(1+'Global Inputs'!$B$7)</f>
        <v>5.8999999999999997E-2</v>
      </c>
      <c r="C16" s="77" t="s">
        <v>810</v>
      </c>
      <c r="D16" s="78" t="s">
        <v>811</v>
      </c>
      <c r="E16" s="63"/>
      <c r="F16" s="63"/>
      <c r="G16" s="63"/>
      <c r="H16" s="63"/>
    </row>
    <row r="17" spans="1:8">
      <c r="A17" s="63"/>
      <c r="B17" s="63"/>
      <c r="C17" s="63"/>
      <c r="D17" s="63"/>
      <c r="E17" s="63"/>
      <c r="F17" s="63"/>
      <c r="G17" s="63"/>
      <c r="H17" s="63"/>
    </row>
    <row r="18" spans="1:8" ht="29.25" customHeight="1">
      <c r="A18" s="326" t="s">
        <v>812</v>
      </c>
      <c r="B18" s="326"/>
      <c r="C18" s="326"/>
      <c r="D18" s="326"/>
      <c r="E18" s="63"/>
      <c r="F18" s="63"/>
      <c r="G18" s="63"/>
      <c r="H18" s="63"/>
    </row>
    <row r="19" spans="1:8">
      <c r="A19" s="64" t="s">
        <v>813</v>
      </c>
      <c r="B19" s="79" t="e">
        <f>'Growth &amp; Pricing Strategy'!$AB$5</f>
        <v>#REF!</v>
      </c>
      <c r="C19" s="66" t="s">
        <v>20</v>
      </c>
      <c r="D19" s="67" t="s">
        <v>814</v>
      </c>
      <c r="E19" s="63"/>
      <c r="F19" s="63"/>
      <c r="G19" s="63"/>
      <c r="H19" s="63"/>
    </row>
    <row r="20" spans="1:8" ht="30">
      <c r="A20" s="68" t="s">
        <v>815</v>
      </c>
      <c r="B20" s="80" t="e">
        <f>$B$19*$B$13</f>
        <v>#REF!</v>
      </c>
      <c r="C20" s="70" t="s">
        <v>20</v>
      </c>
      <c r="D20" s="71" t="s">
        <v>816</v>
      </c>
      <c r="E20" s="63"/>
      <c r="F20" s="63"/>
      <c r="G20" s="63"/>
      <c r="H20" s="63"/>
    </row>
    <row r="21" spans="1:8">
      <c r="A21" s="68" t="s">
        <v>817</v>
      </c>
      <c r="B21" s="81" t="e">
        <f>IF($B$7=0,0,$B$5*$B$20*$B$6/$B$7)</f>
        <v>#REF!</v>
      </c>
      <c r="C21" s="70" t="s">
        <v>818</v>
      </c>
      <c r="D21" s="71" t="s">
        <v>819</v>
      </c>
      <c r="E21" s="63"/>
      <c r="F21" s="63"/>
      <c r="G21" s="63"/>
      <c r="H21" s="63"/>
    </row>
    <row r="22" spans="1:8">
      <c r="A22" s="68" t="s">
        <v>820</v>
      </c>
      <c r="B22" s="80" t="e">
        <f>$B$21*$B$7</f>
        <v>#REF!</v>
      </c>
      <c r="C22" s="70" t="s">
        <v>20</v>
      </c>
      <c r="D22" s="71" t="s">
        <v>821</v>
      </c>
      <c r="E22" s="63"/>
      <c r="F22" s="63"/>
      <c r="G22" s="63"/>
      <c r="H22" s="63"/>
    </row>
    <row r="23" spans="1:8">
      <c r="A23" s="88" t="s">
        <v>822</v>
      </c>
      <c r="B23" s="89" t="e">
        <f>$B$22*$B$8</f>
        <v>#REF!</v>
      </c>
      <c r="C23" s="90" t="s">
        <v>20</v>
      </c>
      <c r="D23" s="91" t="s">
        <v>823</v>
      </c>
      <c r="E23" s="63"/>
      <c r="F23" s="63"/>
      <c r="G23" s="63"/>
      <c r="H23" s="63"/>
    </row>
    <row r="24" spans="1:8">
      <c r="A24" s="88" t="s">
        <v>824</v>
      </c>
      <c r="B24" s="89" t="e">
        <f>'Growth &amp; Pricing Strategy'!$AB$11+$B$23</f>
        <v>#REF!</v>
      </c>
      <c r="C24" s="90" t="s">
        <v>20</v>
      </c>
      <c r="D24" s="91" t="s">
        <v>825</v>
      </c>
      <c r="E24" s="63"/>
      <c r="F24" s="63"/>
      <c r="G24" s="63"/>
      <c r="H24" s="63"/>
    </row>
    <row r="25" spans="1:8">
      <c r="A25" s="92" t="s">
        <v>826</v>
      </c>
      <c r="B25" s="93" t="e">
        <f>'Growth &amp; Pricing Strategy'!$AB$11</f>
        <v>#REF!</v>
      </c>
      <c r="C25" s="90" t="s">
        <v>20</v>
      </c>
      <c r="D25" s="91" t="s">
        <v>827</v>
      </c>
      <c r="E25" s="63"/>
      <c r="F25" s="63"/>
      <c r="G25" s="63"/>
      <c r="H25" s="63"/>
    </row>
    <row r="26" spans="1:8">
      <c r="A26" s="88" t="s">
        <v>741</v>
      </c>
      <c r="B26" s="89" t="e">
        <f>'Growth &amp; Pricing Strategy'!$AB$16*$B$23</f>
        <v>#REF!</v>
      </c>
      <c r="C26" s="90" t="s">
        <v>644</v>
      </c>
      <c r="D26" s="91" t="s">
        <v>828</v>
      </c>
      <c r="E26" s="63"/>
      <c r="F26" s="63"/>
      <c r="G26" s="63"/>
      <c r="H26" s="63"/>
    </row>
    <row r="27" spans="1:8">
      <c r="A27" s="88" t="s">
        <v>829</v>
      </c>
      <c r="B27" s="89" t="e">
        <f>'Growth &amp; Pricing Strategy'!$AB$16*$B$22</f>
        <v>#REF!</v>
      </c>
      <c r="C27" s="90" t="s">
        <v>644</v>
      </c>
      <c r="D27" s="91" t="s">
        <v>830</v>
      </c>
      <c r="E27" s="63"/>
      <c r="F27" s="63"/>
      <c r="G27" s="63"/>
      <c r="H27" s="63"/>
    </row>
    <row r="28" spans="1:8">
      <c r="A28" s="92" t="s">
        <v>831</v>
      </c>
      <c r="B28" s="93" t="e">
        <f>'Growth &amp; Pricing Strategy'!$AB$19</f>
        <v>#REF!</v>
      </c>
      <c r="C28" s="90" t="s">
        <v>644</v>
      </c>
      <c r="D28" s="91" t="s">
        <v>832</v>
      </c>
      <c r="E28" s="63"/>
      <c r="F28" s="63"/>
      <c r="G28" s="63"/>
      <c r="H28" s="63"/>
    </row>
    <row r="29" spans="1:8">
      <c r="A29" s="88" t="s">
        <v>833</v>
      </c>
      <c r="B29" s="103" t="e">
        <f>'Growth &amp; Pricing Strategy'!$AB$21</f>
        <v>#REF!</v>
      </c>
      <c r="C29" s="90" t="s">
        <v>834</v>
      </c>
      <c r="D29" s="91" t="s">
        <v>835</v>
      </c>
      <c r="E29" s="63"/>
      <c r="F29" s="63"/>
      <c r="G29" s="63"/>
      <c r="H29" s="63"/>
    </row>
    <row r="30" spans="1:8">
      <c r="A30" s="75" t="s">
        <v>836</v>
      </c>
      <c r="B30" s="82" t="e">
        <f>IF($B$24=0,0,$B$23/$B$24)</f>
        <v>#REF!</v>
      </c>
      <c r="C30" s="77" t="s">
        <v>11</v>
      </c>
      <c r="D30" s="78" t="s">
        <v>837</v>
      </c>
      <c r="E30" s="63"/>
      <c r="F30" s="63"/>
      <c r="G30" s="63"/>
      <c r="H30" s="63"/>
    </row>
    <row r="31" spans="1:8">
      <c r="A31" s="63"/>
      <c r="B31" s="63"/>
      <c r="C31" s="63"/>
      <c r="D31" s="63"/>
      <c r="E31" s="63"/>
      <c r="F31" s="63"/>
      <c r="G31" s="63"/>
      <c r="H31" s="63"/>
    </row>
    <row r="32" spans="1:8">
      <c r="A32" s="63"/>
      <c r="B32" s="63"/>
      <c r="C32" s="63"/>
      <c r="D32" s="63"/>
      <c r="E32" s="63"/>
      <c r="F32" s="63"/>
      <c r="G32" s="63"/>
      <c r="H32" s="63"/>
    </row>
    <row r="33" spans="1:8" ht="29.25" customHeight="1">
      <c r="A33" s="326" t="s">
        <v>838</v>
      </c>
      <c r="B33" s="326"/>
      <c r="C33" s="326"/>
      <c r="D33" s="326"/>
      <c r="E33" s="63"/>
      <c r="F33" s="63"/>
      <c r="G33" s="63"/>
      <c r="H33" s="63"/>
    </row>
    <row r="34" spans="1:8">
      <c r="A34" s="64" t="s">
        <v>839</v>
      </c>
      <c r="B34" s="83">
        <v>1694</v>
      </c>
      <c r="C34" s="66" t="s">
        <v>575</v>
      </c>
      <c r="D34" s="67" t="s">
        <v>840</v>
      </c>
      <c r="E34" s="63"/>
      <c r="F34" s="63"/>
      <c r="G34" s="63"/>
      <c r="H34" s="63"/>
    </row>
    <row r="35" spans="1:8">
      <c r="A35" s="68" t="s">
        <v>841</v>
      </c>
      <c r="B35" s="84">
        <f>FLOOR(IF($B$7=0,0,$B$34*$B$6/$B$7),1)</f>
        <v>84</v>
      </c>
      <c r="C35" s="70" t="s">
        <v>818</v>
      </c>
      <c r="D35" s="71" t="s">
        <v>842</v>
      </c>
      <c r="E35" s="63"/>
      <c r="F35" s="63"/>
      <c r="G35" s="63"/>
      <c r="H35" s="63"/>
    </row>
    <row r="36" spans="1:8" ht="30">
      <c r="A36" s="68" t="s">
        <v>843</v>
      </c>
      <c r="B36" s="84">
        <f>FLOOR(IF($B$7=0,0,$B$34*$B$9/$B$7),1)</f>
        <v>338</v>
      </c>
      <c r="C36" s="70" t="s">
        <v>818</v>
      </c>
      <c r="D36" s="71" t="s">
        <v>844</v>
      </c>
      <c r="E36" s="63"/>
      <c r="F36" s="63"/>
      <c r="G36" s="63"/>
      <c r="H36" s="63"/>
    </row>
    <row r="37" spans="1:8">
      <c r="A37" s="68" t="s">
        <v>845</v>
      </c>
      <c r="B37" s="85">
        <f>$B$35*$B$7*$B$8</f>
        <v>58.8</v>
      </c>
      <c r="C37" s="70" t="s">
        <v>575</v>
      </c>
      <c r="D37" s="71" t="s">
        <v>846</v>
      </c>
      <c r="E37" s="63"/>
      <c r="F37" s="63"/>
      <c r="G37" s="63"/>
      <c r="H37" s="63"/>
    </row>
    <row r="38" spans="1:8">
      <c r="A38" s="75" t="s">
        <v>847</v>
      </c>
      <c r="B38" s="324" t="str">
        <f>"Earn "&amp;ROUND($B$6*100/$B$7,2)&amp;" NivrāaCredits per ₹100 eligible care-service spend • 1 NivrāaCredit = ₹"&amp;ROUND($B$7,2)&amp;" • redeem up to "&amp;TEXT($B$9,"0%")&amp;" of an eligible booking."</f>
        <v>Earn 5 NivrāaCredits per ₹100 eligible care-service spend • 1 NivrāaCredit = ₹1 • redeem up to 20% of an eligible booking.</v>
      </c>
      <c r="C38" s="324"/>
      <c r="D38" s="325" t="s">
        <v>848</v>
      </c>
      <c r="E38" s="63"/>
      <c r="F38" s="63"/>
      <c r="G38" s="63"/>
      <c r="H38" s="63"/>
    </row>
    <row r="39" spans="1:8">
      <c r="A39" s="63"/>
      <c r="B39" s="63"/>
      <c r="C39" s="63"/>
      <c r="D39" s="63"/>
      <c r="E39" s="63"/>
      <c r="F39" s="63"/>
      <c r="G39" s="63"/>
      <c r="H39" s="63"/>
    </row>
    <row r="40" spans="1:8">
      <c r="A40" s="63"/>
      <c r="B40" s="63"/>
      <c r="C40" s="63"/>
      <c r="D40" s="63"/>
      <c r="E40" s="63"/>
      <c r="F40" s="63"/>
      <c r="G40" s="63"/>
      <c r="H40" s="63"/>
    </row>
    <row r="41" spans="1:8" ht="29.25" customHeight="1">
      <c r="A41" s="326" t="s">
        <v>849</v>
      </c>
      <c r="B41" s="326"/>
      <c r="C41" s="326"/>
      <c r="D41" s="326"/>
      <c r="E41" s="326"/>
      <c r="F41" s="326"/>
      <c r="G41" s="326"/>
      <c r="H41" s="63"/>
    </row>
    <row r="42" spans="1:8" ht="40" customHeight="1">
      <c r="A42" s="59" t="s">
        <v>850</v>
      </c>
      <c r="B42" s="60" t="s">
        <v>851</v>
      </c>
      <c r="C42" s="61" t="s">
        <v>852</v>
      </c>
      <c r="D42" s="61" t="s">
        <v>853</v>
      </c>
      <c r="E42" s="61" t="s">
        <v>854</v>
      </c>
      <c r="F42" s="61" t="s">
        <v>202</v>
      </c>
      <c r="G42" s="62" t="s">
        <v>228</v>
      </c>
      <c r="H42" s="63"/>
    </row>
    <row r="43" spans="1:8">
      <c r="A43" s="208">
        <v>0.03</v>
      </c>
      <c r="B43" s="211">
        <f t="shared" ref="B43:B48" si="0">A43*100/$B$7</f>
        <v>3</v>
      </c>
      <c r="C43" s="214" t="e">
        <f t="shared" ref="C43:C48" si="1">$B$20*A43*$B$8*$B$5</f>
        <v>#REF!</v>
      </c>
      <c r="D43" s="214" t="e">
        <f t="shared" ref="D43:D48" si="2">$B$24-C43</f>
        <v>#REF!</v>
      </c>
      <c r="E43" s="214" t="e">
        <f>'Growth &amp; Pricing Strategy'!$AB$16*C43</f>
        <v>#REF!</v>
      </c>
      <c r="F43" s="214" t="e">
        <f>'Growth &amp; Pricing Strategy'!$AB$16*D43-'Growth &amp; Pricing Strategy'!$B$27</f>
        <v>#REF!</v>
      </c>
      <c r="G43" s="86" t="e">
        <f>IF(D43&lt;=0,0,'Growth &amp; Pricing Strategy'!$B$27/D43/'Growth &amp; Pricing Strategy'!$B$7)</f>
        <v>#REF!</v>
      </c>
      <c r="H43" s="63"/>
    </row>
    <row r="44" spans="1:8">
      <c r="A44" s="208">
        <v>0.05</v>
      </c>
      <c r="B44" s="211">
        <f t="shared" si="0"/>
        <v>5</v>
      </c>
      <c r="C44" s="214" t="e">
        <f t="shared" si="1"/>
        <v>#REF!</v>
      </c>
      <c r="D44" s="214" t="e">
        <f t="shared" si="2"/>
        <v>#REF!</v>
      </c>
      <c r="E44" s="214" t="e">
        <f>'Growth &amp; Pricing Strategy'!$AB$16*C44</f>
        <v>#REF!</v>
      </c>
      <c r="F44" s="214" t="e">
        <f>'Growth &amp; Pricing Strategy'!$AB$16*D44-'Growth &amp; Pricing Strategy'!$B$27</f>
        <v>#REF!</v>
      </c>
      <c r="G44" s="86" t="e">
        <f>IF(D44&lt;=0,0,'Growth &amp; Pricing Strategy'!$B$27/D44/'Growth &amp; Pricing Strategy'!$B$7)</f>
        <v>#REF!</v>
      </c>
      <c r="H44" s="63"/>
    </row>
    <row r="45" spans="1:8">
      <c r="A45" s="208">
        <v>7.0000000000000007E-2</v>
      </c>
      <c r="B45" s="211">
        <f t="shared" si="0"/>
        <v>7.0000000000000009</v>
      </c>
      <c r="C45" s="214" t="e">
        <f t="shared" si="1"/>
        <v>#REF!</v>
      </c>
      <c r="D45" s="214" t="e">
        <f t="shared" si="2"/>
        <v>#REF!</v>
      </c>
      <c r="E45" s="214" t="e">
        <f>'Growth &amp; Pricing Strategy'!$AB$16*C45</f>
        <v>#REF!</v>
      </c>
      <c r="F45" s="214" t="e">
        <f>'Growth &amp; Pricing Strategy'!$AB$16*D45-'Growth &amp; Pricing Strategy'!$B$27</f>
        <v>#REF!</v>
      </c>
      <c r="G45" s="86" t="e">
        <f>IF(D45&lt;=0,0,'Growth &amp; Pricing Strategy'!$B$27/D45/'Growth &amp; Pricing Strategy'!$B$7)</f>
        <v>#REF!</v>
      </c>
      <c r="H45" s="63"/>
    </row>
    <row r="46" spans="1:8">
      <c r="A46" s="209">
        <v>0.1</v>
      </c>
      <c r="B46" s="212">
        <f t="shared" si="0"/>
        <v>10</v>
      </c>
      <c r="C46" s="215" t="e">
        <f t="shared" si="1"/>
        <v>#REF!</v>
      </c>
      <c r="D46" s="215" t="e">
        <f t="shared" si="2"/>
        <v>#REF!</v>
      </c>
      <c r="E46" s="215" t="e">
        <f>'Growth &amp; Pricing Strategy'!$AB$16*C46</f>
        <v>#REF!</v>
      </c>
      <c r="F46" s="215" t="e">
        <f>'Growth &amp; Pricing Strategy'!$AB$16*D46-'Growth &amp; Pricing Strategy'!$B$27</f>
        <v>#REF!</v>
      </c>
      <c r="G46" s="87" t="e">
        <f>IF(D46&lt;=0,0,'Growth &amp; Pricing Strategy'!$B$27/D46/'Growth &amp; Pricing Strategy'!$B$7)</f>
        <v>#REF!</v>
      </c>
      <c r="H46" s="63"/>
    </row>
    <row r="47" spans="1:8">
      <c r="A47" s="210">
        <v>0.12</v>
      </c>
      <c r="B47" s="213">
        <f t="shared" si="0"/>
        <v>12</v>
      </c>
      <c r="C47" s="216" t="e">
        <f t="shared" si="1"/>
        <v>#REF!</v>
      </c>
      <c r="D47" s="216" t="e">
        <f t="shared" si="2"/>
        <v>#REF!</v>
      </c>
      <c r="E47" s="216" t="e">
        <f>'Growth &amp; Pricing Strategy'!$AB$16*C47</f>
        <v>#REF!</v>
      </c>
      <c r="F47" s="216" t="e">
        <f>'Growth &amp; Pricing Strategy'!$AB$16*D47-'Growth &amp; Pricing Strategy'!$B$27</f>
        <v>#REF!</v>
      </c>
      <c r="G47" s="217" t="e">
        <f>IF(D47&lt;=0,0,'Growth &amp; Pricing Strategy'!$B$27/D47/'Growth &amp; Pricing Strategy'!$B$7)</f>
        <v>#REF!</v>
      </c>
      <c r="H47" s="63"/>
    </row>
    <row r="48" spans="1:8">
      <c r="A48" s="210">
        <v>0.15</v>
      </c>
      <c r="B48" s="213">
        <f t="shared" si="0"/>
        <v>15</v>
      </c>
      <c r="C48" s="216" t="e">
        <f t="shared" si="1"/>
        <v>#REF!</v>
      </c>
      <c r="D48" s="216" t="e">
        <f t="shared" si="2"/>
        <v>#REF!</v>
      </c>
      <c r="E48" s="216" t="e">
        <f>'Growth &amp; Pricing Strategy'!$AB$16*C48</f>
        <v>#REF!</v>
      </c>
      <c r="F48" s="216" t="e">
        <f>'Growth &amp; Pricing Strategy'!$AB$16*D48-'Growth &amp; Pricing Strategy'!$B$27</f>
        <v>#REF!</v>
      </c>
      <c r="G48" s="217" t="e">
        <f>IF(D48&lt;=0,0,'Growth &amp; Pricing Strategy'!$B$27/D48/'Growth &amp; Pricing Strategy'!$B$7)</f>
        <v>#REF!</v>
      </c>
      <c r="H48" s="63"/>
    </row>
    <row r="49" spans="1:8" ht="45.25" customHeight="1">
      <c r="A49" s="327" t="s">
        <v>855</v>
      </c>
      <c r="B49" s="327"/>
      <c r="C49" s="327"/>
      <c r="D49" s="327"/>
      <c r="E49" s="327"/>
      <c r="F49" s="327"/>
      <c r="G49" s="327"/>
      <c r="H49" s="63"/>
    </row>
    <row r="50" spans="1:8">
      <c r="A50" s="63"/>
      <c r="B50" s="63"/>
      <c r="C50" s="63"/>
      <c r="D50" s="63"/>
      <c r="E50" s="63"/>
      <c r="F50" s="63"/>
      <c r="G50" s="63"/>
      <c r="H50" s="63"/>
    </row>
    <row r="51" spans="1:8">
      <c r="A51" s="63"/>
      <c r="B51" s="63"/>
      <c r="C51" s="63"/>
      <c r="D51" s="63"/>
      <c r="E51" s="63"/>
      <c r="F51" s="63"/>
      <c r="G51" s="63"/>
      <c r="H51" s="63"/>
    </row>
    <row r="52" spans="1:8">
      <c r="A52" s="63"/>
      <c r="B52" s="63"/>
      <c r="C52" s="63"/>
      <c r="D52" s="63"/>
      <c r="E52" s="63"/>
      <c r="F52" s="63"/>
      <c r="G52" s="63"/>
      <c r="H52" s="63"/>
    </row>
    <row r="53" spans="1:8">
      <c r="A53" s="63"/>
      <c r="B53" s="63"/>
      <c r="C53" s="63"/>
      <c r="D53" s="63"/>
      <c r="E53" s="63"/>
      <c r="F53" s="63"/>
      <c r="G53" s="63"/>
      <c r="H53" s="63"/>
    </row>
    <row r="54" spans="1:8">
      <c r="A54" s="63"/>
      <c r="B54" s="63"/>
      <c r="C54" s="63"/>
      <c r="D54" s="63"/>
      <c r="E54" s="63"/>
      <c r="F54" s="63"/>
      <c r="G54" s="63"/>
      <c r="H54" s="63"/>
    </row>
    <row r="55" spans="1:8">
      <c r="A55" s="63"/>
      <c r="B55" s="63"/>
      <c r="C55" s="63"/>
      <c r="D55" s="63"/>
      <c r="E55" s="63"/>
      <c r="F55" s="63"/>
      <c r="G55" s="63"/>
      <c r="H55" s="63"/>
    </row>
    <row r="56" spans="1:8">
      <c r="A56" s="63"/>
      <c r="B56" s="63"/>
      <c r="C56" s="63"/>
      <c r="D56" s="63"/>
      <c r="E56" s="63"/>
      <c r="F56" s="63"/>
      <c r="G56" s="63"/>
      <c r="H56" s="63"/>
    </row>
    <row r="57" spans="1:8">
      <c r="A57" s="63"/>
      <c r="B57" s="63"/>
      <c r="C57" s="63"/>
      <c r="D57" s="63"/>
      <c r="E57" s="63"/>
      <c r="F57" s="63"/>
      <c r="G57" s="63"/>
      <c r="H57" s="63"/>
    </row>
    <row r="58" spans="1:8">
      <c r="A58" s="63"/>
      <c r="B58" s="63"/>
      <c r="C58" s="63"/>
      <c r="D58" s="63"/>
      <c r="E58" s="63"/>
      <c r="F58" s="63"/>
      <c r="G58" s="63"/>
      <c r="H58" s="63"/>
    </row>
    <row r="59" spans="1:8">
      <c r="A59" s="63"/>
      <c r="B59" s="63"/>
      <c r="C59" s="63"/>
      <c r="D59" s="63"/>
      <c r="E59" s="63"/>
      <c r="F59" s="63"/>
      <c r="G59" s="63"/>
      <c r="H59" s="63"/>
    </row>
    <row r="60" spans="1:8">
      <c r="A60" s="63"/>
      <c r="B60" s="63"/>
      <c r="C60" s="63"/>
      <c r="D60" s="63"/>
      <c r="E60" s="63"/>
      <c r="F60" s="63"/>
      <c r="G60" s="63"/>
      <c r="H60" s="63"/>
    </row>
  </sheetData>
  <mergeCells count="8">
    <mergeCell ref="B38:D38"/>
    <mergeCell ref="A41:G41"/>
    <mergeCell ref="A49:G49"/>
    <mergeCell ref="A1:H1"/>
    <mergeCell ref="A2:H2"/>
    <mergeCell ref="A4:D4"/>
    <mergeCell ref="A18:D18"/>
    <mergeCell ref="A33:D33"/>
  </mergeCells>
  <conditionalFormatting sqref="A43:G48">
    <cfRule type="expression" dxfId="27" priority="1">
      <formula>ABS($A43-$B$6)&lt;0.000001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39"/>
  <sheetViews>
    <sheetView showGridLines="0" workbookViewId="0">
      <selection sqref="A1:S1"/>
    </sheetView>
  </sheetViews>
  <sheetFormatPr baseColWidth="10" defaultColWidth="8.83203125" defaultRowHeight="15"/>
  <cols>
    <col min="1" max="1" width="28" customWidth="1"/>
    <col min="2" max="2" width="14" customWidth="1"/>
    <col min="3" max="3" width="18" customWidth="1"/>
    <col min="4" max="4" width="44" customWidth="1"/>
    <col min="5" max="5" width="18" customWidth="1"/>
    <col min="6" max="6" width="16" customWidth="1"/>
    <col min="7" max="7" width="18" customWidth="1"/>
    <col min="8" max="8" width="16" customWidth="1"/>
    <col min="9" max="9" width="18" customWidth="1"/>
    <col min="10" max="11" width="15" customWidth="1"/>
    <col min="12" max="12" width="17" customWidth="1"/>
    <col min="13" max="13" width="16" customWidth="1"/>
    <col min="14" max="14" width="17" customWidth="1"/>
    <col min="15" max="15" width="20" customWidth="1"/>
    <col min="16" max="17" width="18" customWidth="1"/>
    <col min="18" max="18" width="14" customWidth="1"/>
    <col min="19" max="19" width="20" customWidth="1"/>
    <col min="21" max="21" width="34" customWidth="1"/>
    <col min="22" max="24" width="15" customWidth="1"/>
    <col min="25" max="26" width="18" customWidth="1"/>
    <col min="27" max="28" width="19" customWidth="1"/>
    <col min="29" max="29" width="18" customWidth="1"/>
    <col min="30" max="30" width="16" customWidth="1"/>
    <col min="31" max="31" width="22" customWidth="1"/>
  </cols>
  <sheetData>
    <row r="1" spans="1:31" ht="26" customHeight="1">
      <c r="A1" s="330" t="s">
        <v>856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</row>
    <row r="2" spans="1:31" ht="34" customHeight="1">
      <c r="A2" s="331" t="s">
        <v>857</v>
      </c>
      <c r="B2" s="331"/>
      <c r="C2" s="331"/>
      <c r="D2" s="331"/>
      <c r="E2" s="331"/>
      <c r="F2" s="331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</row>
    <row r="4" spans="1:31">
      <c r="A4" s="332" t="s">
        <v>858</v>
      </c>
      <c r="B4" s="332"/>
      <c r="C4" s="332"/>
      <c r="D4" s="332"/>
      <c r="F4" s="333" t="s">
        <v>859</v>
      </c>
      <c r="G4" s="333"/>
      <c r="H4" s="333"/>
      <c r="I4" s="333"/>
      <c r="J4" s="333"/>
      <c r="U4" s="332" t="s">
        <v>860</v>
      </c>
      <c r="V4" s="332"/>
      <c r="W4" s="332"/>
      <c r="X4" s="332"/>
      <c r="Y4" s="332"/>
      <c r="Z4" s="332"/>
      <c r="AA4" s="332"/>
      <c r="AB4" s="332"/>
      <c r="AC4" s="332"/>
      <c r="AD4" s="332"/>
      <c r="AE4" s="332"/>
    </row>
    <row r="5" spans="1:31" ht="16">
      <c r="A5" s="1" t="s">
        <v>170</v>
      </c>
      <c r="B5" s="108">
        <f>'Global Pricing Config'!$B$6</f>
        <v>2</v>
      </c>
      <c r="C5" s="1" t="s">
        <v>36</v>
      </c>
      <c r="D5" s="1" t="s">
        <v>861</v>
      </c>
      <c r="F5" s="334" t="str">
        <f>IF(B10=0,"Angel cost/hour is currently ₹0. Ensure all Angel payroll salaries are included in monthly fixed costs; otherwise profitability will be overstated.","Angel cost/hour is variable in the current model.")</f>
        <v>Angel cost/hour is currently ₹0. Ensure all Angel payroll salaries are included in monthly fixed costs; otherwise profitability will be overstated.</v>
      </c>
      <c r="G5" s="334"/>
      <c r="H5" s="334"/>
      <c r="I5" s="334"/>
      <c r="J5" s="334"/>
      <c r="U5" s="336" t="s">
        <v>862</v>
      </c>
      <c r="V5" s="336"/>
      <c r="W5" s="336"/>
      <c r="X5" s="336"/>
      <c r="Y5" s="336"/>
      <c r="Z5" s="336"/>
      <c r="AA5" s="336"/>
      <c r="AB5" s="336"/>
      <c r="AC5" s="336"/>
      <c r="AD5" s="336"/>
      <c r="AE5" s="336"/>
    </row>
    <row r="6" spans="1:31" ht="32">
      <c r="A6" s="1" t="s">
        <v>863</v>
      </c>
      <c r="B6" s="108">
        <v>4</v>
      </c>
      <c r="C6" s="1" t="s">
        <v>36</v>
      </c>
      <c r="D6" s="1" t="s">
        <v>864</v>
      </c>
      <c r="F6" s="334"/>
      <c r="G6" s="334"/>
      <c r="H6" s="334"/>
      <c r="I6" s="334"/>
      <c r="J6" s="334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</row>
    <row r="7" spans="1:31" ht="16">
      <c r="A7" s="1" t="s">
        <v>755</v>
      </c>
      <c r="B7" s="106">
        <f>'Global Pricing Config'!$B$5</f>
        <v>299</v>
      </c>
      <c r="C7" s="1" t="s">
        <v>5</v>
      </c>
      <c r="D7" s="1" t="s">
        <v>861</v>
      </c>
      <c r="F7" s="334"/>
      <c r="G7" s="334"/>
      <c r="H7" s="334"/>
      <c r="I7" s="334"/>
      <c r="J7" s="334"/>
      <c r="U7" s="336"/>
      <c r="V7" s="336"/>
      <c r="W7" s="336"/>
      <c r="X7" s="336"/>
      <c r="Y7" s="336"/>
      <c r="Z7" s="336"/>
      <c r="AA7" s="336"/>
      <c r="AB7" s="336"/>
      <c r="AC7" s="336"/>
      <c r="AD7" s="336"/>
      <c r="AE7" s="336"/>
    </row>
    <row r="8" spans="1:31" ht="32">
      <c r="A8" s="191" t="s">
        <v>628</v>
      </c>
      <c r="B8" s="195">
        <v>269</v>
      </c>
      <c r="C8" s="191" t="s">
        <v>5</v>
      </c>
      <c r="D8" s="191" t="s">
        <v>865</v>
      </c>
      <c r="F8" s="334"/>
      <c r="G8" s="334"/>
      <c r="H8" s="334"/>
      <c r="I8" s="334"/>
      <c r="J8" s="334"/>
      <c r="U8" s="336"/>
      <c r="V8" s="336"/>
      <c r="W8" s="336"/>
      <c r="X8" s="336"/>
      <c r="Y8" s="336"/>
      <c r="Z8" s="336"/>
      <c r="AA8" s="336"/>
      <c r="AB8" s="336"/>
      <c r="AC8" s="336"/>
      <c r="AD8" s="336"/>
      <c r="AE8" s="336"/>
    </row>
    <row r="9" spans="1:31" ht="32">
      <c r="A9" s="1" t="s">
        <v>866</v>
      </c>
      <c r="B9" s="106">
        <f>'Global Pricing Config'!$B$7</f>
        <v>199</v>
      </c>
      <c r="C9" s="1" t="s">
        <v>20</v>
      </c>
      <c r="D9" s="1" t="s">
        <v>867</v>
      </c>
      <c r="U9" s="336"/>
      <c r="V9" s="336"/>
      <c r="W9" s="336"/>
      <c r="X9" s="336"/>
      <c r="Y9" s="336"/>
      <c r="Z9" s="336"/>
      <c r="AA9" s="336"/>
      <c r="AB9" s="336"/>
      <c r="AC9" s="336"/>
      <c r="AD9" s="336"/>
      <c r="AE9" s="336"/>
    </row>
    <row r="10" spans="1:31" ht="16">
      <c r="A10" s="1" t="s">
        <v>169</v>
      </c>
      <c r="B10" s="11">
        <f>'Global Inputs'!$B$6</f>
        <v>0</v>
      </c>
      <c r="C10" s="1" t="s">
        <v>7</v>
      </c>
      <c r="D10" s="1" t="s">
        <v>868</v>
      </c>
    </row>
    <row r="11" spans="1:31" ht="16">
      <c r="A11" s="1" t="s">
        <v>10</v>
      </c>
      <c r="B11" s="36">
        <f>'Global Pricing Config'!$B$8</f>
        <v>0.18</v>
      </c>
      <c r="C11" s="1" t="s">
        <v>11</v>
      </c>
      <c r="D11" s="1" t="s">
        <v>869</v>
      </c>
    </row>
    <row r="12" spans="1:31" ht="16">
      <c r="A12" s="1" t="s">
        <v>870</v>
      </c>
      <c r="B12" s="36">
        <f>'Global Inputs'!$B$8</f>
        <v>0</v>
      </c>
      <c r="C12" s="1" t="s">
        <v>871</v>
      </c>
      <c r="D12" s="1" t="s">
        <v>868</v>
      </c>
      <c r="U12" s="332" t="s">
        <v>872</v>
      </c>
      <c r="V12" s="332"/>
      <c r="W12" s="332"/>
      <c r="X12" s="332"/>
      <c r="Y12" s="332"/>
      <c r="Z12" s="332"/>
      <c r="AA12" s="332"/>
      <c r="AB12" s="332"/>
      <c r="AC12" s="332"/>
      <c r="AD12" s="332"/>
      <c r="AE12" s="332"/>
    </row>
    <row r="13" spans="1:31" ht="32">
      <c r="A13" s="1" t="s">
        <v>248</v>
      </c>
      <c r="B13" s="107">
        <f>SUM('Global Inputs'!$B$10:$B$14)</f>
        <v>56.5</v>
      </c>
      <c r="C13" s="1" t="s">
        <v>20</v>
      </c>
      <c r="D13" s="1" t="s">
        <v>873</v>
      </c>
      <c r="U13" s="110" t="s">
        <v>748</v>
      </c>
      <c r="V13" s="110" t="s">
        <v>619</v>
      </c>
      <c r="W13" s="110" t="s">
        <v>749</v>
      </c>
      <c r="X13" s="110" t="s">
        <v>540</v>
      </c>
      <c r="Y13" s="110" t="s">
        <v>750</v>
      </c>
      <c r="Z13" s="110" t="s">
        <v>874</v>
      </c>
      <c r="AA13" s="110" t="s">
        <v>200</v>
      </c>
      <c r="AB13" s="110" t="s">
        <v>138</v>
      </c>
      <c r="AC13" s="110" t="s">
        <v>227</v>
      </c>
      <c r="AD13" s="110" t="s">
        <v>228</v>
      </c>
      <c r="AE13" s="110" t="s">
        <v>752</v>
      </c>
    </row>
    <row r="14" spans="1:31" ht="16">
      <c r="A14" s="1" t="s">
        <v>739</v>
      </c>
      <c r="B14" s="36">
        <f>'NC Credits'!$B$6</f>
        <v>0.05</v>
      </c>
      <c r="C14" s="1" t="s">
        <v>11</v>
      </c>
      <c r="D14" s="1" t="s">
        <v>875</v>
      </c>
      <c r="U14" t="s">
        <v>754</v>
      </c>
      <c r="V14" s="119">
        <v>249</v>
      </c>
      <c r="W14" s="119">
        <v>249</v>
      </c>
      <c r="X14" s="119">
        <v>199</v>
      </c>
      <c r="Y14" s="120">
        <v>0.5</v>
      </c>
      <c r="Z14" s="114" t="e">
        <f>$X14+MIN(MAX('Growth &amp; Pricing Strategy'!$B$11,$B$5),$B$6)*$V14+MAX(MAX('Growth &amp; Pricing Strategy'!$B$11,$B$5)-$B$6,0)*$W14</f>
        <v>#REF!</v>
      </c>
      <c r="AA14" s="114" t="e">
        <f>Z14/(1+$B$11)-'Growth &amp; Pricing Strategy'!$B$11*$B$10-($B$13+Z14*$B$12+(Z14/(1+$B$11))*$B$18)+$B$16*$B$17</f>
        <v>#REF!</v>
      </c>
      <c r="AB14" s="114" t="e">
        <f>IF('Growth &amp; Pricing Strategy'!$B$11=0,0,AA14/'Growth &amp; Pricing Strategy'!$B$11)</f>
        <v>#REF!</v>
      </c>
      <c r="AC14" s="117" t="e">
        <f>IF(AA14&lt;=0,0,'Growth &amp; Pricing Strategy'!$B$27/AA14)</f>
        <v>#REF!</v>
      </c>
      <c r="AD14" s="121" t="e">
        <f>IF($B$19=0,0,AC14/$B$19)</f>
        <v>#REF!</v>
      </c>
      <c r="AE14" s="114" t="e">
        <f>MIN('Growth &amp; Pricing Strategy'!$B$6*'Growth &amp; Pricing Strategy'!$B$7*$Y14*'Growth &amp; Pricing Strategy'!$B$14*(1-'Growth &amp; Pricing Strategy'!$B$12)*(1-'Growth &amp; Pricing Strategy'!$B$13),'Growth &amp; Pricing Strategy'!$B$8*'Growth &amp; Pricing Strategy'!$B$7*'Growth &amp; Pricing Strategy'!$B$9*'Growth &amp; Pricing Strategy'!$B$10/'Growth &amp; Pricing Strategy'!$B$11)*AA14-'Growth &amp; Pricing Strategy'!$B$27</f>
        <v>#REF!</v>
      </c>
    </row>
    <row r="15" spans="1:31" ht="16">
      <c r="A15" s="1" t="s">
        <v>876</v>
      </c>
      <c r="B15" s="36">
        <f>'NC Credits'!$B$8</f>
        <v>0.7</v>
      </c>
      <c r="C15" s="1" t="s">
        <v>11</v>
      </c>
      <c r="D15" s="1" t="s">
        <v>875</v>
      </c>
      <c r="U15" t="s">
        <v>756</v>
      </c>
      <c r="V15" s="119">
        <v>299</v>
      </c>
      <c r="W15" s="119">
        <v>299</v>
      </c>
      <c r="X15" s="119">
        <v>199</v>
      </c>
      <c r="Y15" s="120">
        <v>0.45</v>
      </c>
      <c r="Z15" s="114" t="e">
        <f>$X15+MIN(MAX('Growth &amp; Pricing Strategy'!$B$11,$B$5),$B$6)*$V15+MAX(MAX('Growth &amp; Pricing Strategy'!$B$11,$B$5)-$B$6,0)*$W15</f>
        <v>#REF!</v>
      </c>
      <c r="AA15" s="114" t="e">
        <f>Z15/(1+$B$11)-'Growth &amp; Pricing Strategy'!$B$11*$B$10-($B$13+Z15*$B$12+(Z15/(1+$B$11))*$B$18)+$B$16*$B$17</f>
        <v>#REF!</v>
      </c>
      <c r="AB15" s="114" t="e">
        <f>IF('Growth &amp; Pricing Strategy'!$B$11=0,0,AA15/'Growth &amp; Pricing Strategy'!$B$11)</f>
        <v>#REF!</v>
      </c>
      <c r="AC15" s="117" t="e">
        <f>IF(AA15&lt;=0,0,'Growth &amp; Pricing Strategy'!$B$27/AA15)</f>
        <v>#REF!</v>
      </c>
      <c r="AD15" s="121" t="e">
        <f>IF($B$19=0,0,AC15/$B$19)</f>
        <v>#REF!</v>
      </c>
      <c r="AE15" s="114" t="e">
        <f>MIN('Growth &amp; Pricing Strategy'!$B$6*'Growth &amp; Pricing Strategy'!$B$7*$Y15*'Growth &amp; Pricing Strategy'!$B$14*(1-'Growth &amp; Pricing Strategy'!$B$12)*(1-'Growth &amp; Pricing Strategy'!$B$13),'Growth &amp; Pricing Strategy'!$B$8*'Growth &amp; Pricing Strategy'!$B$7*'Growth &amp; Pricing Strategy'!$B$9*'Growth &amp; Pricing Strategy'!$B$10/'Growth &amp; Pricing Strategy'!$B$11)*AA15-'Growth &amp; Pricing Strategy'!$B$27</f>
        <v>#REF!</v>
      </c>
    </row>
    <row r="16" spans="1:31" ht="16">
      <c r="A16" s="1" t="s">
        <v>97</v>
      </c>
      <c r="B16" s="36">
        <f>'Growth &amp; Pricing Strategy'!$B$25</f>
        <v>0.6</v>
      </c>
      <c r="C16" s="1" t="s">
        <v>877</v>
      </c>
      <c r="D16" s="1" t="s">
        <v>878</v>
      </c>
      <c r="U16" t="s">
        <v>758</v>
      </c>
      <c r="V16" s="119">
        <v>349</v>
      </c>
      <c r="W16" s="119">
        <v>349</v>
      </c>
      <c r="X16" s="119">
        <v>199</v>
      </c>
      <c r="Y16" s="120">
        <v>0.4</v>
      </c>
      <c r="Z16" s="114" t="e">
        <f>$X16+MIN(MAX('Growth &amp; Pricing Strategy'!$B$11,$B$5),$B$6)*$V16+MAX(MAX('Growth &amp; Pricing Strategy'!$B$11,$B$5)-$B$6,0)*$W16</f>
        <v>#REF!</v>
      </c>
      <c r="AA16" s="114" t="e">
        <f>Z16/(1+$B$11)-'Growth &amp; Pricing Strategy'!$B$11*$B$10-($B$13+Z16*$B$12+(Z16/(1+$B$11))*$B$18)+$B$16*$B$17</f>
        <v>#REF!</v>
      </c>
      <c r="AB16" s="114" t="e">
        <f>IF('Growth &amp; Pricing Strategy'!$B$11=0,0,AA16/'Growth &amp; Pricing Strategy'!$B$11)</f>
        <v>#REF!</v>
      </c>
      <c r="AC16" s="117" t="e">
        <f>IF(AA16&lt;=0,0,'Growth &amp; Pricing Strategy'!$B$27/AA16)</f>
        <v>#REF!</v>
      </c>
      <c r="AD16" s="121" t="e">
        <f>IF($B$19=0,0,AC16/$B$19)</f>
        <v>#REF!</v>
      </c>
      <c r="AE16" s="114" t="e">
        <f>MIN('Growth &amp; Pricing Strategy'!$B$6*'Growth &amp; Pricing Strategy'!$B$7*$Y16*'Growth &amp; Pricing Strategy'!$B$14*(1-'Growth &amp; Pricing Strategy'!$B$12)*(1-'Growth &amp; Pricing Strategy'!$B$13),'Growth &amp; Pricing Strategy'!$B$8*'Growth &amp; Pricing Strategy'!$B$7*'Growth &amp; Pricing Strategy'!$B$9*'Growth &amp; Pricing Strategy'!$B$10/'Growth &amp; Pricing Strategy'!$B$11)*AA16-'Growth &amp; Pricing Strategy'!$B$27</f>
        <v>#REF!</v>
      </c>
    </row>
    <row r="17" spans="1:31" ht="32">
      <c r="A17" s="1" t="s">
        <v>287</v>
      </c>
      <c r="B17" s="107">
        <f>'Growth &amp; Pricing Strategy'!$B$26</f>
        <v>139</v>
      </c>
      <c r="C17" s="1" t="s">
        <v>879</v>
      </c>
      <c r="D17" s="1" t="s">
        <v>878</v>
      </c>
      <c r="U17" t="s">
        <v>760</v>
      </c>
      <c r="V17" s="119">
        <v>399</v>
      </c>
      <c r="W17" s="119">
        <v>399</v>
      </c>
      <c r="X17" s="119">
        <v>199</v>
      </c>
      <c r="Y17" s="120">
        <v>0.37</v>
      </c>
      <c r="Z17" s="114" t="e">
        <f>$X17+MIN(MAX('Growth &amp; Pricing Strategy'!$B$11,$B$5),$B$6)*$V17+MAX(MAX('Growth &amp; Pricing Strategy'!$B$11,$B$5)-$B$6,0)*$W17</f>
        <v>#REF!</v>
      </c>
      <c r="AA17" s="114" t="e">
        <f>Z17/(1+$B$11)-'Growth &amp; Pricing Strategy'!$B$11*$B$10-($B$13+Z17*$B$12+(Z17/(1+$B$11))*$B$18)+$B$16*$B$17</f>
        <v>#REF!</v>
      </c>
      <c r="AB17" s="114" t="e">
        <f>IF('Growth &amp; Pricing Strategy'!$B$11=0,0,AA17/'Growth &amp; Pricing Strategy'!$B$11)</f>
        <v>#REF!</v>
      </c>
      <c r="AC17" s="117" t="e">
        <f>IF(AA17&lt;=0,0,'Growth &amp; Pricing Strategy'!$B$27/AA17)</f>
        <v>#REF!</v>
      </c>
      <c r="AD17" s="121" t="e">
        <f>IF($B$19=0,0,AC17/$B$19)</f>
        <v>#REF!</v>
      </c>
      <c r="AE17" s="114" t="e">
        <f>MIN('Growth &amp; Pricing Strategy'!$B$6*'Growth &amp; Pricing Strategy'!$B$7*$Y17*'Growth &amp; Pricing Strategy'!$B$14*(1-'Growth &amp; Pricing Strategy'!$B$12)*(1-'Growth &amp; Pricing Strategy'!$B$13),'Growth &amp; Pricing Strategy'!$B$8*'Growth &amp; Pricing Strategy'!$B$7*'Growth &amp; Pricing Strategy'!$B$9*'Growth &amp; Pricing Strategy'!$B$10/'Growth &amp; Pricing Strategy'!$B$11)*AA17-'Growth &amp; Pricing Strategy'!$B$27</f>
        <v>#REF!</v>
      </c>
    </row>
    <row r="18" spans="1:31" ht="32">
      <c r="A18" s="1" t="s">
        <v>880</v>
      </c>
      <c r="B18" s="36">
        <f>'NC Credits'!$B$15</f>
        <v>4.1299999999999996E-2</v>
      </c>
      <c r="C18" s="1" t="s">
        <v>881</v>
      </c>
      <c r="D18" s="1" t="s">
        <v>875</v>
      </c>
      <c r="U18" t="s">
        <v>761</v>
      </c>
      <c r="V18" s="119">
        <v>449</v>
      </c>
      <c r="W18" s="119">
        <v>449</v>
      </c>
      <c r="X18" s="119">
        <v>199</v>
      </c>
      <c r="Y18" s="120">
        <v>0.35</v>
      </c>
      <c r="Z18" s="114" t="e">
        <f>$X18+MIN(MAX('Growth &amp; Pricing Strategy'!$B$11,$B$5),$B$6)*$V18+MAX(MAX('Growth &amp; Pricing Strategy'!$B$11,$B$5)-$B$6,0)*$W18</f>
        <v>#REF!</v>
      </c>
      <c r="AA18" s="114" t="e">
        <f>Z18/(1+$B$11)-'Growth &amp; Pricing Strategy'!$B$11*$B$10-($B$13+Z18*$B$12+(Z18/(1+$B$11))*$B$18)+$B$16*$B$17</f>
        <v>#REF!</v>
      </c>
      <c r="AB18" s="114" t="e">
        <f>IF('Growth &amp; Pricing Strategy'!$B$11=0,0,AA18/'Growth &amp; Pricing Strategy'!$B$11)</f>
        <v>#REF!</v>
      </c>
      <c r="AC18" s="117" t="e">
        <f>IF(AA18&lt;=0,0,'Growth &amp; Pricing Strategy'!$B$27/AA18)</f>
        <v>#REF!</v>
      </c>
      <c r="AD18" s="121" t="e">
        <f>IF($B$19=0,0,AC18/$B$19)</f>
        <v>#REF!</v>
      </c>
      <c r="AE18" s="114" t="e">
        <f>MIN('Growth &amp; Pricing Strategy'!$B$6*'Growth &amp; Pricing Strategy'!$B$7*$Y18*'Growth &amp; Pricing Strategy'!$B$14*(1-'Growth &amp; Pricing Strategy'!$B$12)*(1-'Growth &amp; Pricing Strategy'!$B$13),'Growth &amp; Pricing Strategy'!$B$8*'Growth &amp; Pricing Strategy'!$B$7*'Growth &amp; Pricing Strategy'!$B$9*'Growth &amp; Pricing Strategy'!$B$10/'Growth &amp; Pricing Strategy'!$B$11)*AA18-'Growth &amp; Pricing Strategy'!$B$27</f>
        <v>#REF!</v>
      </c>
    </row>
    <row r="19" spans="1:31" ht="16">
      <c r="A19" s="1" t="s">
        <v>95</v>
      </c>
      <c r="B19" s="109">
        <f>'Growth &amp; Pricing Strategy'!$B$7</f>
        <v>26</v>
      </c>
      <c r="C19" s="1" t="s">
        <v>639</v>
      </c>
      <c r="D19" s="1" t="s">
        <v>878</v>
      </c>
    </row>
    <row r="21" spans="1:31">
      <c r="U21" s="308" t="s">
        <v>882</v>
      </c>
      <c r="V21" s="308"/>
      <c r="W21" s="332"/>
      <c r="X21" s="332"/>
      <c r="Y21" s="332"/>
      <c r="Z21" s="332"/>
      <c r="AA21" s="332"/>
    </row>
    <row r="22" spans="1:31">
      <c r="A22" s="332" t="s">
        <v>883</v>
      </c>
      <c r="B22" s="332"/>
      <c r="C22" s="332"/>
      <c r="D22" s="332"/>
      <c r="E22" s="332"/>
      <c r="U22" s="122" t="s">
        <v>884</v>
      </c>
      <c r="V22" s="95">
        <f>$B$7</f>
        <v>299</v>
      </c>
    </row>
    <row r="23" spans="1:31" ht="32">
      <c r="A23" s="110" t="s">
        <v>885</v>
      </c>
      <c r="B23" s="110" t="s">
        <v>886</v>
      </c>
      <c r="C23" s="110" t="s">
        <v>887</v>
      </c>
      <c r="D23" s="110" t="s">
        <v>888</v>
      </c>
      <c r="E23" s="110" t="s">
        <v>224</v>
      </c>
      <c r="U23" s="122" t="s">
        <v>889</v>
      </c>
      <c r="V23" s="95">
        <f>V22/(1+$B$11)</f>
        <v>253.3898305084746</v>
      </c>
    </row>
    <row r="24" spans="1:31" ht="16">
      <c r="A24" s="1" t="s">
        <v>890</v>
      </c>
      <c r="B24" s="1" t="s">
        <v>891</v>
      </c>
      <c r="C24" s="1" t="s">
        <v>892</v>
      </c>
      <c r="D24" s="1" t="s">
        <v>893</v>
      </c>
      <c r="E24" s="111" t="s">
        <v>894</v>
      </c>
      <c r="U24" s="122" t="s">
        <v>895</v>
      </c>
      <c r="V24" s="95">
        <f>$B$10</f>
        <v>0</v>
      </c>
    </row>
    <row r="25" spans="1:31" ht="32">
      <c r="A25" s="1" t="s">
        <v>896</v>
      </c>
      <c r="B25" s="1" t="s">
        <v>897</v>
      </c>
      <c r="C25" s="1" t="s">
        <v>898</v>
      </c>
      <c r="D25" s="1" t="s">
        <v>899</v>
      </c>
      <c r="E25" s="111" t="s">
        <v>894</v>
      </c>
      <c r="U25" s="122" t="s">
        <v>900</v>
      </c>
      <c r="V25" s="95">
        <f>'Global Inputs'!$B$33</f>
        <v>103.55029585798816</v>
      </c>
    </row>
    <row r="26" spans="1:31" ht="32">
      <c r="A26" s="1" t="s">
        <v>901</v>
      </c>
      <c r="B26" s="1" t="s">
        <v>902</v>
      </c>
      <c r="C26" s="1" t="s">
        <v>903</v>
      </c>
      <c r="D26" s="1" t="s">
        <v>904</v>
      </c>
      <c r="E26" s="112" t="s">
        <v>905</v>
      </c>
      <c r="U26" s="122" t="s">
        <v>906</v>
      </c>
      <c r="V26" s="95">
        <f>V22*$B$12</f>
        <v>0</v>
      </c>
    </row>
    <row r="27" spans="1:31">
      <c r="U27" s="122" t="s">
        <v>907</v>
      </c>
      <c r="V27" s="149">
        <f>V23*$B$18</f>
        <v>10.465</v>
      </c>
    </row>
    <row r="28" spans="1:31">
      <c r="U28" s="122" t="s">
        <v>908</v>
      </c>
      <c r="V28" s="150">
        <v>0</v>
      </c>
    </row>
    <row r="29" spans="1:31">
      <c r="A29" s="332" t="s">
        <v>909</v>
      </c>
      <c r="B29" s="332"/>
      <c r="C29" s="332"/>
      <c r="D29" s="332"/>
      <c r="E29" s="332"/>
      <c r="F29" s="332"/>
      <c r="G29" s="332"/>
      <c r="H29" s="332"/>
      <c r="I29" s="332"/>
      <c r="J29" s="332"/>
      <c r="K29" s="332"/>
      <c r="L29" s="332"/>
      <c r="M29" s="332"/>
      <c r="N29" s="332"/>
      <c r="O29" s="332"/>
      <c r="P29" s="332"/>
      <c r="Q29" s="332"/>
      <c r="R29" s="332"/>
      <c r="S29" s="332"/>
      <c r="U29" s="122" t="s">
        <v>910</v>
      </c>
      <c r="V29" s="151">
        <f>V23-V24-V26-V27-V28</f>
        <v>242.9248305084746</v>
      </c>
    </row>
    <row r="30" spans="1:31" ht="40" customHeight="1">
      <c r="A30" s="113" t="s">
        <v>911</v>
      </c>
      <c r="B30" s="113" t="s">
        <v>617</v>
      </c>
      <c r="C30" s="113" t="s">
        <v>912</v>
      </c>
      <c r="D30" s="113" t="s">
        <v>913</v>
      </c>
      <c r="E30" s="113" t="s">
        <v>914</v>
      </c>
      <c r="F30" s="113" t="s">
        <v>540</v>
      </c>
      <c r="G30" s="113" t="s">
        <v>915</v>
      </c>
      <c r="H30" s="113" t="s">
        <v>916</v>
      </c>
      <c r="I30" s="113" t="s">
        <v>47</v>
      </c>
      <c r="J30" s="113" t="s">
        <v>49</v>
      </c>
      <c r="K30" s="113" t="s">
        <v>917</v>
      </c>
      <c r="L30" s="113" t="s">
        <v>306</v>
      </c>
      <c r="M30" s="113" t="s">
        <v>918</v>
      </c>
      <c r="N30" s="113" t="s">
        <v>919</v>
      </c>
      <c r="O30" s="113" t="s">
        <v>920</v>
      </c>
      <c r="P30" s="113" t="s">
        <v>486</v>
      </c>
      <c r="Q30" s="113" t="s">
        <v>307</v>
      </c>
      <c r="R30" s="113" t="s">
        <v>746</v>
      </c>
      <c r="S30" s="113" t="s">
        <v>308</v>
      </c>
      <c r="U30" s="122" t="s">
        <v>921</v>
      </c>
      <c r="V30" s="95">
        <f>V23-V25-V26-V27-V28</f>
        <v>139.37453465048642</v>
      </c>
    </row>
    <row r="31" spans="1:31">
      <c r="A31" s="116">
        <v>2</v>
      </c>
      <c r="B31" s="117">
        <f t="shared" ref="B31:B39" si="0">MAX(A31,$B$5)</f>
        <v>2</v>
      </c>
      <c r="C31" s="117">
        <f t="shared" ref="C31:C39" si="1">MIN(B31,$B$6)</f>
        <v>2</v>
      </c>
      <c r="D31" s="117">
        <f t="shared" ref="D31:D39" si="2">MAX(B31-$B$6,0)</f>
        <v>0</v>
      </c>
      <c r="E31" s="114">
        <f t="shared" ref="E31:E39" si="3">(C31+D31)*$B$7</f>
        <v>598</v>
      </c>
      <c r="F31" s="114">
        <f t="shared" ref="F31:F39" si="4">$B$9</f>
        <v>199</v>
      </c>
      <c r="G31" s="114">
        <f t="shared" ref="G31:G39" si="5">E31+F31</f>
        <v>797</v>
      </c>
      <c r="H31" s="114">
        <f t="shared" ref="H31:H39" si="6">G31-G31/(1+$B$11)</f>
        <v>121.57627118644064</v>
      </c>
      <c r="I31" s="114">
        <f t="shared" ref="I31:I39" si="7">G31/(1+$B$11)</f>
        <v>675.42372881355936</v>
      </c>
      <c r="J31" s="114">
        <f t="shared" ref="J31:J39" si="8">A31*$B$10</f>
        <v>0</v>
      </c>
      <c r="K31" s="114">
        <f t="shared" ref="K31:K39" si="9">G31*$B$12</f>
        <v>0</v>
      </c>
      <c r="L31" s="114">
        <f t="shared" ref="L31:L39" si="10">$B$13</f>
        <v>56.5</v>
      </c>
      <c r="M31" s="114">
        <f t="shared" ref="M31:M39" si="11">I31*$B$18</f>
        <v>27.895</v>
      </c>
      <c r="N31" s="114">
        <f t="shared" ref="N31:N39" si="12">SUM(J31:M31)</f>
        <v>84.394999999999996</v>
      </c>
      <c r="O31" s="114">
        <f t="shared" ref="O31:O39" si="13">I31-N31</f>
        <v>591.02872881355938</v>
      </c>
      <c r="P31" s="114">
        <f t="shared" ref="P31:P39" si="14">$B$16*$B$17</f>
        <v>83.399999999999991</v>
      </c>
      <c r="Q31" s="114">
        <f t="shared" ref="Q31:Q39" si="15">O31+P31</f>
        <v>674.42872881355936</v>
      </c>
      <c r="R31" s="115">
        <f>IF((I31+$B$16*('Global Inputs'!$B$16/(1+'Global Inputs'!$B$17)))=0,0,Q31/(I31+$B$16*('Global Inputs'!$B$16/(1+'Global Inputs'!$B$17))))</f>
        <v>0.88180936783927177</v>
      </c>
      <c r="S31" s="114">
        <f t="shared" ref="S31:S39" si="16">IF(A31=0,0,Q31/A31)</f>
        <v>337.21436440677968</v>
      </c>
      <c r="U31" s="122" t="s">
        <v>922</v>
      </c>
      <c r="V31" t="str">
        <f>IF(V30&gt;0,"GREEN — economically positive",IF(V30=0,"AMBER — break-even","RED — uneconomic"))</f>
        <v>GREEN — economically positive</v>
      </c>
    </row>
    <row r="32" spans="1:31">
      <c r="A32" s="116">
        <v>3</v>
      </c>
      <c r="B32" s="117">
        <f t="shared" si="0"/>
        <v>3</v>
      </c>
      <c r="C32" s="117">
        <f t="shared" si="1"/>
        <v>3</v>
      </c>
      <c r="D32" s="117">
        <f t="shared" si="2"/>
        <v>0</v>
      </c>
      <c r="E32" s="114">
        <f t="shared" si="3"/>
        <v>897</v>
      </c>
      <c r="F32" s="114">
        <f t="shared" si="4"/>
        <v>199</v>
      </c>
      <c r="G32" s="114">
        <f t="shared" si="5"/>
        <v>1096</v>
      </c>
      <c r="H32" s="114">
        <f t="shared" si="6"/>
        <v>167.18644067796606</v>
      </c>
      <c r="I32" s="114">
        <f t="shared" si="7"/>
        <v>928.81355932203394</v>
      </c>
      <c r="J32" s="114">
        <f t="shared" si="8"/>
        <v>0</v>
      </c>
      <c r="K32" s="114">
        <f t="shared" si="9"/>
        <v>0</v>
      </c>
      <c r="L32" s="114">
        <f t="shared" si="10"/>
        <v>56.5</v>
      </c>
      <c r="M32" s="114">
        <f t="shared" si="11"/>
        <v>38.36</v>
      </c>
      <c r="N32" s="114">
        <f t="shared" si="12"/>
        <v>94.86</v>
      </c>
      <c r="O32" s="114">
        <f t="shared" si="13"/>
        <v>833.95355932203393</v>
      </c>
      <c r="P32" s="114">
        <f t="shared" si="14"/>
        <v>83.399999999999991</v>
      </c>
      <c r="Q32" s="114">
        <f t="shared" si="15"/>
        <v>917.3535593220339</v>
      </c>
      <c r="R32" s="115">
        <f>IF((I32+$B$16*('Global Inputs'!$B$16/(1+'Global Inputs'!$B$17)))=0,0,Q32/(I32+$B$16*('Global Inputs'!$B$16/(1+'Global Inputs'!$B$17))))</f>
        <v>0.90094415942844397</v>
      </c>
      <c r="S32" s="114">
        <f t="shared" si="16"/>
        <v>305.7845197740113</v>
      </c>
      <c r="U32" s="335" t="s">
        <v>923</v>
      </c>
      <c r="V32" s="335" t="s">
        <v>924</v>
      </c>
      <c r="W32" s="332"/>
      <c r="X32" s="332"/>
      <c r="Y32" s="332"/>
      <c r="Z32" s="332"/>
      <c r="AA32" s="332"/>
    </row>
    <row r="33" spans="1:24">
      <c r="A33" s="116">
        <v>4</v>
      </c>
      <c r="B33" s="117">
        <f t="shared" si="0"/>
        <v>4</v>
      </c>
      <c r="C33" s="117">
        <f t="shared" si="1"/>
        <v>4</v>
      </c>
      <c r="D33" s="117">
        <f t="shared" si="2"/>
        <v>0</v>
      </c>
      <c r="E33" s="114">
        <f t="shared" si="3"/>
        <v>1196</v>
      </c>
      <c r="F33" s="114">
        <f t="shared" si="4"/>
        <v>199</v>
      </c>
      <c r="G33" s="114">
        <f t="shared" si="5"/>
        <v>1395</v>
      </c>
      <c r="H33" s="114">
        <f t="shared" si="6"/>
        <v>212.79661016949149</v>
      </c>
      <c r="I33" s="114">
        <f t="shared" si="7"/>
        <v>1182.2033898305085</v>
      </c>
      <c r="J33" s="114">
        <f t="shared" si="8"/>
        <v>0</v>
      </c>
      <c r="K33" s="114">
        <f t="shared" si="9"/>
        <v>0</v>
      </c>
      <c r="L33" s="114">
        <f t="shared" si="10"/>
        <v>56.5</v>
      </c>
      <c r="M33" s="114">
        <f t="shared" si="11"/>
        <v>48.824999999999996</v>
      </c>
      <c r="N33" s="114">
        <f t="shared" si="12"/>
        <v>105.32499999999999</v>
      </c>
      <c r="O33" s="114">
        <f t="shared" si="13"/>
        <v>1076.8783898305085</v>
      </c>
      <c r="P33" s="114">
        <f t="shared" si="14"/>
        <v>83.399999999999991</v>
      </c>
      <c r="Q33" s="114">
        <f t="shared" si="15"/>
        <v>1160.2783898305086</v>
      </c>
      <c r="R33" s="115">
        <f>IF((I33+$B$16*('Global Inputs'!$B$16/(1+'Global Inputs'!$B$17)))=0,0,Q33/(I33+$B$16*('Global Inputs'!$B$16/(1+'Global Inputs'!$B$17))))</f>
        <v>0.91245304873334876</v>
      </c>
      <c r="S33" s="114">
        <f t="shared" si="16"/>
        <v>290.06959745762714</v>
      </c>
      <c r="U33" t="s">
        <v>925</v>
      </c>
      <c r="V33" s="15">
        <f>G33</f>
        <v>1395</v>
      </c>
      <c r="W33" s="15">
        <v>1395</v>
      </c>
      <c r="X33" t="str">
        <f>IF(V33=W33,"PASS","CHECK")</f>
        <v>PASS</v>
      </c>
    </row>
    <row r="34" spans="1:24">
      <c r="A34" s="116">
        <v>5</v>
      </c>
      <c r="B34" s="117">
        <f t="shared" si="0"/>
        <v>5</v>
      </c>
      <c r="C34" s="117">
        <f t="shared" si="1"/>
        <v>4</v>
      </c>
      <c r="D34" s="117">
        <f t="shared" si="2"/>
        <v>1</v>
      </c>
      <c r="E34" s="114">
        <f t="shared" si="3"/>
        <v>1495</v>
      </c>
      <c r="F34" s="114">
        <f t="shared" si="4"/>
        <v>199</v>
      </c>
      <c r="G34" s="114">
        <f t="shared" si="5"/>
        <v>1694</v>
      </c>
      <c r="H34" s="114">
        <f t="shared" si="6"/>
        <v>258.4067796610168</v>
      </c>
      <c r="I34" s="114">
        <f t="shared" si="7"/>
        <v>1435.5932203389832</v>
      </c>
      <c r="J34" s="114">
        <f t="shared" si="8"/>
        <v>0</v>
      </c>
      <c r="K34" s="114">
        <f t="shared" si="9"/>
        <v>0</v>
      </c>
      <c r="L34" s="114">
        <f t="shared" si="10"/>
        <v>56.5</v>
      </c>
      <c r="M34" s="114">
        <f t="shared" si="11"/>
        <v>59.29</v>
      </c>
      <c r="N34" s="114">
        <f t="shared" si="12"/>
        <v>115.78999999999999</v>
      </c>
      <c r="O34" s="114">
        <f t="shared" si="13"/>
        <v>1319.8032203389832</v>
      </c>
      <c r="P34" s="114">
        <f t="shared" si="14"/>
        <v>83.399999999999991</v>
      </c>
      <c r="Q34" s="114">
        <f t="shared" si="15"/>
        <v>1403.2032203389833</v>
      </c>
      <c r="R34" s="115">
        <f>IF((I34+$B$16*('Global Inputs'!$B$16/(1+'Global Inputs'!$B$17)))=0,0,Q34/(I34+$B$16*('Global Inputs'!$B$16/(1+'Global Inputs'!$B$17))))</f>
        <v>0.92013734987429785</v>
      </c>
      <c r="S34" s="114">
        <f t="shared" si="16"/>
        <v>280.64064406779664</v>
      </c>
      <c r="U34" t="s">
        <v>926</v>
      </c>
      <c r="V34" s="15">
        <f>G34</f>
        <v>1694</v>
      </c>
      <c r="W34" s="15">
        <v>1694</v>
      </c>
      <c r="X34" t="str">
        <f>IF(V34=W34,"PASS","CHECK")</f>
        <v>PASS</v>
      </c>
    </row>
    <row r="35" spans="1:24">
      <c r="A35" s="116">
        <v>6</v>
      </c>
      <c r="B35" s="117">
        <f t="shared" si="0"/>
        <v>6</v>
      </c>
      <c r="C35" s="117">
        <f t="shared" si="1"/>
        <v>4</v>
      </c>
      <c r="D35" s="117">
        <f t="shared" si="2"/>
        <v>2</v>
      </c>
      <c r="E35" s="114">
        <f t="shared" si="3"/>
        <v>1794</v>
      </c>
      <c r="F35" s="114">
        <f t="shared" si="4"/>
        <v>199</v>
      </c>
      <c r="G35" s="114">
        <f t="shared" si="5"/>
        <v>1993</v>
      </c>
      <c r="H35" s="114">
        <f t="shared" si="6"/>
        <v>304.01694915254234</v>
      </c>
      <c r="I35" s="114">
        <f t="shared" si="7"/>
        <v>1688.9830508474577</v>
      </c>
      <c r="J35" s="114">
        <f t="shared" si="8"/>
        <v>0</v>
      </c>
      <c r="K35" s="114">
        <f t="shared" si="9"/>
        <v>0</v>
      </c>
      <c r="L35" s="114">
        <f t="shared" si="10"/>
        <v>56.5</v>
      </c>
      <c r="M35" s="114">
        <f t="shared" si="11"/>
        <v>69.754999999999995</v>
      </c>
      <c r="N35" s="114">
        <f t="shared" si="12"/>
        <v>126.255</v>
      </c>
      <c r="O35" s="114">
        <f t="shared" si="13"/>
        <v>1562.7280508474578</v>
      </c>
      <c r="P35" s="114">
        <f t="shared" si="14"/>
        <v>83.399999999999991</v>
      </c>
      <c r="Q35" s="114">
        <f t="shared" si="15"/>
        <v>1646.1280508474579</v>
      </c>
      <c r="R35" s="115">
        <f>IF((I35+$B$16*('Global Inputs'!$B$16/(1+'Global Inputs'!$B$17)))=0,0,Q35/(I35+$B$16*('Global Inputs'!$B$16/(1+'Global Inputs'!$B$17))))</f>
        <v>0.92563188232311588</v>
      </c>
      <c r="S35" s="114">
        <f t="shared" si="16"/>
        <v>274.35467514124298</v>
      </c>
      <c r="U35" t="s">
        <v>927</v>
      </c>
      <c r="V35" s="15">
        <f>G35</f>
        <v>1993</v>
      </c>
      <c r="W35" s="15">
        <v>1993</v>
      </c>
      <c r="X35" t="str">
        <f>IF(V35=W35,"PASS","CHECK")</f>
        <v>PASS</v>
      </c>
    </row>
    <row r="36" spans="1:24">
      <c r="A36" s="116">
        <v>7</v>
      </c>
      <c r="B36" s="117">
        <f t="shared" si="0"/>
        <v>7</v>
      </c>
      <c r="C36" s="117">
        <f t="shared" si="1"/>
        <v>4</v>
      </c>
      <c r="D36" s="117">
        <f t="shared" si="2"/>
        <v>3</v>
      </c>
      <c r="E36" s="114">
        <f t="shared" si="3"/>
        <v>2093</v>
      </c>
      <c r="F36" s="114">
        <f t="shared" si="4"/>
        <v>199</v>
      </c>
      <c r="G36" s="114">
        <f t="shared" si="5"/>
        <v>2292</v>
      </c>
      <c r="H36" s="114">
        <f t="shared" si="6"/>
        <v>349.62711864406765</v>
      </c>
      <c r="I36" s="114">
        <f t="shared" si="7"/>
        <v>1942.3728813559323</v>
      </c>
      <c r="J36" s="114">
        <f t="shared" si="8"/>
        <v>0</v>
      </c>
      <c r="K36" s="114">
        <f t="shared" si="9"/>
        <v>0</v>
      </c>
      <c r="L36" s="114">
        <f t="shared" si="10"/>
        <v>56.5</v>
      </c>
      <c r="M36" s="114">
        <f t="shared" si="11"/>
        <v>80.22</v>
      </c>
      <c r="N36" s="114">
        <f t="shared" si="12"/>
        <v>136.72</v>
      </c>
      <c r="O36" s="114">
        <f t="shared" si="13"/>
        <v>1805.6528813559323</v>
      </c>
      <c r="P36" s="114">
        <f t="shared" si="14"/>
        <v>83.399999999999991</v>
      </c>
      <c r="Q36" s="114">
        <f t="shared" si="15"/>
        <v>1889.0528813559324</v>
      </c>
      <c r="R36" s="115">
        <f>IF((I36+$B$16*('Global Inputs'!$B$16/(1+'Global Inputs'!$B$17)))=0,0,Q36/(I36+$B$16*('Global Inputs'!$B$16/(1+'Global Inputs'!$B$17))))</f>
        <v>0.92975592827838427</v>
      </c>
      <c r="S36" s="114">
        <f t="shared" si="16"/>
        <v>269.86469733656179</v>
      </c>
      <c r="U36" t="s">
        <v>928</v>
      </c>
      <c r="V36" s="15">
        <f>G37</f>
        <v>2591</v>
      </c>
      <c r="W36" s="15">
        <v>2591</v>
      </c>
      <c r="X36" t="str">
        <f>IF(V36=W36,"PASS","CHECK")</f>
        <v>PASS</v>
      </c>
    </row>
    <row r="37" spans="1:24">
      <c r="A37" s="116">
        <v>8</v>
      </c>
      <c r="B37" s="117">
        <f t="shared" si="0"/>
        <v>8</v>
      </c>
      <c r="C37" s="117">
        <f t="shared" si="1"/>
        <v>4</v>
      </c>
      <c r="D37" s="117">
        <f t="shared" si="2"/>
        <v>4</v>
      </c>
      <c r="E37" s="114">
        <f t="shared" si="3"/>
        <v>2392</v>
      </c>
      <c r="F37" s="114">
        <f t="shared" si="4"/>
        <v>199</v>
      </c>
      <c r="G37" s="114">
        <f t="shared" si="5"/>
        <v>2591</v>
      </c>
      <c r="H37" s="114">
        <f t="shared" si="6"/>
        <v>395.23728813559319</v>
      </c>
      <c r="I37" s="114">
        <f t="shared" si="7"/>
        <v>2195.7627118644068</v>
      </c>
      <c r="J37" s="114">
        <f t="shared" si="8"/>
        <v>0</v>
      </c>
      <c r="K37" s="114">
        <f t="shared" si="9"/>
        <v>0</v>
      </c>
      <c r="L37" s="114">
        <f t="shared" si="10"/>
        <v>56.5</v>
      </c>
      <c r="M37" s="114">
        <f t="shared" si="11"/>
        <v>90.684999999999988</v>
      </c>
      <c r="N37" s="114">
        <f t="shared" si="12"/>
        <v>147.185</v>
      </c>
      <c r="O37" s="114">
        <f t="shared" si="13"/>
        <v>2048.5777118644069</v>
      </c>
      <c r="P37" s="114">
        <f t="shared" si="14"/>
        <v>83.399999999999991</v>
      </c>
      <c r="Q37" s="114">
        <f t="shared" si="15"/>
        <v>2131.977711864407</v>
      </c>
      <c r="R37" s="115">
        <f>IF((I37+$B$16*('Global Inputs'!$B$16/(1+'Global Inputs'!$B$17)))=0,0,Q37/(I37+$B$16*('Global Inputs'!$B$16/(1+'Global Inputs'!$B$17))))</f>
        <v>0.93296538613873137</v>
      </c>
      <c r="S37" s="114">
        <f t="shared" si="16"/>
        <v>266.49721398305087</v>
      </c>
    </row>
    <row r="38" spans="1:24">
      <c r="A38" s="116">
        <v>10</v>
      </c>
      <c r="B38" s="117">
        <f t="shared" si="0"/>
        <v>10</v>
      </c>
      <c r="C38" s="117">
        <f t="shared" si="1"/>
        <v>4</v>
      </c>
      <c r="D38" s="117">
        <f t="shared" si="2"/>
        <v>6</v>
      </c>
      <c r="E38" s="114">
        <f t="shared" si="3"/>
        <v>2990</v>
      </c>
      <c r="F38" s="114">
        <f t="shared" si="4"/>
        <v>199</v>
      </c>
      <c r="G38" s="114">
        <f t="shared" si="5"/>
        <v>3189</v>
      </c>
      <c r="H38" s="114">
        <f t="shared" si="6"/>
        <v>486.45762711864381</v>
      </c>
      <c r="I38" s="114">
        <f t="shared" si="7"/>
        <v>2702.5423728813562</v>
      </c>
      <c r="J38" s="114">
        <f t="shared" si="8"/>
        <v>0</v>
      </c>
      <c r="K38" s="114">
        <f t="shared" si="9"/>
        <v>0</v>
      </c>
      <c r="L38" s="114">
        <f t="shared" si="10"/>
        <v>56.5</v>
      </c>
      <c r="M38" s="114">
        <f t="shared" si="11"/>
        <v>111.61499999999999</v>
      </c>
      <c r="N38" s="114">
        <f t="shared" si="12"/>
        <v>168.11500000000001</v>
      </c>
      <c r="O38" s="114">
        <f t="shared" si="13"/>
        <v>2534.427372881356</v>
      </c>
      <c r="P38" s="114">
        <f t="shared" si="14"/>
        <v>83.399999999999991</v>
      </c>
      <c r="Q38" s="114">
        <f t="shared" si="15"/>
        <v>2617.827372881356</v>
      </c>
      <c r="R38" s="115">
        <f>IF((I38+$B$16*('Global Inputs'!$B$16/(1+'Global Inputs'!$B$17)))=0,0,Q38/(I38+$B$16*('Global Inputs'!$B$16/(1+'Global Inputs'!$B$17))))</f>
        <v>0.93763660679704175</v>
      </c>
      <c r="S38" s="114">
        <f t="shared" si="16"/>
        <v>261.78273728813559</v>
      </c>
    </row>
    <row r="39" spans="1:24">
      <c r="A39" s="116">
        <v>12</v>
      </c>
      <c r="B39" s="117">
        <f t="shared" si="0"/>
        <v>12</v>
      </c>
      <c r="C39" s="117">
        <f t="shared" si="1"/>
        <v>4</v>
      </c>
      <c r="D39" s="117">
        <f t="shared" si="2"/>
        <v>8</v>
      </c>
      <c r="E39" s="114">
        <f t="shared" si="3"/>
        <v>3588</v>
      </c>
      <c r="F39" s="114">
        <f t="shared" si="4"/>
        <v>199</v>
      </c>
      <c r="G39" s="114">
        <f t="shared" si="5"/>
        <v>3787</v>
      </c>
      <c r="H39" s="114">
        <f t="shared" si="6"/>
        <v>577.67796610169489</v>
      </c>
      <c r="I39" s="114">
        <f t="shared" si="7"/>
        <v>3209.3220338983051</v>
      </c>
      <c r="J39" s="114">
        <f t="shared" si="8"/>
        <v>0</v>
      </c>
      <c r="K39" s="114">
        <f t="shared" si="9"/>
        <v>0</v>
      </c>
      <c r="L39" s="114">
        <f t="shared" si="10"/>
        <v>56.5</v>
      </c>
      <c r="M39" s="114">
        <f t="shared" si="11"/>
        <v>132.54499999999999</v>
      </c>
      <c r="N39" s="114">
        <f t="shared" si="12"/>
        <v>189.04499999999999</v>
      </c>
      <c r="O39" s="114">
        <f t="shared" si="13"/>
        <v>3020.277033898305</v>
      </c>
      <c r="P39" s="114">
        <f t="shared" si="14"/>
        <v>83.399999999999991</v>
      </c>
      <c r="Q39" s="114">
        <f t="shared" si="15"/>
        <v>3103.6770338983051</v>
      </c>
      <c r="R39" s="115">
        <f>IF((I39+$B$16*('Global Inputs'!$B$16/(1+'Global Inputs'!$B$17)))=0,0,Q39/(I39+$B$16*('Global Inputs'!$B$16/(1+'Global Inputs'!$B$17))))</f>
        <v>0.94087255670660341</v>
      </c>
      <c r="S39" s="114">
        <f t="shared" si="16"/>
        <v>258.63975282485876</v>
      </c>
    </row>
  </sheetData>
  <mergeCells count="12">
    <mergeCell ref="U32:AA32"/>
    <mergeCell ref="A22:E22"/>
    <mergeCell ref="A29:S29"/>
    <mergeCell ref="U4:AE4"/>
    <mergeCell ref="U5:AE9"/>
    <mergeCell ref="U12:AE12"/>
    <mergeCell ref="U21:AA21"/>
    <mergeCell ref="A1:S1"/>
    <mergeCell ref="A2:S2"/>
    <mergeCell ref="A4:D4"/>
    <mergeCell ref="F4:J4"/>
    <mergeCell ref="F5:J8"/>
  </mergeCells>
  <conditionalFormatting sqref="V29">
    <cfRule type="expression" dxfId="26" priority="1">
      <formula>LEFT(V29,5)="GREEN"</formula>
    </cfRule>
    <cfRule type="expression" dxfId="25" priority="2">
      <formula>LEFT(V29,3)="RED"</formula>
    </cfRule>
  </conditionalFormatting>
  <conditionalFormatting sqref="V31">
    <cfRule type="expression" dxfId="24" priority="5">
      <formula>LEFT(V31,5)="GREEN"</formula>
    </cfRule>
    <cfRule type="expression" dxfId="23" priority="6">
      <formula>LEFT(V31,5)="AMBER"</formula>
    </cfRule>
    <cfRule type="expression" dxfId="22" priority="7">
      <formula>LEFT(V31,3)="RED"</formula>
    </cfRule>
  </conditionalFormatting>
  <conditionalFormatting sqref="X33:X36">
    <cfRule type="expression" dxfId="21" priority="3">
      <formula>X33="PASS"</formula>
    </cfRule>
    <cfRule type="expression" dxfId="20" priority="4">
      <formula>X33="CHECK"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91"/>
  <sheetViews>
    <sheetView zoomScale="80" zoomScaleNormal="80" workbookViewId="0">
      <selection activeCell="B12" sqref="B12"/>
    </sheetView>
  </sheetViews>
  <sheetFormatPr baseColWidth="10" defaultColWidth="8.83203125" defaultRowHeight="15"/>
  <cols>
    <col min="1" max="1" width="31" customWidth="1"/>
    <col min="2" max="2" width="20" customWidth="1"/>
    <col min="3" max="3" width="31" customWidth="1"/>
    <col min="4" max="4" width="34" customWidth="1"/>
    <col min="5" max="5" width="3" customWidth="1"/>
    <col min="6" max="7" width="24" customWidth="1"/>
    <col min="8" max="10" width="18" customWidth="1"/>
    <col min="11" max="11" width="14" customWidth="1"/>
    <col min="12" max="12" width="19" customWidth="1"/>
    <col min="13" max="14" width="17" customWidth="1"/>
    <col min="16" max="17" width="2" customWidth="1"/>
  </cols>
  <sheetData>
    <row r="1" spans="1:17" ht="45.25" customHeight="1">
      <c r="A1" s="337" t="s">
        <v>936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P1" s="160" t="s">
        <v>597</v>
      </c>
      <c r="Q1" s="160" t="s">
        <v>598</v>
      </c>
    </row>
    <row r="2" spans="1:17" ht="30.75" customHeight="1">
      <c r="A2" s="338" t="s">
        <v>937</v>
      </c>
      <c r="B2" s="338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P2" s="160" t="str">
        <f>'Service Master'!B5</f>
        <v>Hospital Visit</v>
      </c>
      <c r="Q2" s="160">
        <v>1</v>
      </c>
    </row>
    <row r="3" spans="1:17">
      <c r="A3" s="169"/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P3" s="160" t="str">
        <f>'Service Master'!B6</f>
        <v>Hospital Visit — Concierge at Hospital</v>
      </c>
      <c r="Q3" s="160">
        <v>1.5</v>
      </c>
    </row>
    <row r="4" spans="1:17">
      <c r="A4" s="339" t="s">
        <v>938</v>
      </c>
      <c r="B4" s="340"/>
      <c r="C4" s="340"/>
      <c r="D4" s="341"/>
      <c r="E4" s="169"/>
      <c r="F4" s="344" t="s">
        <v>939</v>
      </c>
      <c r="G4" s="345"/>
      <c r="H4" s="345"/>
      <c r="I4" s="346"/>
      <c r="J4" s="396" t="s">
        <v>940</v>
      </c>
      <c r="K4" s="396"/>
      <c r="L4" s="396"/>
      <c r="M4" s="396"/>
      <c r="N4" s="396"/>
      <c r="P4" s="160" t="str">
        <f>'Service Master'!B7</f>
        <v>Clinic Visit</v>
      </c>
      <c r="Q4" s="160">
        <v>2</v>
      </c>
    </row>
    <row r="5" spans="1:17" ht="16">
      <c r="A5" s="170" t="s">
        <v>941</v>
      </c>
      <c r="B5" s="171" t="s">
        <v>942</v>
      </c>
      <c r="C5" s="342" t="s">
        <v>943</v>
      </c>
      <c r="D5" s="343"/>
      <c r="E5" s="169"/>
      <c r="F5" s="170" t="s">
        <v>944</v>
      </c>
      <c r="G5" s="347" t="str">
        <f>INDEX('Service Economics'!$B$5:$B$34,MATCH($B$10,'Service Economics'!$A$5:$A$34,0))</f>
        <v>Medical Visit</v>
      </c>
      <c r="H5" s="347"/>
      <c r="I5" s="348"/>
      <c r="J5" s="397" t="s">
        <v>945</v>
      </c>
      <c r="K5" s="397"/>
      <c r="L5" s="397"/>
      <c r="M5" s="398" t="s">
        <v>946</v>
      </c>
      <c r="N5" s="398"/>
      <c r="P5" s="160" t="str">
        <f>'Service Master'!B8</f>
        <v>Diagnostic Center Visit</v>
      </c>
      <c r="Q5" s="160">
        <v>2.5</v>
      </c>
    </row>
    <row r="6" spans="1:17" ht="16">
      <c r="A6" s="170" t="s">
        <v>947</v>
      </c>
      <c r="B6" s="172">
        <f ca="1">TODAY()</f>
        <v>46297</v>
      </c>
      <c r="C6" s="342" t="s">
        <v>948</v>
      </c>
      <c r="D6" s="343"/>
      <c r="E6" s="169"/>
      <c r="F6" s="170" t="s">
        <v>931</v>
      </c>
      <c r="G6" s="347">
        <f>INDEX('Service Economics'!$C$5:$C$34,MATCH($B$10,'Service Economics'!$A$5:$A$34,0))</f>
        <v>4</v>
      </c>
      <c r="H6" s="347"/>
      <c r="I6" s="348"/>
      <c r="J6" s="397" t="s">
        <v>949</v>
      </c>
      <c r="K6" s="397"/>
      <c r="L6" s="397"/>
      <c r="M6" s="398" t="s">
        <v>950</v>
      </c>
      <c r="N6" s="398"/>
      <c r="P6" s="160" t="str">
        <f>'Service Master'!B9</f>
        <v>Health Check-up Concierge</v>
      </c>
      <c r="Q6" s="160">
        <v>3</v>
      </c>
    </row>
    <row r="7" spans="1:17" ht="16">
      <c r="A7" s="170" t="s">
        <v>951</v>
      </c>
      <c r="B7" s="171"/>
      <c r="C7" s="342" t="s">
        <v>952</v>
      </c>
      <c r="D7" s="343"/>
      <c r="E7" s="169"/>
      <c r="F7" s="170" t="s">
        <v>953</v>
      </c>
      <c r="G7" s="349">
        <f>INDEX('Service Economics'!$D$5:$D$34,MATCH($B$10,'Service Economics'!$A$5:$A$34,0))</f>
        <v>1</v>
      </c>
      <c r="H7" s="347"/>
      <c r="I7" s="348"/>
      <c r="J7" s="397" t="s">
        <v>954</v>
      </c>
      <c r="K7" s="397"/>
      <c r="L7" s="397"/>
      <c r="M7" s="398" t="s">
        <v>955</v>
      </c>
      <c r="N7" s="398"/>
      <c r="P7" s="160" t="str">
        <f>'Service Master'!B10</f>
        <v>Hospital Admission Concierge</v>
      </c>
      <c r="Q7" s="160">
        <v>3.5</v>
      </c>
    </row>
    <row r="8" spans="1:17" ht="16">
      <c r="A8" s="170" t="s">
        <v>956</v>
      </c>
      <c r="B8" s="171"/>
      <c r="C8" s="342" t="s">
        <v>952</v>
      </c>
      <c r="D8" s="343"/>
      <c r="E8" s="169"/>
      <c r="F8" s="170" t="s">
        <v>43</v>
      </c>
      <c r="G8" s="347">
        <f>INDEX('Service Economics'!$F$5:$F$34,MATCH($B$10,'Service Economics'!$A$5:$A$34,0))</f>
        <v>1</v>
      </c>
      <c r="H8" s="347"/>
      <c r="I8" s="348"/>
      <c r="J8" s="399" t="s">
        <v>957</v>
      </c>
      <c r="K8" s="399"/>
      <c r="L8" s="399"/>
      <c r="M8" s="351">
        <f>'Global Inputs'!$B$15</f>
        <v>500</v>
      </c>
      <c r="N8" s="352"/>
      <c r="P8" s="160" t="str">
        <f>'Service Master'!B11</f>
        <v>Hospital Discharge Concierge</v>
      </c>
      <c r="Q8" s="160">
        <v>4</v>
      </c>
    </row>
    <row r="9" spans="1:17" ht="16">
      <c r="A9" s="170" t="s">
        <v>958</v>
      </c>
      <c r="B9" s="171"/>
      <c r="C9" s="342" t="s">
        <v>952</v>
      </c>
      <c r="D9" s="343"/>
      <c r="E9" s="169"/>
      <c r="F9" s="170" t="s">
        <v>959</v>
      </c>
      <c r="G9" s="347" t="str">
        <f>INDEX('Service Economics'!$AH$5:$AH$34,MATCH($B$10,'Service Economics'!$A$5:$A$34,0))</f>
        <v>AUTO</v>
      </c>
      <c r="H9" s="347"/>
      <c r="I9" s="348"/>
      <c r="J9" s="399" t="s">
        <v>960</v>
      </c>
      <c r="K9" s="399"/>
      <c r="L9" s="399"/>
      <c r="M9" s="400">
        <f>'NC Credits'!$B$15</f>
        <v>4.1299999999999996E-2</v>
      </c>
      <c r="N9" s="352"/>
      <c r="P9" s="160" t="str">
        <f>'Service Master'!B12</f>
        <v>Overnight Hospital Concierge</v>
      </c>
      <c r="Q9" s="160">
        <v>4.5</v>
      </c>
    </row>
    <row r="10" spans="1:17" ht="16">
      <c r="A10" s="170" t="s">
        <v>961</v>
      </c>
      <c r="B10" s="173" t="s">
        <v>59</v>
      </c>
      <c r="C10" s="342" t="s">
        <v>962</v>
      </c>
      <c r="D10" s="343"/>
      <c r="E10" s="169"/>
      <c r="F10" s="170" t="s">
        <v>933</v>
      </c>
      <c r="G10" s="347">
        <f>INDEX('Service Economics'!$AQ$5:$AQ$34,MATCH($B$10,'Service Economics'!$A$5:$A$34,0))</f>
        <v>5</v>
      </c>
      <c r="H10" s="347"/>
      <c r="I10" s="348"/>
      <c r="J10" s="169"/>
      <c r="K10" s="169"/>
      <c r="L10" s="169"/>
      <c r="M10" s="169"/>
      <c r="N10" s="169"/>
      <c r="P10" s="160" t="str">
        <f>'Service Master'!B13</f>
        <v>Multi-Day Hospital Concierge (per 12h shift)</v>
      </c>
      <c r="Q10" s="160">
        <v>5</v>
      </c>
    </row>
    <row r="11" spans="1:17" ht="16">
      <c r="A11" s="170" t="s">
        <v>600</v>
      </c>
      <c r="B11" s="174">
        <v>5</v>
      </c>
      <c r="C11" s="342" t="s">
        <v>963</v>
      </c>
      <c r="D11" s="343"/>
      <c r="E11" s="169"/>
      <c r="F11" s="170" t="s">
        <v>682</v>
      </c>
      <c r="G11" s="347" t="str">
        <f>INDEX('Service Economics'!$AR$5:$AR$34,MATCH($B$10,'Service Economics'!$A$5:$A$34,0))</f>
        <v>Full journey: home → facility → return / safe handover</v>
      </c>
      <c r="H11" s="347"/>
      <c r="I11" s="348"/>
      <c r="J11" s="169"/>
      <c r="K11" s="169"/>
      <c r="L11" s="169"/>
      <c r="M11" s="169"/>
      <c r="N11" s="169"/>
      <c r="P11" s="160" t="str">
        <f>'Service Master'!B14</f>
        <v>Day Surgery / Procedure Concierge</v>
      </c>
      <c r="Q11" s="160">
        <v>5.5</v>
      </c>
    </row>
    <row r="12" spans="1:17" ht="32">
      <c r="A12" s="170" t="s">
        <v>964</v>
      </c>
      <c r="B12" s="173" t="s">
        <v>1369</v>
      </c>
      <c r="C12" s="342" t="s">
        <v>965</v>
      </c>
      <c r="D12" s="343"/>
      <c r="E12" s="169"/>
      <c r="F12" s="170" t="s">
        <v>966</v>
      </c>
      <c r="G12" s="350">
        <f>'MVP1 Pricing &amp; SKU'!$B$5</f>
        <v>2</v>
      </c>
      <c r="H12" s="347"/>
      <c r="I12" s="348"/>
      <c r="J12" s="169"/>
      <c r="K12" s="169"/>
      <c r="L12" s="169"/>
      <c r="M12" s="169"/>
      <c r="N12" s="169"/>
      <c r="P12" s="160" t="str">
        <f>'Service Master'!B15</f>
        <v>Pre-Surgery Concierge</v>
      </c>
      <c r="Q12" s="160">
        <v>6</v>
      </c>
    </row>
    <row r="13" spans="1:17" ht="16">
      <c r="A13" s="170" t="s">
        <v>967</v>
      </c>
      <c r="B13" s="175">
        <f>'Global Pricing Config'!$B$10</f>
        <v>500</v>
      </c>
      <c r="C13" s="342" t="s">
        <v>968</v>
      </c>
      <c r="D13" s="343"/>
      <c r="E13" s="169"/>
      <c r="F13" s="170" t="s">
        <v>619</v>
      </c>
      <c r="G13" s="351">
        <f>'Global Pricing Config'!$B$5</f>
        <v>299</v>
      </c>
      <c r="H13" s="352"/>
      <c r="I13" s="352"/>
      <c r="J13" s="169"/>
      <c r="K13" s="169"/>
      <c r="L13" s="169"/>
      <c r="M13" s="169"/>
      <c r="N13" s="169"/>
      <c r="P13" s="160" t="str">
        <f>'Service Master'!B16</f>
        <v>Post-Surgery Follow-up</v>
      </c>
      <c r="Q13" s="160">
        <v>6.5</v>
      </c>
    </row>
    <row r="14" spans="1:17" ht="16">
      <c r="A14" s="170" t="s">
        <v>969</v>
      </c>
      <c r="B14" s="175"/>
      <c r="C14" s="342" t="s">
        <v>970</v>
      </c>
      <c r="D14" s="343"/>
      <c r="E14" s="169"/>
      <c r="F14" s="170" t="s">
        <v>971</v>
      </c>
      <c r="G14" s="351">
        <f>'Global Pricing Config'!$B$5*$G$7</f>
        <v>299</v>
      </c>
      <c r="H14" s="352"/>
      <c r="I14" s="352"/>
      <c r="J14" s="169"/>
      <c r="K14" s="169"/>
      <c r="L14" s="169"/>
      <c r="M14" s="169"/>
      <c r="N14" s="169"/>
      <c r="P14" s="160" t="str">
        <f>'Service Master'!B17</f>
        <v>Dialysis Visit Concierge</v>
      </c>
      <c r="Q14" s="160">
        <v>7</v>
      </c>
    </row>
    <row r="15" spans="1:17" ht="16">
      <c r="A15" s="170" t="s">
        <v>972</v>
      </c>
      <c r="B15" s="173"/>
      <c r="C15" s="342" t="s">
        <v>973</v>
      </c>
      <c r="D15" s="343"/>
      <c r="E15" s="169"/>
      <c r="F15" s="170" t="s">
        <v>620</v>
      </c>
      <c r="G15" s="353">
        <f>'Global Pricing Config'!$B$7</f>
        <v>199</v>
      </c>
      <c r="H15" s="352"/>
      <c r="I15" s="352"/>
      <c r="J15" s="169"/>
      <c r="K15" s="169"/>
      <c r="L15" s="169"/>
      <c r="M15" s="169"/>
      <c r="N15" s="169"/>
      <c r="P15" s="160" t="str">
        <f>'Service Master'!B18</f>
        <v>Chemotherapy Visit Concierge</v>
      </c>
      <c r="Q15" s="160">
        <v>7.5</v>
      </c>
    </row>
    <row r="16" spans="1:17" ht="16">
      <c r="A16" s="155" t="s">
        <v>974</v>
      </c>
      <c r="B16" s="218" t="s">
        <v>1319</v>
      </c>
      <c r="C16" s="402" t="s">
        <v>975</v>
      </c>
      <c r="D16" s="402"/>
      <c r="E16" s="169"/>
      <c r="F16" s="170" t="s">
        <v>976</v>
      </c>
      <c r="G16" s="400">
        <f>'Global Pricing Config'!$B$8</f>
        <v>0.18</v>
      </c>
      <c r="H16" s="352"/>
      <c r="I16" s="352"/>
      <c r="J16" s="169"/>
      <c r="K16" s="169"/>
      <c r="L16" s="169"/>
      <c r="M16" s="169"/>
      <c r="N16" s="169"/>
      <c r="P16" s="160" t="str">
        <f>'Service Master'!B19</f>
        <v>Radiation Therapy Concierge</v>
      </c>
      <c r="Q16" s="160">
        <v>8</v>
      </c>
    </row>
    <row r="17" spans="1:17" ht="32">
      <c r="A17" s="410" t="str">
        <f>IF(IFERROR(ISNUMBER(SEARCH("Manual",$G$9)),FALSE),"MANUAL PRICING REQUIRED","AUTO PRICING ACTIVE")</f>
        <v>AUTO PRICING ACTIVE</v>
      </c>
      <c r="B17" s="411"/>
      <c r="C17" s="411"/>
      <c r="D17" s="412"/>
      <c r="E17" s="169"/>
      <c r="F17" s="170" t="s">
        <v>608</v>
      </c>
      <c r="G17" s="351">
        <f>'Global Pricing Config'!$B$9</f>
        <v>149</v>
      </c>
      <c r="H17" s="352"/>
      <c r="I17" s="352"/>
      <c r="J17" s="169"/>
      <c r="K17" s="169"/>
      <c r="L17" s="169"/>
      <c r="M17" s="169"/>
      <c r="N17" s="169"/>
      <c r="P17" s="160" t="str">
        <f>'Service Master'!B20</f>
        <v>Physiotherapy / Rehab Visit</v>
      </c>
      <c r="Q17" s="160">
        <v>8.5</v>
      </c>
    </row>
    <row r="18" spans="1:17" ht="16">
      <c r="A18" s="169"/>
      <c r="B18" s="169"/>
      <c r="C18" s="169"/>
      <c r="D18" s="169"/>
      <c r="E18" s="169"/>
      <c r="F18" s="170" t="s">
        <v>977</v>
      </c>
      <c r="G18" s="351">
        <f>'Global Pricing Config'!$B$10</f>
        <v>500</v>
      </c>
      <c r="H18" s="352"/>
      <c r="I18" s="352"/>
      <c r="J18" s="169"/>
      <c r="K18" s="169"/>
      <c r="L18" s="169"/>
      <c r="M18" s="169"/>
      <c r="N18" s="169"/>
      <c r="P18" s="160" t="str">
        <f>'Service Master'!B21</f>
        <v>Chronic Care Follow-up</v>
      </c>
      <c r="Q18" s="160">
        <v>9</v>
      </c>
    </row>
    <row r="19" spans="1:17" ht="16">
      <c r="A19" s="169"/>
      <c r="B19" s="169"/>
      <c r="C19" s="169"/>
      <c r="D19" s="169"/>
      <c r="E19" s="169"/>
      <c r="F19" s="170" t="s">
        <v>978</v>
      </c>
      <c r="G19" s="400" t="str">
        <f>INDEX('Service Master'!$A$5:$A$34,MATCH($B$10,'Service Master'!$B$5:$B$34,0))</f>
        <v>HOSPITAL_VISIT</v>
      </c>
      <c r="H19" s="352"/>
      <c r="I19" s="352"/>
      <c r="J19" s="169"/>
      <c r="K19" s="169"/>
      <c r="L19" s="169"/>
      <c r="M19" s="169"/>
      <c r="N19" s="169"/>
      <c r="P19" s="160" t="str">
        <f>'Service Master'!B22</f>
        <v>NRI Parent Medical Concierge</v>
      </c>
      <c r="Q19" s="160">
        <v>9.5</v>
      </c>
    </row>
    <row r="20" spans="1:17" ht="37.25" customHeight="1">
      <c r="A20" s="418" t="s">
        <v>979</v>
      </c>
      <c r="B20" s="419"/>
      <c r="C20" s="419"/>
      <c r="D20" s="419"/>
      <c r="E20" s="419"/>
      <c r="F20" s="419"/>
      <c r="G20" s="420"/>
      <c r="H20" s="421"/>
      <c r="I20" s="163"/>
      <c r="J20" s="401" t="s">
        <v>980</v>
      </c>
      <c r="K20" s="401" t="s">
        <v>980</v>
      </c>
      <c r="L20" s="401" t="s">
        <v>980</v>
      </c>
      <c r="M20" s="401" t="s">
        <v>980</v>
      </c>
      <c r="N20" s="401" t="s">
        <v>980</v>
      </c>
      <c r="P20" s="160" t="str">
        <f>'Service Master'!B23</f>
        <v>Second Opinion Concierge</v>
      </c>
      <c r="Q20" s="160">
        <v>10</v>
      </c>
    </row>
    <row r="21" spans="1:17">
      <c r="A21" s="403" t="s">
        <v>38</v>
      </c>
      <c r="B21" s="404"/>
      <c r="C21" s="404"/>
      <c r="D21" s="405" t="str">
        <f>$B$10</f>
        <v>Hospital Visit</v>
      </c>
      <c r="E21" s="405"/>
      <c r="F21" s="406"/>
      <c r="G21" s="407"/>
      <c r="H21" s="408"/>
      <c r="I21" s="179"/>
      <c r="J21" s="354" t="s">
        <v>941</v>
      </c>
      <c r="K21" s="355"/>
      <c r="L21" s="383" t="str">
        <f>$B$5</f>
        <v>NC-Q-0001</v>
      </c>
      <c r="M21" s="383"/>
      <c r="N21" s="384"/>
      <c r="P21" s="160" t="str">
        <f>'Service Master'!B24</f>
        <v>Teleconsultation Concierge</v>
      </c>
      <c r="Q21" s="160">
        <v>10.5</v>
      </c>
    </row>
    <row r="22" spans="1:17">
      <c r="A22" s="403" t="s">
        <v>887</v>
      </c>
      <c r="B22" s="404"/>
      <c r="C22" s="404"/>
      <c r="D22" s="405" t="str">
        <f>TEXT($B$11,"0.0")&amp;" hrs"</f>
        <v>5.0 hrs</v>
      </c>
      <c r="E22" s="405"/>
      <c r="F22" s="405"/>
      <c r="G22" s="405"/>
      <c r="H22" s="408"/>
      <c r="I22" s="169"/>
      <c r="J22" s="354" t="s">
        <v>947</v>
      </c>
      <c r="K22" s="355"/>
      <c r="L22" s="383" t="str">
        <f ca="1">TEXT($B$6,"dd-mmm-yyyy")</f>
        <v>02-Oct-2026</v>
      </c>
      <c r="M22" s="383"/>
      <c r="N22" s="384"/>
      <c r="P22" s="160" t="str">
        <f>'Service Master'!B25</f>
        <v>Medical Records Concierge</v>
      </c>
      <c r="Q22" s="160">
        <v>11</v>
      </c>
    </row>
    <row r="23" spans="1:17">
      <c r="A23" s="403" t="s">
        <v>981</v>
      </c>
      <c r="B23" s="404"/>
      <c r="C23" s="404"/>
      <c r="D23" s="409">
        <f>$B$39</f>
        <v>1495</v>
      </c>
      <c r="E23" s="405"/>
      <c r="F23" s="405"/>
      <c r="G23" s="405"/>
      <c r="H23" s="408"/>
      <c r="I23" s="169"/>
      <c r="J23" s="354" t="s">
        <v>596</v>
      </c>
      <c r="K23" s="355"/>
      <c r="L23" s="383" t="str">
        <f>IF($B$7="","—",$B$7)</f>
        <v>—</v>
      </c>
      <c r="M23" s="383"/>
      <c r="N23" s="384"/>
      <c r="P23" s="160" t="str">
        <f>'Service Master'!B26</f>
        <v>Insurance / TPA Desk Concierge</v>
      </c>
      <c r="Q23" s="160">
        <v>11.5</v>
      </c>
    </row>
    <row r="24" spans="1:17">
      <c r="A24" s="403" t="s">
        <v>620</v>
      </c>
      <c r="B24" s="404"/>
      <c r="C24" s="404"/>
      <c r="D24" s="409">
        <f>$B$40</f>
        <v>199</v>
      </c>
      <c r="E24" s="405"/>
      <c r="F24" s="405"/>
      <c r="G24" s="405"/>
      <c r="H24" s="408"/>
      <c r="I24" s="169"/>
      <c r="J24" s="354" t="s">
        <v>982</v>
      </c>
      <c r="K24" s="355"/>
      <c r="L24" s="383" t="str">
        <f>IF($B$8="","—",$B$8)</f>
        <v>—</v>
      </c>
      <c r="M24" s="383"/>
      <c r="N24" s="384"/>
      <c r="P24" s="160" t="str">
        <f>'Service Master'!B27</f>
        <v>Hospital Transfer Concierge</v>
      </c>
      <c r="Q24" s="160">
        <v>12</v>
      </c>
    </row>
    <row r="25" spans="1:17">
      <c r="A25" s="403" t="s">
        <v>983</v>
      </c>
      <c r="B25" s="404"/>
      <c r="C25" s="404"/>
      <c r="D25" s="409">
        <f>$B$42</f>
        <v>1694</v>
      </c>
      <c r="E25" s="405"/>
      <c r="F25" s="405"/>
      <c r="G25" s="405"/>
      <c r="H25" s="408"/>
      <c r="I25" s="169"/>
      <c r="J25" s="354" t="s">
        <v>958</v>
      </c>
      <c r="K25" s="355"/>
      <c r="L25" s="383" t="str">
        <f>IF($B$9="","—",$B$9)</f>
        <v>—</v>
      </c>
      <c r="M25" s="383"/>
      <c r="N25" s="384"/>
      <c r="P25" s="160" t="str">
        <f>'Service Master'!B28</f>
        <v>Rehab / Nursing Facility Transfer</v>
      </c>
      <c r="Q25" s="160">
        <v>12.5</v>
      </c>
    </row>
    <row r="26" spans="1:17">
      <c r="A26" s="403" t="s">
        <v>984</v>
      </c>
      <c r="B26" s="404"/>
      <c r="C26" s="404"/>
      <c r="D26" s="409">
        <f>IF(ISNUMBER($B$47),-$B$47,"")</f>
        <v>0</v>
      </c>
      <c r="E26" s="405"/>
      <c r="F26" s="405"/>
      <c r="G26" s="405"/>
      <c r="H26" s="408"/>
      <c r="I26" s="169"/>
      <c r="J26" s="354" t="s">
        <v>38</v>
      </c>
      <c r="K26" s="355"/>
      <c r="L26" s="383" t="str">
        <f>$B$10</f>
        <v>Hospital Visit</v>
      </c>
      <c r="M26" s="383"/>
      <c r="N26" s="384"/>
      <c r="P26" s="160" t="str">
        <f>'Service Master'!B29</f>
        <v>24×7 Urgent Care Coordination</v>
      </c>
      <c r="Q26" s="160">
        <v>13</v>
      </c>
    </row>
    <row r="27" spans="1:17" ht="38" customHeight="1">
      <c r="A27" s="403" t="s">
        <v>985</v>
      </c>
      <c r="B27" s="404"/>
      <c r="C27" s="404"/>
      <c r="D27" s="413">
        <f>$B$48</f>
        <v>1694</v>
      </c>
      <c r="E27" s="406"/>
      <c r="F27" s="406"/>
      <c r="G27" s="406"/>
      <c r="H27" s="414"/>
      <c r="I27" s="169"/>
      <c r="J27" s="354" t="s">
        <v>986</v>
      </c>
      <c r="K27" s="355"/>
      <c r="L27" s="383" t="str">
        <f>TEXT($B$11,"0.0")&amp;" hours"</f>
        <v>5.0 hours</v>
      </c>
      <c r="M27" s="383"/>
      <c r="N27" s="384"/>
      <c r="P27" s="160" t="str">
        <f>'Service Master'!B30</f>
        <v>Doctor-at-Home Coordination</v>
      </c>
      <c r="Q27" s="160">
        <v>13.5</v>
      </c>
    </row>
    <row r="28" spans="1:17">
      <c r="A28" s="403" t="s">
        <v>987</v>
      </c>
      <c r="B28" s="404"/>
      <c r="C28" s="404"/>
      <c r="D28" s="415">
        <f>IF($B$12="NivrāaCare Arranges Transport",$B$13,0)</f>
        <v>0</v>
      </c>
      <c r="E28" s="416"/>
      <c r="F28" s="416"/>
      <c r="G28" s="416"/>
      <c r="H28" s="417"/>
      <c r="I28" s="169"/>
      <c r="J28" s="176"/>
      <c r="K28" s="177"/>
      <c r="L28" s="177"/>
      <c r="M28" s="177"/>
      <c r="N28" s="178"/>
      <c r="P28" s="160" t="str">
        <f>'Service Master'!B31</f>
        <v>Nurse-at-Home Coordination</v>
      </c>
      <c r="Q28" s="160">
        <v>14</v>
      </c>
    </row>
    <row r="29" spans="1:17" ht="37.25" customHeight="1">
      <c r="A29" s="403" t="s">
        <v>608</v>
      </c>
      <c r="B29" s="404"/>
      <c r="C29" s="404"/>
      <c r="D29" s="426">
        <f>IF($B$12="NivrāaCare Arranges Transport",'Global Pricing Config'!$B$9,0)</f>
        <v>0</v>
      </c>
      <c r="E29" s="427"/>
      <c r="F29" s="427"/>
      <c r="G29" s="427"/>
      <c r="H29" s="428"/>
      <c r="I29" s="169"/>
      <c r="J29" s="432" t="s">
        <v>988</v>
      </c>
      <c r="K29" s="432"/>
      <c r="L29" s="432"/>
      <c r="M29" s="432"/>
      <c r="N29" s="432"/>
      <c r="P29" s="160" t="str">
        <f>'Service Master'!B32</f>
        <v>Medical Tourism — Concierge Package (24 HR Basis)</v>
      </c>
      <c r="Q29" s="160">
        <v>14.5</v>
      </c>
    </row>
    <row r="30" spans="1:17" ht="37.25" customHeight="1">
      <c r="A30" s="403" t="s">
        <v>989</v>
      </c>
      <c r="B30" s="404"/>
      <c r="C30" s="404"/>
      <c r="D30" s="426">
        <f>D28+D29</f>
        <v>0</v>
      </c>
      <c r="E30" s="427"/>
      <c r="F30" s="427"/>
      <c r="G30" s="427"/>
      <c r="H30" s="428"/>
      <c r="I30" s="169"/>
      <c r="J30" s="399" t="s">
        <v>990</v>
      </c>
      <c r="K30" s="399"/>
      <c r="L30" s="399"/>
      <c r="M30" s="430">
        <f>$B$42</f>
        <v>1694</v>
      </c>
      <c r="N30" s="430"/>
      <c r="P30" s="160" t="str">
        <f>'Service Master'!B33</f>
        <v>Pharmacy / Prescription Coordination</v>
      </c>
      <c r="Q30" s="160">
        <v>15</v>
      </c>
    </row>
    <row r="31" spans="1:17" ht="40" customHeight="1">
      <c r="A31" s="403" t="s">
        <v>1043</v>
      </c>
      <c r="B31" s="404"/>
      <c r="C31" s="404"/>
      <c r="D31" s="426">
        <f>D27+D30</f>
        <v>1694</v>
      </c>
      <c r="E31" s="427"/>
      <c r="F31" s="427"/>
      <c r="G31" s="427"/>
      <c r="H31" s="428"/>
      <c r="I31" s="169"/>
      <c r="J31" s="399" t="s">
        <v>991</v>
      </c>
      <c r="K31" s="399"/>
      <c r="L31" s="399"/>
      <c r="M31" s="433">
        <f>IF(ISNUMBER($B$47),-$B$47,"")</f>
        <v>0</v>
      </c>
      <c r="N31" s="430"/>
      <c r="P31" s="160" t="str">
        <f>'Service Master'!B34</f>
        <v>Family Medical Update Concierge</v>
      </c>
      <c r="Q31" s="160">
        <v>15.5</v>
      </c>
    </row>
    <row r="32" spans="1:17" ht="34.75" customHeight="1">
      <c r="A32" s="445" t="s">
        <v>992</v>
      </c>
      <c r="B32" s="446"/>
      <c r="C32" s="446"/>
      <c r="D32" s="221">
        <f>$M$49</f>
        <v>84</v>
      </c>
      <c r="E32" s="221"/>
      <c r="F32" s="363"/>
      <c r="G32" s="363"/>
      <c r="H32" s="364"/>
      <c r="I32" s="169"/>
      <c r="J32" s="399" t="s">
        <v>985</v>
      </c>
      <c r="K32" s="399"/>
      <c r="L32" s="399"/>
      <c r="M32" s="430">
        <f>$B$48</f>
        <v>1694</v>
      </c>
      <c r="N32" s="430"/>
      <c r="P32" s="160"/>
      <c r="Q32" s="160">
        <v>16</v>
      </c>
    </row>
    <row r="33" spans="1:17" ht="52">
      <c r="A33" s="222" t="str">
        <f>"Earn "&amp;ROUND('NC Credits'!$B$6*100/'NC Credits'!$B$7,2)&amp;" NivrāaCredits per ₹100 of eligible NivrāaCare care-service spend. Credits are added after successful journey completion."</f>
        <v>Earn 5 NivrāaCredits per ₹100 of eligible NivrāaCare care-service spend. Credits are added after successful journey completion.</v>
      </c>
      <c r="B33" s="223"/>
      <c r="C33" s="224"/>
      <c r="D33" s="224"/>
      <c r="E33" s="224"/>
      <c r="F33" s="365"/>
      <c r="G33" s="365"/>
      <c r="H33" s="366"/>
      <c r="I33" s="169"/>
      <c r="J33" s="399" t="s">
        <v>993</v>
      </c>
      <c r="K33" s="399"/>
      <c r="L33" s="399"/>
      <c r="M33" s="430">
        <f>IF($B$12="NivrāaCare Arranges Transport",$B$13,0)</f>
        <v>0</v>
      </c>
      <c r="N33" s="430"/>
      <c r="P33" s="160"/>
      <c r="Q33" s="160">
        <v>16.5</v>
      </c>
    </row>
    <row r="34" spans="1:17" ht="33.25" customHeight="1">
      <c r="A34" s="225"/>
      <c r="B34" s="226"/>
      <c r="C34" s="227"/>
      <c r="D34" s="227"/>
      <c r="E34" s="227"/>
      <c r="F34" s="367"/>
      <c r="G34" s="367"/>
      <c r="H34" s="368"/>
      <c r="I34" s="169"/>
      <c r="J34" s="434" t="s">
        <v>994</v>
      </c>
      <c r="K34" s="434"/>
      <c r="L34" s="434"/>
      <c r="M34" s="456">
        <f>IF($B$12="NivrāaCare Arranges Transport",'Global Pricing Config'!$B$9,0)</f>
        <v>0</v>
      </c>
      <c r="N34" s="456"/>
      <c r="P34" s="160"/>
      <c r="Q34" s="160">
        <v>17</v>
      </c>
    </row>
    <row r="35" spans="1:17">
      <c r="A35" s="180"/>
      <c r="B35" s="181"/>
      <c r="C35" s="161"/>
      <c r="D35" s="161"/>
      <c r="E35" s="177"/>
      <c r="F35" s="369"/>
      <c r="G35" s="369"/>
      <c r="H35" s="370"/>
      <c r="I35" s="169"/>
      <c r="J35" s="399" t="s">
        <v>989</v>
      </c>
      <c r="K35" s="399"/>
      <c r="L35" s="399"/>
      <c r="M35" s="430">
        <f>$B$51</f>
        <v>0</v>
      </c>
      <c r="N35" s="430"/>
      <c r="P35" s="160"/>
      <c r="Q35" s="160">
        <v>17.5</v>
      </c>
    </row>
    <row r="36" spans="1:17" ht="32" customHeight="1">
      <c r="A36" s="228" t="s">
        <v>995</v>
      </c>
      <c r="B36" s="229"/>
      <c r="C36" s="230"/>
      <c r="D36" s="230"/>
      <c r="E36" s="230"/>
      <c r="F36" s="371"/>
      <c r="G36" s="371"/>
      <c r="H36" s="372"/>
      <c r="I36" s="169"/>
      <c r="J36" s="435" t="s">
        <v>996</v>
      </c>
      <c r="K36" s="435"/>
      <c r="L36" s="435"/>
      <c r="M36" s="436">
        <f>$B$52</f>
        <v>1694</v>
      </c>
      <c r="N36" s="436"/>
      <c r="P36" s="160"/>
      <c r="Q36" s="160">
        <v>18</v>
      </c>
    </row>
    <row r="37" spans="1:17" ht="30.75" customHeight="1">
      <c r="A37" s="231" t="s">
        <v>997</v>
      </c>
      <c r="B37" s="232" t="s">
        <v>2</v>
      </c>
      <c r="C37" s="233" t="s">
        <v>616</v>
      </c>
      <c r="D37" s="233" t="s">
        <v>998</v>
      </c>
      <c r="E37" s="234"/>
      <c r="F37" s="422" t="s">
        <v>999</v>
      </c>
      <c r="G37" s="422"/>
      <c r="H37" s="423"/>
      <c r="I37" s="169"/>
      <c r="J37" s="452" t="s">
        <v>1000</v>
      </c>
      <c r="K37" s="452"/>
      <c r="L37" s="452"/>
      <c r="M37" s="453">
        <f>$M$49</f>
        <v>84</v>
      </c>
      <c r="N37" s="452"/>
      <c r="P37" s="160"/>
      <c r="Q37" s="160">
        <v>18.5</v>
      </c>
    </row>
    <row r="38" spans="1:17" ht="16">
      <c r="A38" s="235" t="s">
        <v>600</v>
      </c>
      <c r="B38" s="236">
        <f>$B$11</f>
        <v>5</v>
      </c>
      <c r="C38" s="237" t="s">
        <v>1001</v>
      </c>
      <c r="D38" s="237" t="s">
        <v>1002</v>
      </c>
      <c r="E38" s="234"/>
      <c r="F38" s="373" t="s">
        <v>617</v>
      </c>
      <c r="G38" s="374">
        <f>MAX($B$11,'Global Pricing Config'!$B$6)</f>
        <v>5</v>
      </c>
      <c r="H38" s="375"/>
      <c r="I38" s="169"/>
      <c r="J38" s="157"/>
      <c r="K38" s="158"/>
      <c r="L38" s="158"/>
      <c r="M38" s="158"/>
      <c r="N38" s="159"/>
      <c r="P38" s="160"/>
      <c r="Q38" s="160">
        <v>19</v>
      </c>
    </row>
    <row r="39" spans="1:17" ht="26">
      <c r="A39" s="235" t="s">
        <v>981</v>
      </c>
      <c r="B39" s="238">
        <f>$G$38*$G$41</f>
        <v>1495</v>
      </c>
      <c r="C39" s="237" t="s">
        <v>1003</v>
      </c>
      <c r="D39" s="237" t="s">
        <v>1004</v>
      </c>
      <c r="E39" s="234"/>
      <c r="F39" s="373" t="s">
        <v>619</v>
      </c>
      <c r="G39" s="376">
        <f>'Global Pricing Config'!$B$5</f>
        <v>299</v>
      </c>
      <c r="H39" s="375"/>
      <c r="I39" s="169"/>
      <c r="J39" s="454" t="str">
        <f>"Transport charges are estimates and may vary based on actual third-party cab fare. " &amp;"Additional service time is billed at the selected effective service rate. " &amp;"Credits are added after successful journey completion. Current earn rate: " &amp;ROUND('NC Credits'!$B$6*100/'NC Credits'!$B$7,2) &amp; " NivrāaCredits per ₹100 eligible care-service spend."</f>
        <v>Transport charges are estimates and may vary based on actual third-party cab fare. Additional service time is billed at the selected effective service rate. Credits are added after successful journey completion. Current earn rate: 5 NivrāaCredits per ₹100 eligible care-service spend.</v>
      </c>
      <c r="K39" s="454"/>
      <c r="L39" s="454"/>
      <c r="M39" s="454"/>
      <c r="N39" s="454"/>
      <c r="P39" s="160"/>
      <c r="Q39" s="160">
        <v>19.5</v>
      </c>
    </row>
    <row r="40" spans="1:17" ht="16">
      <c r="A40" s="235" t="s">
        <v>620</v>
      </c>
      <c r="B40" s="238">
        <f>'Global Pricing Config'!$B$7</f>
        <v>199</v>
      </c>
      <c r="C40" s="237" t="s">
        <v>1005</v>
      </c>
      <c r="D40" s="237" t="s">
        <v>1006</v>
      </c>
      <c r="E40" s="234"/>
      <c r="F40" s="373" t="s">
        <v>953</v>
      </c>
      <c r="G40" s="377">
        <f>$G$7</f>
        <v>1</v>
      </c>
      <c r="H40" s="375"/>
      <c r="I40" s="169"/>
      <c r="J40" s="454"/>
      <c r="K40" s="454"/>
      <c r="L40" s="454"/>
      <c r="M40" s="454"/>
      <c r="N40" s="454"/>
      <c r="P40" s="160"/>
      <c r="Q40" s="160">
        <v>20</v>
      </c>
    </row>
    <row r="41" spans="1:17" ht="26">
      <c r="A41" s="235" t="s">
        <v>1007</v>
      </c>
      <c r="B41" s="238">
        <f>IF(IFERROR(ISNUMBER(SEARCH("Manual",$G$42)),FALSE),"",B39+B40)</f>
        <v>1694</v>
      </c>
      <c r="C41" s="237" t="s">
        <v>1008</v>
      </c>
      <c r="D41" s="237" t="s">
        <v>1009</v>
      </c>
      <c r="E41" s="234"/>
      <c r="F41" s="373" t="s">
        <v>971</v>
      </c>
      <c r="G41" s="376">
        <f>G39*G40</f>
        <v>299</v>
      </c>
      <c r="H41" s="375"/>
      <c r="I41" s="169"/>
      <c r="J41" s="455" t="str">
        <f>IF(IFERROR(ISNUMBER(SEARCH("Manual",$G$9)),FALSE),"MANUAL PRICING REQUIRED — customer total will appear only after an approved override is entered.","Quote generated from the current NivrāaCare master pricing model.")</f>
        <v>Quote generated from the current NivrāaCare master pricing model.</v>
      </c>
      <c r="K41" s="455"/>
      <c r="L41" s="455"/>
      <c r="M41" s="455"/>
      <c r="N41" s="455"/>
      <c r="P41" s="160"/>
      <c r="Q41" s="160">
        <v>20.5</v>
      </c>
    </row>
    <row r="42" spans="1:17" ht="26">
      <c r="A42" s="235" t="s">
        <v>983</v>
      </c>
      <c r="B42" s="238">
        <f>IF(ISNUMBER($B$14),$B$14,B41)</f>
        <v>1694</v>
      </c>
      <c r="C42" s="237" t="s">
        <v>1010</v>
      </c>
      <c r="D42" s="237" t="s">
        <v>1011</v>
      </c>
      <c r="E42" s="234"/>
      <c r="F42" s="373" t="s">
        <v>673</v>
      </c>
      <c r="G42" s="378" t="str">
        <f>$G$9</f>
        <v>AUTO</v>
      </c>
      <c r="H42" s="375"/>
      <c r="I42" s="169"/>
      <c r="J42" s="455"/>
      <c r="K42" s="455"/>
      <c r="L42" s="455"/>
      <c r="M42" s="455"/>
      <c r="N42" s="455"/>
      <c r="P42" s="160"/>
      <c r="Q42" s="160">
        <v>21</v>
      </c>
    </row>
    <row r="43" spans="1:17" ht="26">
      <c r="A43" s="235" t="s">
        <v>1012</v>
      </c>
      <c r="B43" s="238" t="str">
        <f>IF(NOT(ISNUMBER(B42)),"",$B$16)</f>
        <v>-</v>
      </c>
      <c r="C43" s="237" t="s">
        <v>1013</v>
      </c>
      <c r="D43" s="237" t="s">
        <v>1014</v>
      </c>
      <c r="E43" s="234"/>
      <c r="F43" s="234" t="s">
        <v>1015</v>
      </c>
      <c r="G43" s="447" t="str">
        <f>IF(IFERROR(ISNUMBER(SEARCH("Manual",G42)),FALSE),"MANUAL PRICING REQUIRED","AUTO PRICING")</f>
        <v>AUTO PRICING</v>
      </c>
      <c r="H43" s="448"/>
      <c r="I43" s="169"/>
      <c r="J43" s="169"/>
      <c r="K43" s="169"/>
      <c r="L43" s="169"/>
      <c r="M43" s="169"/>
      <c r="N43" s="169"/>
      <c r="P43" s="160"/>
      <c r="Q43" s="160">
        <v>21.5</v>
      </c>
    </row>
    <row r="44" spans="1:17" ht="16">
      <c r="A44" s="235" t="s">
        <v>1016</v>
      </c>
      <c r="B44" s="238">
        <f>IF(NOT(ISNUMBER(B42)),"",B42*'Global Pricing Config'!$B$14)</f>
        <v>338.8</v>
      </c>
      <c r="C44" s="237" t="s">
        <v>1017</v>
      </c>
      <c r="D44" s="237" t="s">
        <v>1018</v>
      </c>
      <c r="E44" s="234"/>
      <c r="F44" s="379"/>
      <c r="G44" s="379"/>
      <c r="H44" s="380"/>
      <c r="I44" s="169"/>
      <c r="J44" s="429" t="s">
        <v>1019</v>
      </c>
      <c r="K44" s="429" t="s">
        <v>1019</v>
      </c>
      <c r="L44" s="429" t="s">
        <v>1019</v>
      </c>
      <c r="M44" s="429" t="s">
        <v>1019</v>
      </c>
      <c r="N44" s="429" t="s">
        <v>1019</v>
      </c>
      <c r="P44" s="160"/>
      <c r="Q44" s="160">
        <v>22</v>
      </c>
    </row>
    <row r="45" spans="1:17" ht="16">
      <c r="A45" s="235" t="s">
        <v>991</v>
      </c>
      <c r="B45" s="238">
        <f>IF(NOT(ISNUMBER(B42)),"",MIN(MAX(B43,0),MAX(B44,0),MAX(B42,0)))</f>
        <v>0</v>
      </c>
      <c r="C45" s="237" t="s">
        <v>1020</v>
      </c>
      <c r="D45" s="237" t="s">
        <v>1021</v>
      </c>
      <c r="E45" s="234"/>
      <c r="F45" s="381" t="str">
        <f>"Care Price = "&amp;TEXT($G$38,"0.0")&amp;" hrs × ₹"&amp;TEXT($G$39,"#,##0")&amp;" × "&amp;TEXT($G$40,"0.00")&amp;"x + ₹"&amp;TEXT($B$40,"#,##0")&amp;" = ₹"&amp;TEXT($B$41,"#,##0")</f>
        <v>Care Price = 5.0 hrs × ₹299 × 1.00x + ₹199 = ₹1,694</v>
      </c>
      <c r="G45" s="381"/>
      <c r="H45" s="382"/>
      <c r="I45" s="169"/>
      <c r="J45" s="399" t="s">
        <v>1022</v>
      </c>
      <c r="K45" s="399"/>
      <c r="L45" s="399"/>
      <c r="M45" s="430">
        <f>IF(NOT(ISNUMBER($B$48)),"",$B$48)</f>
        <v>1694</v>
      </c>
      <c r="N45" s="431"/>
      <c r="P45" s="160"/>
      <c r="Q45" s="160">
        <v>22.5</v>
      </c>
    </row>
    <row r="46" spans="1:17" ht="26">
      <c r="A46" s="239" t="s">
        <v>1023</v>
      </c>
      <c r="B46" s="240">
        <f>IF(NOT(ISNUMBER(B42)),"",MAX(B42-B45,0))</f>
        <v>1694</v>
      </c>
      <c r="C46" s="241" t="s">
        <v>1024</v>
      </c>
      <c r="D46" s="241" t="s">
        <v>1025</v>
      </c>
      <c r="E46" s="234"/>
      <c r="F46" s="381"/>
      <c r="G46" s="381"/>
      <c r="H46" s="382"/>
      <c r="I46" s="169"/>
      <c r="J46" s="399" t="s">
        <v>1026</v>
      </c>
      <c r="K46" s="399"/>
      <c r="L46" s="399"/>
      <c r="M46" s="438">
        <f>'NC Credits'!$B$6</f>
        <v>0.05</v>
      </c>
      <c r="N46" s="431"/>
      <c r="P46" s="160"/>
      <c r="Q46" s="160">
        <v>23</v>
      </c>
    </row>
    <row r="47" spans="1:17" ht="32">
      <c r="A47" s="242" t="s">
        <v>1027</v>
      </c>
      <c r="B47" s="243">
        <f>B45</f>
        <v>0</v>
      </c>
      <c r="C47" s="244" t="s">
        <v>1028</v>
      </c>
      <c r="D47" s="244" t="s">
        <v>1029</v>
      </c>
      <c r="E47" s="234"/>
      <c r="F47" s="381"/>
      <c r="G47" s="381"/>
      <c r="H47" s="382"/>
      <c r="I47" s="169"/>
      <c r="J47" s="399" t="s">
        <v>1030</v>
      </c>
      <c r="K47" s="399"/>
      <c r="L47" s="399"/>
      <c r="M47" s="439">
        <f>100*'NC Credits'!$B$6/'NC Credits'!$B$7</f>
        <v>5</v>
      </c>
      <c r="N47" s="431"/>
      <c r="P47" s="160"/>
      <c r="Q47" s="160">
        <v>23.5</v>
      </c>
    </row>
    <row r="48" spans="1:17" ht="16">
      <c r="A48" s="245" t="s">
        <v>1031</v>
      </c>
      <c r="B48" s="246">
        <f>B46</f>
        <v>1694</v>
      </c>
      <c r="C48" s="247" t="s">
        <v>1028</v>
      </c>
      <c r="D48" s="247" t="s">
        <v>1032</v>
      </c>
      <c r="E48" s="234"/>
      <c r="F48" s="381"/>
      <c r="G48" s="381"/>
      <c r="H48" s="382"/>
      <c r="I48" s="169"/>
      <c r="J48" s="399" t="s">
        <v>1033</v>
      </c>
      <c r="K48" s="399"/>
      <c r="L48" s="399"/>
      <c r="M48" s="440">
        <f>IF(NOT(ISNUMBER($B$48)),"",$B$48*'NC Credits'!$B$6/'NC Credits'!$B$7*'NC Credits'!$B$5)</f>
        <v>84.7</v>
      </c>
      <c r="N48" s="431"/>
      <c r="P48" s="160"/>
      <c r="Q48" s="160">
        <v>24</v>
      </c>
    </row>
    <row r="49" spans="1:14" ht="32">
      <c r="A49" s="235" t="s">
        <v>1034</v>
      </c>
      <c r="B49" s="238">
        <f>IF(NOT(ISNUMBER(B48)),"",B48-B50)</f>
        <v>258.4067796610168</v>
      </c>
      <c r="C49" s="237" t="s">
        <v>1035</v>
      </c>
      <c r="D49" s="237" t="s">
        <v>1036</v>
      </c>
      <c r="E49" s="234"/>
      <c r="F49" s="234"/>
      <c r="G49" s="234"/>
      <c r="H49" s="248"/>
      <c r="I49" s="169"/>
      <c r="J49" s="399" t="s">
        <v>1037</v>
      </c>
      <c r="K49" s="399"/>
      <c r="L49" s="399"/>
      <c r="M49" s="437">
        <f>IF(NOT(ISNUMBER(M48)),"",FLOOR(M48,1))</f>
        <v>84</v>
      </c>
      <c r="N49" s="431"/>
    </row>
    <row r="50" spans="1:14" ht="16">
      <c r="A50" s="220" t="s">
        <v>305</v>
      </c>
      <c r="B50" s="249">
        <f>IF(NOT(ISNUMBER(B48)),"",B48/(1+'Global Pricing Config'!$B$8))</f>
        <v>1435.5932203389832</v>
      </c>
      <c r="C50" s="250" t="s">
        <v>1038</v>
      </c>
      <c r="D50" s="250" t="s">
        <v>1039</v>
      </c>
      <c r="E50" s="234"/>
      <c r="F50" s="234"/>
      <c r="G50" s="234"/>
      <c r="H50" s="248"/>
      <c r="I50" s="169"/>
      <c r="J50" s="399" t="s">
        <v>1040</v>
      </c>
      <c r="K50" s="399"/>
      <c r="L50" s="399"/>
      <c r="M50" s="430" t="str">
        <f>IF('NC Credits'!$B$5=0,"CREDIT EARNING OFF",IF(NOT(ISNUMBER($B$48)),"PENDING FINAL PRICE",IF($B$48&lt;=0,"NO ELIGIBLE SPEND","CREDIT EARNING ACTIVE")))</f>
        <v>CREDIT EARNING ACTIVE</v>
      </c>
      <c r="N50" s="431"/>
    </row>
    <row r="51" spans="1:14" ht="26">
      <c r="A51" s="235" t="s">
        <v>989</v>
      </c>
      <c r="B51" s="251">
        <f>IF($B$12="NivrāaCare Arranges Transport",$B$13+'Global Pricing Config'!$B$9,0)</f>
        <v>0</v>
      </c>
      <c r="C51" s="237" t="s">
        <v>1041</v>
      </c>
      <c r="D51" s="237" t="s">
        <v>1042</v>
      </c>
      <c r="E51" s="234"/>
      <c r="F51" s="234"/>
      <c r="G51" s="234"/>
      <c r="H51" s="248"/>
      <c r="I51" s="169"/>
      <c r="J51" s="399"/>
      <c r="K51" s="399"/>
      <c r="L51" s="399"/>
      <c r="M51" s="438"/>
      <c r="N51" s="431"/>
    </row>
    <row r="52" spans="1:14" ht="16">
      <c r="A52" s="252" t="s">
        <v>1043</v>
      </c>
      <c r="B52" s="253">
        <f>IF(NOT(ISNUMBER(B48)),"",B48+B51)</f>
        <v>1694</v>
      </c>
      <c r="C52" s="254" t="s">
        <v>1044</v>
      </c>
      <c r="D52" s="254" t="s">
        <v>1045</v>
      </c>
      <c r="E52" s="255"/>
      <c r="F52" s="255"/>
      <c r="G52" s="255"/>
      <c r="H52" s="256"/>
      <c r="I52" s="169"/>
      <c r="J52" s="443" t="s">
        <v>1046</v>
      </c>
      <c r="K52" s="443"/>
      <c r="L52" s="443"/>
      <c r="M52" s="444"/>
      <c r="N52" s="443"/>
    </row>
    <row r="53" spans="1:14" ht="34.75" customHeight="1">
      <c r="A53" s="356" t="s">
        <v>1047</v>
      </c>
      <c r="B53" s="357"/>
      <c r="C53" s="358"/>
      <c r="D53" s="359"/>
      <c r="E53" s="359"/>
      <c r="F53" s="359"/>
      <c r="G53" s="359"/>
      <c r="H53" s="359"/>
      <c r="I53" s="359"/>
      <c r="J53" s="399" t="s">
        <v>1048</v>
      </c>
      <c r="K53" s="399"/>
      <c r="L53" s="399"/>
      <c r="M53" s="451">
        <f>IF(NOT(ISNUMBER(M49)),"",M49*'NC Credits'!$B$7)</f>
        <v>84</v>
      </c>
      <c r="N53" s="450"/>
    </row>
    <row r="54" spans="1:14" ht="16">
      <c r="A54" s="164" t="s">
        <v>1049</v>
      </c>
      <c r="B54" s="165" t="s">
        <v>1050</v>
      </c>
      <c r="C54" s="166" t="s">
        <v>1051</v>
      </c>
      <c r="D54" s="169"/>
      <c r="E54" s="360" t="s">
        <v>1052</v>
      </c>
      <c r="F54" s="361"/>
      <c r="G54" s="361"/>
      <c r="H54" s="361"/>
      <c r="I54" s="362"/>
      <c r="J54" s="399" t="s">
        <v>1053</v>
      </c>
      <c r="K54" s="399"/>
      <c r="L54" s="399"/>
      <c r="M54" s="449">
        <f>'NC Credits'!$B$8</f>
        <v>0.7</v>
      </c>
      <c r="N54" s="450"/>
    </row>
    <row r="55" spans="1:14" ht="26">
      <c r="A55" s="180" t="s">
        <v>934</v>
      </c>
      <c r="B55" s="182">
        <f>IF(NOT(ISNUMBER($B$52)),"",$B$52)</f>
        <v>1694</v>
      </c>
      <c r="C55" s="162" t="s">
        <v>1054</v>
      </c>
      <c r="D55" s="169"/>
      <c r="E55" s="354" t="s">
        <v>1055</v>
      </c>
      <c r="F55" s="355"/>
      <c r="G55" s="355"/>
      <c r="H55" s="389">
        <f>$B$41</f>
        <v>1694</v>
      </c>
      <c r="I55" s="388"/>
      <c r="J55" s="399" t="s">
        <v>1056</v>
      </c>
      <c r="K55" s="399"/>
      <c r="L55" s="399"/>
      <c r="M55" s="451">
        <f>IF(NOT(ISNUMBER(M53)),"",M53*M54)</f>
        <v>58.8</v>
      </c>
      <c r="N55" s="450"/>
    </row>
    <row r="56" spans="1:14" ht="26">
      <c r="A56" s="180" t="s">
        <v>1057</v>
      </c>
      <c r="B56" s="182">
        <f>IF(NOT(ISNUMBER($B$49)),"",$B$49)</f>
        <v>258.4067796610168</v>
      </c>
      <c r="C56" s="162" t="s">
        <v>1058</v>
      </c>
      <c r="D56" s="169"/>
      <c r="E56" s="354" t="s">
        <v>1059</v>
      </c>
      <c r="F56" s="355"/>
      <c r="G56" s="355"/>
      <c r="H56" s="389" t="str">
        <f>IF(ISNUMBER($B$14),$B$14,"")</f>
        <v/>
      </c>
      <c r="I56" s="388"/>
      <c r="J56" s="399" t="s">
        <v>1060</v>
      </c>
      <c r="K56" s="399"/>
      <c r="L56" s="399"/>
      <c r="M56" s="449">
        <f>IFERROR(M55/($B$50),0)</f>
        <v>4.0958677685950406E-2</v>
      </c>
      <c r="N56" s="450"/>
    </row>
    <row r="57" spans="1:14" ht="26">
      <c r="A57" s="180" t="s">
        <v>1061</v>
      </c>
      <c r="B57" s="182">
        <f>IF(NOT(ISNUMBER($B$50)),"",$B$50)</f>
        <v>1435.5932203389832</v>
      </c>
      <c r="C57" s="162" t="s">
        <v>1062</v>
      </c>
      <c r="D57" s="169"/>
      <c r="E57" s="354" t="s">
        <v>1063</v>
      </c>
      <c r="F57" s="355"/>
      <c r="G57" s="355"/>
      <c r="H57" s="389">
        <f>IF(ISNUMBER($B$14),$B$14-$B$41,0)</f>
        <v>0</v>
      </c>
      <c r="I57" s="388"/>
      <c r="J57" s="441" t="s">
        <v>1064</v>
      </c>
      <c r="K57" s="441"/>
      <c r="L57" s="441"/>
      <c r="M57" s="442" t="str">
        <f>IF(NOT(ISNUMBER($B$42)),"PENDING FINAL PRICE",IF($B$43&lt;=0,"NO CREDIT REDEMPTION",IF($B$43&gt;$B$45,"CREDIT DISCOUNT CAPPED","DISCOUNT APPLIED AS REQUESTED")))</f>
        <v>CREDIT DISCOUNT CAPPED</v>
      </c>
      <c r="N57" s="442"/>
    </row>
    <row r="58" spans="1:14" ht="26">
      <c r="A58" s="180" t="s">
        <v>1065</v>
      </c>
      <c r="B58" s="182">
        <f>IF($B$12="NivrāaCare Arranges Transport",'Global Inputs'!$B$16/(1+'Global Inputs'!$B$17),0)</f>
        <v>0</v>
      </c>
      <c r="C58" s="162" t="s">
        <v>1066</v>
      </c>
      <c r="D58" s="169"/>
      <c r="E58" s="354" t="s">
        <v>1067</v>
      </c>
      <c r="F58" s="355"/>
      <c r="G58" s="355"/>
      <c r="H58" s="390">
        <f>IF(OR(NOT(ISNUMBER($B$14)),$B$41=0),0,$B$14/$B$41-1)</f>
        <v>0</v>
      </c>
      <c r="I58" s="388"/>
      <c r="J58" s="219"/>
      <c r="K58" s="219"/>
      <c r="L58" s="219"/>
      <c r="M58" s="219"/>
      <c r="N58" s="219"/>
    </row>
    <row r="59" spans="1:14" ht="26">
      <c r="A59" s="180" t="s">
        <v>604</v>
      </c>
      <c r="B59" s="182">
        <f>IF($B$12="NivrāaCare Arranges Transport",$B$13,0)</f>
        <v>0</v>
      </c>
      <c r="C59" s="162" t="s">
        <v>1068</v>
      </c>
      <c r="D59" s="169"/>
      <c r="E59" s="354" t="s">
        <v>1069</v>
      </c>
      <c r="F59" s="355"/>
      <c r="G59" s="355"/>
      <c r="H59" s="389">
        <f>IF(NOT(ISNUMBER($B$41)),"",($B$41/(1+$G$16)+IF($B$12="NivrāaCare Arranges Transport",'Global Inputs'!$B$16/(1+'Global Inputs'!$B$17),0))-(($B$41+IF($B$12="NivrāaCare Arranges Transport",$B$13+'Global Inputs'!$B$16,0))*'Global Inputs'!$B$8+'Global Inputs'!$B$9+'Global Inputs'!$B$10+'Global Inputs'!$B$11+'Global Inputs'!$B$12+'Global Inputs'!$B$13+'Global Inputs'!$B$14+FLOOR($B$41*'NC Credits'!$B$6/'NC Credits'!$B$7,1)*'NC Credits'!$B$7*'NC Credits'!$B$8+IFERROR($B$11*$G$8*INDEX('Service Economics'!$AI$5:$AI$34,MATCH($B$10,'Service Economics'!$A$5:$A$34,0)),0)+IF($B$12="NivrāaCare Arranges Transport",'Global Inputs'!$B$18,0)))</f>
        <v>1320.2932203389832</v>
      </c>
      <c r="I59" s="388"/>
      <c r="J59" s="441" t="str">
        <f>IF(M49="","Credits will be calculated after a valid final care price is available.","You will earn "&amp;TEXT(M49,"0")&amp;" NivrāaCredits on this journey. Credits are added after successful journey completion.")</f>
        <v>You will earn 84 NivrāaCredits on this journey. Credits are added after successful journey completion.</v>
      </c>
      <c r="K59" s="441"/>
      <c r="L59" s="441"/>
      <c r="M59" s="441"/>
      <c r="N59" s="441"/>
    </row>
    <row r="60" spans="1:14" ht="26">
      <c r="A60" s="180" t="s">
        <v>105</v>
      </c>
      <c r="B60" s="182">
        <f>B57+B58</f>
        <v>1435.5932203389832</v>
      </c>
      <c r="C60" s="162" t="s">
        <v>609</v>
      </c>
      <c r="D60" s="169"/>
      <c r="E60" s="354" t="s">
        <v>1070</v>
      </c>
      <c r="F60" s="355"/>
      <c r="G60" s="355"/>
      <c r="H60" s="389">
        <f>$B$71</f>
        <v>1320.2932203389832</v>
      </c>
      <c r="I60" s="388"/>
      <c r="J60" s="441"/>
      <c r="K60" s="441"/>
      <c r="L60" s="441"/>
      <c r="M60" s="441"/>
      <c r="N60" s="441"/>
    </row>
    <row r="61" spans="1:14" ht="26">
      <c r="A61" s="180" t="s">
        <v>1071</v>
      </c>
      <c r="B61" s="182">
        <f>IF(B55="","",B55*'Global Inputs'!$B$8+'Global Inputs'!$B$9)</f>
        <v>0</v>
      </c>
      <c r="C61" s="162" t="s">
        <v>1072</v>
      </c>
      <c r="D61" s="169"/>
      <c r="E61" s="354" t="s">
        <v>1073</v>
      </c>
      <c r="F61" s="355"/>
      <c r="G61" s="355"/>
      <c r="H61" s="389">
        <f>H60-H59</f>
        <v>0</v>
      </c>
      <c r="I61" s="388"/>
      <c r="J61" s="441"/>
      <c r="K61" s="441"/>
      <c r="L61" s="441"/>
      <c r="M61" s="441"/>
      <c r="N61" s="441"/>
    </row>
    <row r="62" spans="1:14" ht="16">
      <c r="A62" s="180" t="s">
        <v>610</v>
      </c>
      <c r="B62" s="182">
        <f>'Global Inputs'!$B$10</f>
        <v>10</v>
      </c>
      <c r="C62" s="162" t="s">
        <v>1074</v>
      </c>
      <c r="D62" s="169"/>
      <c r="E62" s="354" t="s">
        <v>1075</v>
      </c>
      <c r="F62" s="355"/>
      <c r="G62" s="355"/>
      <c r="H62" s="390">
        <f>IFERROR(H59/($B$41/(1+$G$16)+IF($B$12="NivrāaCare Arranges Transport",'Global Inputs'!$B$16/(1+'Global Inputs'!$B$17),0)),0)</f>
        <v>0.91968476977567892</v>
      </c>
      <c r="I62" s="388"/>
      <c r="J62" s="169"/>
      <c r="K62" s="169"/>
      <c r="L62" s="169"/>
      <c r="M62" s="169"/>
      <c r="N62" s="169"/>
    </row>
    <row r="63" spans="1:14" ht="16">
      <c r="A63" s="180" t="s">
        <v>611</v>
      </c>
      <c r="B63" s="182">
        <f>'Global Inputs'!$B$11</f>
        <v>10</v>
      </c>
      <c r="C63" s="162" t="s">
        <v>1076</v>
      </c>
      <c r="D63" s="169"/>
      <c r="E63" s="354" t="s">
        <v>1077</v>
      </c>
      <c r="F63" s="355"/>
      <c r="G63" s="355"/>
      <c r="H63" s="390">
        <f>$B$72</f>
        <v>0.91968476977567892</v>
      </c>
      <c r="I63" s="388"/>
      <c r="J63" s="169"/>
      <c r="K63" s="169"/>
      <c r="L63" s="169"/>
      <c r="M63" s="169"/>
      <c r="N63" s="169"/>
    </row>
    <row r="64" spans="1:14" ht="16">
      <c r="A64" s="180" t="s">
        <v>1078</v>
      </c>
      <c r="B64" s="182">
        <f>'Global Inputs'!$B$12</f>
        <v>0.5</v>
      </c>
      <c r="C64" s="162" t="s">
        <v>1079</v>
      </c>
      <c r="D64" s="169"/>
      <c r="E64" s="354" t="s">
        <v>1080</v>
      </c>
      <c r="F64" s="355"/>
      <c r="G64" s="355"/>
      <c r="H64" s="390">
        <f>H63-H62</f>
        <v>0</v>
      </c>
      <c r="I64" s="388"/>
      <c r="J64" s="169"/>
      <c r="K64" s="169"/>
      <c r="L64" s="169"/>
      <c r="M64" s="169"/>
      <c r="N64" s="169"/>
    </row>
    <row r="65" spans="1:14" ht="16">
      <c r="A65" s="180" t="s">
        <v>612</v>
      </c>
      <c r="B65" s="182">
        <f>'Global Inputs'!$B$13</f>
        <v>0</v>
      </c>
      <c r="C65" s="162" t="s">
        <v>613</v>
      </c>
      <c r="D65" s="169"/>
      <c r="E65" s="385" t="s">
        <v>1081</v>
      </c>
      <c r="F65" s="386"/>
      <c r="G65" s="386"/>
      <c r="H65" s="391" t="str">
        <f>IF(IFERROR(ISNUMBER(SEARCH("Manual",$G$42)),FALSE),"MANUAL",IF(NOT(ISNUMBER($B$14)),"STANDARD",IF($B$75&lt;0,"RED",IF($B$76&lt;20%,"AMBER","GREEN"))))</f>
        <v>STANDARD</v>
      </c>
      <c r="I65" s="392"/>
      <c r="J65" s="169"/>
      <c r="K65" s="169"/>
      <c r="L65" s="169"/>
      <c r="M65" s="169"/>
      <c r="N65" s="169"/>
    </row>
    <row r="66" spans="1:14" ht="16">
      <c r="A66" s="180" t="s">
        <v>1082</v>
      </c>
      <c r="B66" s="182">
        <f>'Global Inputs'!$B$14</f>
        <v>36</v>
      </c>
      <c r="C66" s="162" t="s">
        <v>1083</v>
      </c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</row>
    <row r="67" spans="1:14" ht="26">
      <c r="A67" s="180" t="s">
        <v>1084</v>
      </c>
      <c r="B67" s="182">
        <f>$M$55</f>
        <v>58.8</v>
      </c>
      <c r="C67" s="162" t="s">
        <v>1085</v>
      </c>
      <c r="D67" s="169"/>
      <c r="E67" s="393" t="s">
        <v>1086</v>
      </c>
      <c r="F67" s="394"/>
      <c r="G67" s="394"/>
      <c r="H67" s="394"/>
      <c r="I67" s="395"/>
      <c r="J67" s="169"/>
      <c r="K67" s="169"/>
      <c r="L67" s="169"/>
      <c r="M67" s="169"/>
      <c r="N67" s="169"/>
    </row>
    <row r="68" spans="1:14" ht="26">
      <c r="A68" s="180" t="s">
        <v>614</v>
      </c>
      <c r="B68" s="182">
        <f>IFERROR($B$11*$G$8*INDEX('Service Economics'!$AI$5:$AI$34,MATCH($B$10,'Service Economics'!$A$5:$A$34,0)),0)</f>
        <v>0</v>
      </c>
      <c r="C68" s="162" t="s">
        <v>1087</v>
      </c>
      <c r="D68" s="169"/>
      <c r="E68" s="354" t="s">
        <v>953</v>
      </c>
      <c r="F68" s="355"/>
      <c r="G68" s="355"/>
      <c r="H68" s="387">
        <f>$G$40</f>
        <v>1</v>
      </c>
      <c r="I68" s="388"/>
      <c r="J68" s="169"/>
      <c r="K68" s="169"/>
      <c r="L68" s="169"/>
      <c r="M68" s="169"/>
      <c r="N68" s="169"/>
    </row>
    <row r="69" spans="1:14" ht="26">
      <c r="A69" s="180" t="s">
        <v>56</v>
      </c>
      <c r="B69" s="182">
        <f>IF($B$12="NivrāaCare Arranges Transport",'Global Inputs'!$B$18,0)</f>
        <v>0</v>
      </c>
      <c r="C69" s="162" t="s">
        <v>1088</v>
      </c>
      <c r="D69" s="169"/>
      <c r="E69" s="354" t="s">
        <v>1089</v>
      </c>
      <c r="F69" s="355"/>
      <c r="G69" s="355"/>
      <c r="H69" s="389">
        <f>IFERROR($B$71/$B$11,0)</f>
        <v>264.05864406779665</v>
      </c>
      <c r="I69" s="388"/>
      <c r="J69" s="169"/>
      <c r="K69" s="169"/>
      <c r="L69" s="169"/>
      <c r="M69" s="169"/>
      <c r="N69" s="169"/>
    </row>
    <row r="70" spans="1:14" ht="16">
      <c r="A70" s="186" t="s">
        <v>615</v>
      </c>
      <c r="B70" s="187">
        <f>SUM(B61:B69)</f>
        <v>115.3</v>
      </c>
      <c r="C70" s="167" t="s">
        <v>1090</v>
      </c>
      <c r="D70" s="169"/>
      <c r="E70" s="354" t="s">
        <v>1091</v>
      </c>
      <c r="F70" s="355"/>
      <c r="G70" s="355"/>
      <c r="H70" s="389">
        <f>IFERROR($B$75/$B$11,0)</f>
        <v>264.05864406779665</v>
      </c>
      <c r="I70" s="388"/>
      <c r="J70" s="169"/>
      <c r="K70" s="169"/>
      <c r="L70" s="169"/>
      <c r="M70" s="169"/>
      <c r="N70" s="169"/>
    </row>
    <row r="71" spans="1:14" ht="26">
      <c r="A71" s="186" t="s">
        <v>601</v>
      </c>
      <c r="B71" s="187">
        <f>IF(B60="","",B60-B70)</f>
        <v>1320.2932203389832</v>
      </c>
      <c r="C71" s="167" t="s">
        <v>1092</v>
      </c>
      <c r="D71" s="169"/>
      <c r="E71" s="354" t="s">
        <v>137</v>
      </c>
      <c r="F71" s="355"/>
      <c r="G71" s="355"/>
      <c r="H71" s="390">
        <f>$B$72</f>
        <v>0.91968476977567892</v>
      </c>
      <c r="I71" s="388"/>
      <c r="J71" s="169"/>
      <c r="K71" s="169"/>
      <c r="L71" s="169"/>
      <c r="M71" s="169"/>
      <c r="N71" s="169"/>
    </row>
    <row r="72" spans="1:14" ht="26">
      <c r="A72" s="180" t="s">
        <v>137</v>
      </c>
      <c r="B72" s="185">
        <f>IFERROR(B71/B60,0)</f>
        <v>0.91968476977567892</v>
      </c>
      <c r="C72" s="162" t="s">
        <v>1093</v>
      </c>
      <c r="D72" s="169"/>
      <c r="E72" s="354" t="s">
        <v>1094</v>
      </c>
      <c r="F72" s="355"/>
      <c r="G72" s="355"/>
      <c r="H72" s="389">
        <f>$B$67</f>
        <v>58.8</v>
      </c>
      <c r="I72" s="388"/>
      <c r="J72" s="169"/>
      <c r="K72" s="169"/>
      <c r="L72" s="169"/>
      <c r="M72" s="169"/>
      <c r="N72" s="169"/>
    </row>
    <row r="73" spans="1:14" ht="26">
      <c r="A73" s="180" t="s">
        <v>605</v>
      </c>
      <c r="B73" s="182">
        <f>IFERROR(B71/$B$11,0)</f>
        <v>264.05864406779665</v>
      </c>
      <c r="C73" s="162" t="s">
        <v>1095</v>
      </c>
      <c r="D73" s="169"/>
      <c r="E73" s="354" t="s">
        <v>1096</v>
      </c>
      <c r="F73" s="355"/>
      <c r="G73" s="355"/>
      <c r="H73" s="389">
        <f>$B$74</f>
        <v>0</v>
      </c>
      <c r="I73" s="388"/>
      <c r="J73" s="169"/>
      <c r="K73" s="169"/>
      <c r="L73" s="169"/>
      <c r="M73" s="169"/>
      <c r="N73" s="169"/>
    </row>
    <row r="74" spans="1:14" ht="26">
      <c r="A74" s="183" t="s">
        <v>1097</v>
      </c>
      <c r="B74" s="184">
        <f>IFERROR($B$11*$G$8*#REF!,0)</f>
        <v>0</v>
      </c>
      <c r="C74" s="168" t="s">
        <v>1098</v>
      </c>
      <c r="D74" s="169"/>
      <c r="E74" s="354" t="s">
        <v>1099</v>
      </c>
      <c r="F74" s="355"/>
      <c r="G74" s="355"/>
      <c r="H74" s="389">
        <f>IF($B$12="NivrāaCare Arranges Transport",$B$58-$B$69-($B$51*'Global Inputs'!$B$8),0)</f>
        <v>0</v>
      </c>
      <c r="I74" s="388"/>
      <c r="J74" s="169"/>
      <c r="K74" s="169"/>
      <c r="L74" s="169"/>
      <c r="M74" s="169"/>
      <c r="N74" s="169"/>
    </row>
    <row r="75" spans="1:14" ht="26">
      <c r="A75" s="183" t="s">
        <v>932</v>
      </c>
      <c r="B75" s="184">
        <f>B71-B74</f>
        <v>1320.2932203389832</v>
      </c>
      <c r="C75" s="168" t="s">
        <v>1100</v>
      </c>
      <c r="D75" s="169"/>
      <c r="E75" s="385" t="s">
        <v>1015</v>
      </c>
      <c r="F75" s="386"/>
      <c r="G75" s="386"/>
      <c r="H75" s="391" t="str">
        <f>IF(IFERROR(ISNUMBER(SEARCH("Manual",$G$42)),FALSE),"MANUAL",IF($B$75&lt;0,"RED",IF(OR($B$76&lt;20%,IFERROR($B$75/$B$11,0)&lt;50),"AMBER","GREEN")))</f>
        <v>GREEN</v>
      </c>
      <c r="I75" s="392"/>
      <c r="J75" s="169"/>
      <c r="K75" s="169"/>
      <c r="L75" s="169"/>
      <c r="M75" s="169"/>
      <c r="N75" s="169"/>
    </row>
    <row r="76" spans="1:14" ht="32">
      <c r="A76" s="188" t="s">
        <v>1101</v>
      </c>
      <c r="B76" s="189">
        <f>IFERROR(B75/B60,0)</f>
        <v>0.91968476977567892</v>
      </c>
      <c r="C76" s="190" t="s">
        <v>1102</v>
      </c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</row>
    <row r="77" spans="1:14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</row>
    <row r="78" spans="1:14" ht="32" customHeight="1">
      <c r="A78" s="424" t="s">
        <v>1103</v>
      </c>
      <c r="B78" s="424"/>
      <c r="C78" s="424"/>
      <c r="D78" s="424"/>
      <c r="E78" s="424"/>
      <c r="F78" s="424"/>
      <c r="G78" s="424"/>
      <c r="H78" s="424"/>
      <c r="I78" s="424"/>
      <c r="J78" s="169"/>
      <c r="K78" s="169"/>
      <c r="L78" s="169"/>
      <c r="M78" s="169"/>
      <c r="N78" s="169"/>
    </row>
    <row r="79" spans="1:14" ht="37.25" customHeight="1">
      <c r="A79" s="425" t="s">
        <v>1104</v>
      </c>
      <c r="B79" s="425"/>
      <c r="C79" s="425"/>
      <c r="D79" s="425"/>
      <c r="E79" s="425"/>
      <c r="F79" s="425"/>
      <c r="G79" s="425"/>
      <c r="H79" s="425"/>
      <c r="I79" s="425"/>
      <c r="J79" s="169"/>
      <c r="K79" s="169"/>
      <c r="L79" s="169"/>
      <c r="M79" s="169"/>
      <c r="N79" s="169"/>
    </row>
    <row r="80" spans="1:14" ht="128">
      <c r="A80" s="197" t="s">
        <v>930</v>
      </c>
      <c r="B80" s="198" t="s">
        <v>1105</v>
      </c>
      <c r="C80" s="198" t="s">
        <v>1106</v>
      </c>
      <c r="D80" s="198" t="s">
        <v>1107</v>
      </c>
      <c r="E80" s="198" t="s">
        <v>1108</v>
      </c>
      <c r="F80" s="198" t="s">
        <v>1109</v>
      </c>
      <c r="G80" s="198" t="s">
        <v>1110</v>
      </c>
      <c r="H80" s="198" t="s">
        <v>137</v>
      </c>
      <c r="I80" s="199" t="s">
        <v>1111</v>
      </c>
      <c r="J80" s="169"/>
      <c r="K80" s="169"/>
      <c r="L80" s="169"/>
      <c r="M80" s="169"/>
      <c r="N80" s="169"/>
    </row>
    <row r="81" spans="1:9">
      <c r="A81" s="200">
        <v>0.6</v>
      </c>
      <c r="B81" s="201">
        <f t="shared" ref="B81:B91" si="0">$G$14*A81</f>
        <v>179.4</v>
      </c>
      <c r="C81" s="201">
        <f t="shared" ref="C81:C91" si="1">$G$16+4*$G$14*A81</f>
        <v>717.78</v>
      </c>
      <c r="D81" s="201">
        <f t="shared" ref="D81:D91" si="2">$G$16+5*$G$14*A81</f>
        <v>897.18</v>
      </c>
      <c r="E81" s="201">
        <f t="shared" ref="E81:E91" si="3">$G$16+6*$G$14*A81</f>
        <v>1076.58</v>
      </c>
      <c r="F81" s="201">
        <f>((D81/(1+$G$17))-(D81*'Global Inputs'!$B$8+'Global Inputs'!$B$9+SUM('Global Inputs'!$B$10:$B$14)+(D81/(1+$G$17))*$M$9+5*$G$8*INDEX('Service Economics'!$AI$5:$AI$34,MATCH($B$10,'Service Economics'!$A$5:$A$34,0))))/5</f>
        <v>-10.153164712000001</v>
      </c>
      <c r="G81" s="201" t="e">
        <f>F81-(#REF!*$G$8)</f>
        <v>#REF!</v>
      </c>
      <c r="H81" s="202">
        <f t="shared" ref="H81:H91" si="4">IFERROR((F81*5)/(D81/(1+$G$17)),0)</f>
        <v>-8.4875649635524653</v>
      </c>
      <c r="I81" s="203" t="e">
        <f t="shared" ref="I81:I91" si="5">IF(G81&lt;0,"RED",IF(OR(G81&lt;50,H81&lt;20%),"AMBER","GREEN"))</f>
        <v>#REF!</v>
      </c>
    </row>
    <row r="82" spans="1:9">
      <c r="A82" s="200">
        <v>0.65</v>
      </c>
      <c r="B82" s="201">
        <f t="shared" si="0"/>
        <v>194.35</v>
      </c>
      <c r="C82" s="201">
        <f t="shared" si="1"/>
        <v>777.57999999999993</v>
      </c>
      <c r="D82" s="201">
        <f t="shared" si="2"/>
        <v>971.93</v>
      </c>
      <c r="E82" s="201">
        <f t="shared" si="3"/>
        <v>1166.2800000000002</v>
      </c>
      <c r="F82" s="201">
        <f>((D82/(1+$G$17))-(D82*'Global Inputs'!$B$8+'Global Inputs'!$B$9+SUM('Global Inputs'!$B$10:$B$14)+(D82/(1+$G$17))*$M$9+5*$G$8*INDEX('Service Economics'!$AI$5:$AI$34,MATCH($B$10,'Service Economics'!$A$5:$A$34,0))))/5</f>
        <v>-10.057614278666666</v>
      </c>
      <c r="G82" s="201" t="e">
        <f>F82-(#REF!*$G$8)</f>
        <v>#REF!</v>
      </c>
      <c r="H82" s="202">
        <f t="shared" si="4"/>
        <v>-7.761063768995708</v>
      </c>
      <c r="I82" s="203" t="e">
        <f t="shared" si="5"/>
        <v>#REF!</v>
      </c>
    </row>
    <row r="83" spans="1:9">
      <c r="A83" s="200">
        <v>0.7</v>
      </c>
      <c r="B83" s="201">
        <f t="shared" si="0"/>
        <v>209.29999999999998</v>
      </c>
      <c r="C83" s="201">
        <f t="shared" si="1"/>
        <v>837.37999999999988</v>
      </c>
      <c r="D83" s="201">
        <f t="shared" si="2"/>
        <v>1046.68</v>
      </c>
      <c r="E83" s="201">
        <f t="shared" si="3"/>
        <v>1255.98</v>
      </c>
      <c r="F83" s="201">
        <f>((D83/(1+$G$17))-(D83*'Global Inputs'!$B$8+'Global Inputs'!$B$9+SUM('Global Inputs'!$B$10:$B$14)+(D83/(1+$G$17))*$M$9+5*$G$8*INDEX('Service Economics'!$AI$5:$AI$34,MATCH($B$10,'Service Economics'!$A$5:$A$34,0))))/5</f>
        <v>-9.9620638453333328</v>
      </c>
      <c r="G83" s="201" t="e">
        <f>F83-(#REF!*$G$8)</f>
        <v>#REF!</v>
      </c>
      <c r="H83" s="202">
        <f t="shared" si="4"/>
        <v>-7.1383306110750171</v>
      </c>
      <c r="I83" s="203" t="e">
        <f t="shared" si="5"/>
        <v>#REF!</v>
      </c>
    </row>
    <row r="84" spans="1:9">
      <c r="A84" s="200">
        <v>0.75</v>
      </c>
      <c r="B84" s="201">
        <f t="shared" si="0"/>
        <v>224.25</v>
      </c>
      <c r="C84" s="201">
        <f t="shared" si="1"/>
        <v>897.18</v>
      </c>
      <c r="D84" s="201">
        <f t="shared" si="2"/>
        <v>1121.43</v>
      </c>
      <c r="E84" s="201">
        <f t="shared" si="3"/>
        <v>1345.68</v>
      </c>
      <c r="F84" s="201">
        <f>((D84/(1+$G$17))-(D84*'Global Inputs'!$B$8+'Global Inputs'!$B$9+SUM('Global Inputs'!$B$10:$B$14)+(D84/(1+$G$17))*$M$9+5*$G$8*INDEX('Service Economics'!$AI$5:$AI$34,MATCH($B$10,'Service Economics'!$A$5:$A$34,0))))/5</f>
        <v>-9.8665134119999998</v>
      </c>
      <c r="G84" s="201" t="e">
        <f>F84-(#REF!*$G$8)</f>
        <v>#REF!</v>
      </c>
      <c r="H84" s="202">
        <f t="shared" si="4"/>
        <v>-6.5986152136111924</v>
      </c>
      <c r="I84" s="203" t="e">
        <f t="shared" si="5"/>
        <v>#REF!</v>
      </c>
    </row>
    <row r="85" spans="1:9">
      <c r="A85" s="200">
        <v>0.8</v>
      </c>
      <c r="B85" s="201">
        <f t="shared" si="0"/>
        <v>239.20000000000002</v>
      </c>
      <c r="C85" s="201">
        <f t="shared" si="1"/>
        <v>956.98</v>
      </c>
      <c r="D85" s="201">
        <f t="shared" si="2"/>
        <v>1196.18</v>
      </c>
      <c r="E85" s="201">
        <f t="shared" si="3"/>
        <v>1435.38</v>
      </c>
      <c r="F85" s="201">
        <f>((D85/(1+$G$17))-(D85*'Global Inputs'!$B$8+'Global Inputs'!$B$9+SUM('Global Inputs'!$B$10:$B$14)+(D85/(1+$G$17))*$M$9+5*$G$8*INDEX('Service Economics'!$AI$5:$AI$34,MATCH($B$10,'Service Economics'!$A$5:$A$34,0))))/5</f>
        <v>-9.7709629786666667</v>
      </c>
      <c r="G85" s="201" t="e">
        <f>F85-(#REF!*$G$8)</f>
        <v>#REF!</v>
      </c>
      <c r="H85" s="202">
        <f t="shared" si="4"/>
        <v>-6.1263540888495038</v>
      </c>
      <c r="I85" s="203" t="e">
        <f t="shared" si="5"/>
        <v>#REF!</v>
      </c>
    </row>
    <row r="86" spans="1:9">
      <c r="A86" s="200">
        <v>0.85</v>
      </c>
      <c r="B86" s="201">
        <f t="shared" si="0"/>
        <v>254.15</v>
      </c>
      <c r="C86" s="201">
        <f t="shared" si="1"/>
        <v>1016.78</v>
      </c>
      <c r="D86" s="201">
        <f t="shared" si="2"/>
        <v>1270.93</v>
      </c>
      <c r="E86" s="201">
        <f t="shared" si="3"/>
        <v>1525.08</v>
      </c>
      <c r="F86" s="201">
        <f>((D86/(1+$G$17))-(D86*'Global Inputs'!$B$8+'Global Inputs'!$B$9+SUM('Global Inputs'!$B$10:$B$14)+(D86/(1+$G$17))*$M$9+5*$G$8*INDEX('Service Economics'!$AI$5:$AI$34,MATCH($B$10,'Service Economics'!$A$5:$A$34,0))))/5</f>
        <v>-9.6754125453333337</v>
      </c>
      <c r="G86" s="201" t="e">
        <f>F86-(#REF!*$G$8)</f>
        <v>#REF!</v>
      </c>
      <c r="H86" s="202">
        <f t="shared" si="4"/>
        <v>-5.7096452275105634</v>
      </c>
      <c r="I86" s="203" t="e">
        <f t="shared" si="5"/>
        <v>#REF!</v>
      </c>
    </row>
    <row r="87" spans="1:9">
      <c r="A87" s="200">
        <v>0.9</v>
      </c>
      <c r="B87" s="201">
        <f t="shared" si="0"/>
        <v>269.10000000000002</v>
      </c>
      <c r="C87" s="201">
        <f t="shared" si="1"/>
        <v>1076.5800000000002</v>
      </c>
      <c r="D87" s="201">
        <f t="shared" si="2"/>
        <v>1345.68</v>
      </c>
      <c r="E87" s="201">
        <f t="shared" si="3"/>
        <v>1614.7800000000002</v>
      </c>
      <c r="F87" s="201">
        <f>((D87/(1+$G$17))-(D87*'Global Inputs'!$B$8+'Global Inputs'!$B$9+SUM('Global Inputs'!$B$10:$B$14)+(D87/(1+$G$17))*$M$9+5*$G$8*INDEX('Service Economics'!$AI$5:$AI$34,MATCH($B$10,'Service Economics'!$A$5:$A$34,0))))/5</f>
        <v>-9.5798621120000007</v>
      </c>
      <c r="G87" s="201" t="e">
        <f>F87-(#REF!*$G$8)</f>
        <v>#REF!</v>
      </c>
      <c r="H87" s="202">
        <f t="shared" si="4"/>
        <v>-5.3392311574817199</v>
      </c>
      <c r="I87" s="203" t="e">
        <f t="shared" si="5"/>
        <v>#REF!</v>
      </c>
    </row>
    <row r="88" spans="1:9">
      <c r="A88" s="200">
        <v>1</v>
      </c>
      <c r="B88" s="201">
        <f t="shared" si="0"/>
        <v>299</v>
      </c>
      <c r="C88" s="201">
        <f t="shared" si="1"/>
        <v>1196.18</v>
      </c>
      <c r="D88" s="201">
        <f t="shared" si="2"/>
        <v>1495.18</v>
      </c>
      <c r="E88" s="201">
        <f t="shared" si="3"/>
        <v>1794.18</v>
      </c>
      <c r="F88" s="201">
        <f>((D88/(1+$G$17))-(D88*'Global Inputs'!$B$8+'Global Inputs'!$B$9+SUM('Global Inputs'!$B$10:$B$14)+(D88/(1+$G$17))*$M$9+5*$G$8*INDEX('Service Economics'!$AI$5:$AI$34,MATCH($B$10,'Service Economics'!$A$5:$A$34,0))))/5</f>
        <v>-9.3887612453333329</v>
      </c>
      <c r="G88" s="201" t="e">
        <f>F88-(#REF!*$G$8)</f>
        <v>#REF!</v>
      </c>
      <c r="H88" s="202">
        <f t="shared" si="4"/>
        <v>-4.7095138605385296</v>
      </c>
      <c r="I88" s="203" t="e">
        <f t="shared" si="5"/>
        <v>#REF!</v>
      </c>
    </row>
    <row r="89" spans="1:9">
      <c r="A89" s="200">
        <v>1.1000000000000001</v>
      </c>
      <c r="B89" s="201">
        <f t="shared" si="0"/>
        <v>328.90000000000003</v>
      </c>
      <c r="C89" s="201">
        <f t="shared" si="1"/>
        <v>1315.7800000000002</v>
      </c>
      <c r="D89" s="201">
        <f t="shared" si="2"/>
        <v>1644.6800000000003</v>
      </c>
      <c r="E89" s="201">
        <f t="shared" si="3"/>
        <v>1973.5800000000002</v>
      </c>
      <c r="F89" s="201">
        <f>((D89/(1+$G$17))-(D89*'Global Inputs'!$B$8+'Global Inputs'!$B$9+SUM('Global Inputs'!$B$10:$B$14)+(D89/(1+$G$17))*$M$9+5*$G$8*INDEX('Service Economics'!$AI$5:$AI$34,MATCH($B$10,'Service Economics'!$A$5:$A$34,0))))/5</f>
        <v>-9.1976603786666651</v>
      </c>
      <c r="G89" s="201" t="e">
        <f>F89-(#REF!*$G$8)</f>
        <v>#REF!</v>
      </c>
      <c r="H89" s="202">
        <f t="shared" si="4"/>
        <v>-4.194278086922683</v>
      </c>
      <c r="I89" s="203" t="e">
        <f t="shared" si="5"/>
        <v>#REF!</v>
      </c>
    </row>
    <row r="90" spans="1:9">
      <c r="A90" s="200">
        <v>1.2</v>
      </c>
      <c r="B90" s="201">
        <f t="shared" si="0"/>
        <v>358.8</v>
      </c>
      <c r="C90" s="201">
        <f t="shared" si="1"/>
        <v>1435.38</v>
      </c>
      <c r="D90" s="201">
        <f t="shared" si="2"/>
        <v>1794.18</v>
      </c>
      <c r="E90" s="201">
        <f t="shared" si="3"/>
        <v>2152.9799999999996</v>
      </c>
      <c r="F90" s="201">
        <f>((D90/(1+$G$17))-(D90*'Global Inputs'!$B$8+'Global Inputs'!$B$9+SUM('Global Inputs'!$B$10:$B$14)+(D90/(1+$G$17))*$M$9+5*$G$8*INDEX('Service Economics'!$AI$5:$AI$34,MATCH($B$10,'Service Economics'!$A$5:$A$34,0))))/5</f>
        <v>-9.006559511999999</v>
      </c>
      <c r="G90" s="201" t="e">
        <f>F90-(#REF!*$G$8)</f>
        <v>#REF!</v>
      </c>
      <c r="H90" s="202">
        <f t="shared" si="4"/>
        <v>-3.7649063271243683</v>
      </c>
      <c r="I90" s="203" t="e">
        <f t="shared" si="5"/>
        <v>#REF!</v>
      </c>
    </row>
    <row r="91" spans="1:9">
      <c r="A91" s="204">
        <v>1.3</v>
      </c>
      <c r="B91" s="205">
        <f t="shared" si="0"/>
        <v>388.7</v>
      </c>
      <c r="C91" s="205">
        <f t="shared" si="1"/>
        <v>1554.98</v>
      </c>
      <c r="D91" s="205">
        <f t="shared" si="2"/>
        <v>1943.68</v>
      </c>
      <c r="E91" s="205">
        <f t="shared" si="3"/>
        <v>2332.38</v>
      </c>
      <c r="F91" s="205">
        <f>((D91/(1+$G$17))-(D91*'Global Inputs'!$B$8+'Global Inputs'!$B$9+SUM('Global Inputs'!$B$10:$B$14)+(D91/(1+$G$17))*$M$9+5*$G$8*INDEX('Service Economics'!$AI$5:$AI$34,MATCH($B$10,'Service Economics'!$A$5:$A$34,0))))/5</f>
        <v>-8.815458645333333</v>
      </c>
      <c r="G91" s="205" t="e">
        <f>F91-(#REF!*$G$8)</f>
        <v>#REF!</v>
      </c>
      <c r="H91" s="206">
        <f t="shared" si="4"/>
        <v>-3.4015856437273624</v>
      </c>
      <c r="I91" s="207" t="e">
        <f t="shared" si="5"/>
        <v>#REF!</v>
      </c>
    </row>
  </sheetData>
  <mergeCells count="176">
    <mergeCell ref="J57:L57"/>
    <mergeCell ref="M57:N57"/>
    <mergeCell ref="J59:N61"/>
    <mergeCell ref="J52:N52"/>
    <mergeCell ref="A32:C32"/>
    <mergeCell ref="G43:H43"/>
    <mergeCell ref="J54:L54"/>
    <mergeCell ref="M54:N54"/>
    <mergeCell ref="J55:L55"/>
    <mergeCell ref="M55:N55"/>
    <mergeCell ref="J56:L56"/>
    <mergeCell ref="M56:N56"/>
    <mergeCell ref="J37:L37"/>
    <mergeCell ref="M37:N37"/>
    <mergeCell ref="J39:N42"/>
    <mergeCell ref="J53:L53"/>
    <mergeCell ref="M53:N53"/>
    <mergeCell ref="M34:N34"/>
    <mergeCell ref="J35:L35"/>
    <mergeCell ref="M35:N35"/>
    <mergeCell ref="J49:L49"/>
    <mergeCell ref="M49:N49"/>
    <mergeCell ref="J50:L50"/>
    <mergeCell ref="M50:N50"/>
    <mergeCell ref="J51:L51"/>
    <mergeCell ref="M51:N51"/>
    <mergeCell ref="J46:L46"/>
    <mergeCell ref="M46:N46"/>
    <mergeCell ref="J47:L47"/>
    <mergeCell ref="M47:N47"/>
    <mergeCell ref="J48:L48"/>
    <mergeCell ref="M48:N48"/>
    <mergeCell ref="J44:N44"/>
    <mergeCell ref="J45:L45"/>
    <mergeCell ref="M45:N45"/>
    <mergeCell ref="J29:N29"/>
    <mergeCell ref="J30:L30"/>
    <mergeCell ref="M30:N30"/>
    <mergeCell ref="J31:L31"/>
    <mergeCell ref="M31:N31"/>
    <mergeCell ref="J32:L32"/>
    <mergeCell ref="M32:N32"/>
    <mergeCell ref="J33:L33"/>
    <mergeCell ref="M33:N33"/>
    <mergeCell ref="J34:L34"/>
    <mergeCell ref="J36:L36"/>
    <mergeCell ref="M36:N36"/>
    <mergeCell ref="F37:H37"/>
    <mergeCell ref="A78:I78"/>
    <mergeCell ref="A79:I79"/>
    <mergeCell ref="A25:C25"/>
    <mergeCell ref="D25:H25"/>
    <mergeCell ref="A26:C2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E58:G58"/>
    <mergeCell ref="E59:G59"/>
    <mergeCell ref="E60:G60"/>
    <mergeCell ref="A29:C29"/>
    <mergeCell ref="D29:H29"/>
    <mergeCell ref="A30:C30"/>
    <mergeCell ref="D30:H30"/>
    <mergeCell ref="A31:C31"/>
    <mergeCell ref="D31:H31"/>
    <mergeCell ref="G18:I18"/>
    <mergeCell ref="G19:I19"/>
    <mergeCell ref="A17:D17"/>
    <mergeCell ref="D26:H26"/>
    <mergeCell ref="A27:C27"/>
    <mergeCell ref="D27:H27"/>
    <mergeCell ref="A28:C28"/>
    <mergeCell ref="D28:H28"/>
    <mergeCell ref="A20:H20"/>
    <mergeCell ref="J26:K26"/>
    <mergeCell ref="L26:N26"/>
    <mergeCell ref="J27:K27"/>
    <mergeCell ref="L27:N27"/>
    <mergeCell ref="J4:N4"/>
    <mergeCell ref="J5:L5"/>
    <mergeCell ref="M5:N5"/>
    <mergeCell ref="J6:L6"/>
    <mergeCell ref="M6:N6"/>
    <mergeCell ref="J7:L7"/>
    <mergeCell ref="M7:N7"/>
    <mergeCell ref="J8:L8"/>
    <mergeCell ref="M8:N8"/>
    <mergeCell ref="J9:L9"/>
    <mergeCell ref="M9:N9"/>
    <mergeCell ref="J23:K23"/>
    <mergeCell ref="L23:N23"/>
    <mergeCell ref="J24:K24"/>
    <mergeCell ref="L24:N24"/>
    <mergeCell ref="J25:K25"/>
    <mergeCell ref="L25:N25"/>
    <mergeCell ref="J20:N20"/>
    <mergeCell ref="J21:K21"/>
    <mergeCell ref="L21:N21"/>
    <mergeCell ref="J22:K22"/>
    <mergeCell ref="L22:N22"/>
    <mergeCell ref="E72:G72"/>
    <mergeCell ref="E73:G73"/>
    <mergeCell ref="E74:G74"/>
    <mergeCell ref="E75:G75"/>
    <mergeCell ref="H68:I68"/>
    <mergeCell ref="H69:I69"/>
    <mergeCell ref="H70:I70"/>
    <mergeCell ref="H71:I71"/>
    <mergeCell ref="H72:I72"/>
    <mergeCell ref="H73:I73"/>
    <mergeCell ref="H74:I74"/>
    <mergeCell ref="H75:I75"/>
    <mergeCell ref="E67:I67"/>
    <mergeCell ref="E68:G68"/>
    <mergeCell ref="E69:G69"/>
    <mergeCell ref="E70:G70"/>
    <mergeCell ref="E71:G71"/>
    <mergeCell ref="E63:G63"/>
    <mergeCell ref="E64:G64"/>
    <mergeCell ref="E65:G65"/>
    <mergeCell ref="H55:I55"/>
    <mergeCell ref="H56:I56"/>
    <mergeCell ref="C10:D10"/>
    <mergeCell ref="C11:D11"/>
    <mergeCell ref="E61:G61"/>
    <mergeCell ref="E62:G62"/>
    <mergeCell ref="A53:I53"/>
    <mergeCell ref="E54:I54"/>
    <mergeCell ref="E55:G55"/>
    <mergeCell ref="E56:G56"/>
    <mergeCell ref="E57:G57"/>
    <mergeCell ref="F32:H32"/>
    <mergeCell ref="F33:H36"/>
    <mergeCell ref="F38:H42"/>
    <mergeCell ref="F44:H48"/>
    <mergeCell ref="C16:D16"/>
    <mergeCell ref="A21:C21"/>
    <mergeCell ref="D21:H21"/>
    <mergeCell ref="A22:C22"/>
    <mergeCell ref="D22:H22"/>
    <mergeCell ref="A23:C23"/>
    <mergeCell ref="D23:H23"/>
    <mergeCell ref="A24:C24"/>
    <mergeCell ref="D24:H24"/>
    <mergeCell ref="G16:I16"/>
    <mergeCell ref="G17:I17"/>
    <mergeCell ref="A1:N1"/>
    <mergeCell ref="A2:N2"/>
    <mergeCell ref="A4:D4"/>
    <mergeCell ref="C5:D5"/>
    <mergeCell ref="C6:D6"/>
    <mergeCell ref="C12:D12"/>
    <mergeCell ref="C13:D13"/>
    <mergeCell ref="C14:D14"/>
    <mergeCell ref="C15:D15"/>
    <mergeCell ref="F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C7:D7"/>
    <mergeCell ref="C8:D8"/>
    <mergeCell ref="C9:D9"/>
  </mergeCells>
  <conditionalFormatting sqref="A17:D17">
    <cfRule type="expression" dxfId="19" priority="1">
      <formula>A17="MANUAL PRICING REQUIRED"</formula>
    </cfRule>
    <cfRule type="expression" dxfId="18" priority="2">
      <formula>A17="AUTO PRICING ACTIVE"</formula>
    </cfRule>
  </conditionalFormatting>
  <conditionalFormatting sqref="A81:I91">
    <cfRule type="expression" dxfId="17" priority="14">
      <formula>ABS($A81-$G$7)&lt;0.0001</formula>
    </cfRule>
  </conditionalFormatting>
  <conditionalFormatting sqref="H65:I65">
    <cfRule type="expression" dxfId="16" priority="3">
      <formula>H65="RED"</formula>
    </cfRule>
    <cfRule type="expression" dxfId="15" priority="4">
      <formula>H65="AMBER"</formula>
    </cfRule>
    <cfRule type="expression" dxfId="14" priority="5">
      <formula>H65="GREEN"</formula>
    </cfRule>
    <cfRule type="expression" dxfId="13" priority="6">
      <formula>OR(H65="STANDARD",H65="MANUAL")</formula>
    </cfRule>
  </conditionalFormatting>
  <conditionalFormatting sqref="H75:I75">
    <cfRule type="expression" dxfId="12" priority="7">
      <formula>H75="RED"</formula>
    </cfRule>
    <cfRule type="expression" dxfId="11" priority="8">
      <formula>H75="AMBER"</formula>
    </cfRule>
    <cfRule type="expression" dxfId="10" priority="9">
      <formula>H75="GREEN"</formula>
    </cfRule>
    <cfRule type="expression" dxfId="9" priority="10">
      <formula>H75="MANUAL"</formula>
    </cfRule>
  </conditionalFormatting>
  <conditionalFormatting sqref="I81:I91">
    <cfRule type="expression" dxfId="8" priority="11">
      <formula>I81="RED"</formula>
    </cfRule>
    <cfRule type="expression" dxfId="7" priority="12">
      <formula>I81="AMBER"</formula>
    </cfRule>
    <cfRule type="expression" dxfId="6" priority="13">
      <formula>I81="GREEN"</formula>
    </cfRule>
  </conditionalFormatting>
  <conditionalFormatting sqref="M50:N50">
    <cfRule type="expression" dxfId="5" priority="15">
      <formula>M50="CREDIT EARNING ACTIVE"</formula>
    </cfRule>
    <cfRule type="expression" dxfId="4" priority="16">
      <formula>OR(M50="PENDING FINAL PRICE",M50="NO ELIGIBLE SPEND",M50="CREDIT EARNING OFF")</formula>
    </cfRule>
  </conditionalFormatting>
  <conditionalFormatting sqref="M57:N57">
    <cfRule type="expression" dxfId="3" priority="17">
      <formula>M57="CREDIT DISCOUNT CAPPED"</formula>
    </cfRule>
    <cfRule type="expression" dxfId="2" priority="18">
      <formula>OR(M57="NO CREDIT REDEMPTION",M57="DISCOUNT APPLIED AS REQUESTED")</formula>
    </cfRule>
  </conditionalFormatting>
  <dataValidations count="3">
    <dataValidation type="list" sqref="B10" xr:uid="{00000000-0002-0000-1100-000000000000}">
      <formula1>$P$2:$P$31</formula1>
    </dataValidation>
    <dataValidation type="list" sqref="B11" xr:uid="{00000000-0002-0000-1100-000001000000}">
      <formula1>$Q$2:$Q$48</formula1>
    </dataValidation>
    <dataValidation type="list" sqref="B12" xr:uid="{00000000-0002-0000-1100-000002000000}">
      <formula1>"Patient Arranges Transport,NivrāaCare Arranges Transport"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0"/>
  <sheetViews>
    <sheetView workbookViewId="0">
      <selection sqref="A1:F1"/>
    </sheetView>
  </sheetViews>
  <sheetFormatPr baseColWidth="10" defaultColWidth="8.83203125" defaultRowHeight="15"/>
  <cols>
    <col min="1" max="1" width="36" customWidth="1"/>
    <col min="2" max="2" width="16" customWidth="1"/>
    <col min="3" max="4" width="22" customWidth="1"/>
    <col min="5" max="5" width="42" customWidth="1"/>
    <col min="6" max="6" width="20" customWidth="1"/>
  </cols>
  <sheetData>
    <row r="1" spans="1:6" ht="40" customHeight="1">
      <c r="A1" s="457" t="s">
        <v>1112</v>
      </c>
      <c r="B1" s="457"/>
      <c r="C1" s="457"/>
      <c r="D1" s="457"/>
      <c r="E1" s="457"/>
      <c r="F1" s="457"/>
    </row>
    <row r="2" spans="1:6">
      <c r="A2" s="458" t="s">
        <v>1113</v>
      </c>
      <c r="B2" s="458"/>
      <c r="C2" s="458"/>
      <c r="D2" s="458"/>
      <c r="E2" s="458"/>
      <c r="F2" s="458"/>
    </row>
    <row r="3" spans="1:6">
      <c r="A3" s="1"/>
      <c r="B3" s="1"/>
      <c r="C3" s="1"/>
      <c r="D3" s="1"/>
      <c r="E3" s="1"/>
      <c r="F3" s="1"/>
    </row>
    <row r="4" spans="1:6" ht="16">
      <c r="A4" s="257" t="s">
        <v>1114</v>
      </c>
      <c r="B4" s="258" t="s">
        <v>2</v>
      </c>
      <c r="C4" s="258" t="s">
        <v>3</v>
      </c>
      <c r="D4" s="258" t="s">
        <v>1115</v>
      </c>
      <c r="E4" s="258" t="s">
        <v>1116</v>
      </c>
      <c r="F4" s="259" t="s">
        <v>622</v>
      </c>
    </row>
    <row r="5" spans="1:6" ht="16">
      <c r="A5" s="260" t="s">
        <v>1117</v>
      </c>
      <c r="B5" s="261">
        <v>299</v>
      </c>
      <c r="C5" s="262" t="s">
        <v>5</v>
      </c>
      <c r="D5" s="262" t="s">
        <v>1118</v>
      </c>
      <c r="E5" s="262" t="s">
        <v>1119</v>
      </c>
      <c r="F5" s="263" t="s">
        <v>1120</v>
      </c>
    </row>
    <row r="6" spans="1:6" ht="16">
      <c r="A6" s="260" t="s">
        <v>1121</v>
      </c>
      <c r="B6" s="264">
        <v>2</v>
      </c>
      <c r="C6" s="262" t="s">
        <v>36</v>
      </c>
      <c r="D6" s="262" t="s">
        <v>1118</v>
      </c>
      <c r="E6" s="262" t="s">
        <v>1122</v>
      </c>
      <c r="F6" s="263" t="s">
        <v>1120</v>
      </c>
    </row>
    <row r="7" spans="1:6" ht="16">
      <c r="A7" s="260" t="s">
        <v>1123</v>
      </c>
      <c r="B7" s="261">
        <v>199</v>
      </c>
      <c r="C7" s="262" t="s">
        <v>20</v>
      </c>
      <c r="D7" s="262" t="s">
        <v>1124</v>
      </c>
      <c r="E7" s="262" t="s">
        <v>1125</v>
      </c>
      <c r="F7" s="263" t="s">
        <v>1120</v>
      </c>
    </row>
    <row r="8" spans="1:6" ht="16">
      <c r="A8" s="260" t="s">
        <v>1126</v>
      </c>
      <c r="B8" s="265">
        <v>0.18</v>
      </c>
      <c r="C8" s="262" t="s">
        <v>11</v>
      </c>
      <c r="D8" s="262" t="s">
        <v>1118</v>
      </c>
      <c r="E8" s="262" t="s">
        <v>1127</v>
      </c>
      <c r="F8" s="263" t="s">
        <v>1128</v>
      </c>
    </row>
    <row r="9" spans="1:6" ht="16">
      <c r="A9" s="260" t="s">
        <v>1129</v>
      </c>
      <c r="B9" s="261">
        <v>149</v>
      </c>
      <c r="C9" s="262" t="s">
        <v>20</v>
      </c>
      <c r="D9" s="262" t="s">
        <v>1124</v>
      </c>
      <c r="E9" s="262" t="s">
        <v>1130</v>
      </c>
      <c r="F9" s="263" t="s">
        <v>1120</v>
      </c>
    </row>
    <row r="10" spans="1:6" ht="16">
      <c r="A10" s="260" t="s">
        <v>1131</v>
      </c>
      <c r="B10" s="261">
        <v>500</v>
      </c>
      <c r="C10" s="262" t="s">
        <v>20</v>
      </c>
      <c r="D10" s="262" t="s">
        <v>1132</v>
      </c>
      <c r="E10" s="262" t="s">
        <v>1133</v>
      </c>
      <c r="F10" s="263" t="s">
        <v>1120</v>
      </c>
    </row>
    <row r="11" spans="1:6" ht="16">
      <c r="A11" s="260" t="s">
        <v>1134</v>
      </c>
      <c r="B11" s="266">
        <v>1</v>
      </c>
      <c r="C11" s="262" t="s">
        <v>1135</v>
      </c>
      <c r="D11" s="262" t="s">
        <v>1118</v>
      </c>
      <c r="E11" s="262" t="s">
        <v>1136</v>
      </c>
      <c r="F11" s="263" t="s">
        <v>1120</v>
      </c>
    </row>
    <row r="12" spans="1:6" ht="16">
      <c r="A12" s="260" t="s">
        <v>1137</v>
      </c>
      <c r="B12" s="265">
        <v>0.05</v>
      </c>
      <c r="C12" s="262" t="s">
        <v>782</v>
      </c>
      <c r="D12" s="262" t="s">
        <v>1138</v>
      </c>
      <c r="E12" s="262" t="s">
        <v>1139</v>
      </c>
      <c r="F12" s="263" t="s">
        <v>1120</v>
      </c>
    </row>
    <row r="13" spans="1:6" ht="16">
      <c r="A13" s="260" t="s">
        <v>1140</v>
      </c>
      <c r="B13" s="267">
        <v>1</v>
      </c>
      <c r="C13" s="262" t="s">
        <v>1141</v>
      </c>
      <c r="D13" s="262" t="s">
        <v>1138</v>
      </c>
      <c r="E13" s="262" t="s">
        <v>1142</v>
      </c>
      <c r="F13" s="263" t="s">
        <v>1120</v>
      </c>
    </row>
    <row r="14" spans="1:6" ht="16">
      <c r="A14" s="260" t="s">
        <v>1143</v>
      </c>
      <c r="B14" s="265">
        <v>0.2</v>
      </c>
      <c r="C14" s="262" t="s">
        <v>1144</v>
      </c>
      <c r="D14" s="262" t="s">
        <v>1138</v>
      </c>
      <c r="E14" s="262" t="s">
        <v>1145</v>
      </c>
      <c r="F14" s="263" t="s">
        <v>1120</v>
      </c>
    </row>
    <row r="15" spans="1:6" ht="16">
      <c r="A15" s="260" t="s">
        <v>1146</v>
      </c>
      <c r="B15" s="266">
        <v>180</v>
      </c>
      <c r="C15" s="262" t="s">
        <v>639</v>
      </c>
      <c r="D15" s="262" t="s">
        <v>1138</v>
      </c>
      <c r="E15" s="262" t="s">
        <v>1147</v>
      </c>
      <c r="F15" s="263" t="s">
        <v>1148</v>
      </c>
    </row>
    <row r="16" spans="1:6" ht="16">
      <c r="A16" s="268" t="s">
        <v>1149</v>
      </c>
      <c r="B16" s="269">
        <v>0.7</v>
      </c>
      <c r="C16" s="270" t="s">
        <v>787</v>
      </c>
      <c r="D16" s="270" t="s">
        <v>1150</v>
      </c>
      <c r="E16" s="270" t="s">
        <v>1151</v>
      </c>
      <c r="F16" s="271" t="s">
        <v>1152</v>
      </c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</sheetData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6"/>
  <sheetViews>
    <sheetView workbookViewId="0">
      <selection sqref="A1:H1"/>
    </sheetView>
  </sheetViews>
  <sheetFormatPr baseColWidth="10" defaultColWidth="8.83203125" defaultRowHeight="15"/>
  <cols>
    <col min="1" max="1" width="24" customWidth="1"/>
    <col min="2" max="2" width="38" customWidth="1"/>
    <col min="3" max="3" width="22" customWidth="1"/>
    <col min="4" max="7" width="16" customWidth="1"/>
    <col min="8" max="8" width="46" customWidth="1"/>
  </cols>
  <sheetData>
    <row r="1" spans="1:8" ht="40" customHeight="1">
      <c r="A1" s="459" t="s">
        <v>1153</v>
      </c>
      <c r="B1" s="459"/>
      <c r="C1" s="459"/>
      <c r="D1" s="459"/>
      <c r="E1" s="459"/>
      <c r="F1" s="459"/>
      <c r="G1" s="459"/>
      <c r="H1" s="459"/>
    </row>
    <row r="2" spans="1:8">
      <c r="A2" s="458" t="s">
        <v>1154</v>
      </c>
      <c r="B2" s="458"/>
      <c r="C2" s="458"/>
      <c r="D2" s="458"/>
      <c r="E2" s="458"/>
      <c r="F2" s="458"/>
      <c r="G2" s="458"/>
      <c r="H2" s="458"/>
    </row>
    <row r="3" spans="1:8">
      <c r="A3" s="1"/>
      <c r="B3" s="1"/>
      <c r="C3" s="1"/>
      <c r="D3" s="1"/>
      <c r="E3" s="1"/>
      <c r="F3" s="1"/>
      <c r="G3" s="1"/>
      <c r="H3" s="1"/>
    </row>
    <row r="4" spans="1:8" ht="32">
      <c r="A4" s="257" t="s">
        <v>1155</v>
      </c>
      <c r="B4" s="258" t="s">
        <v>1156</v>
      </c>
      <c r="C4" s="258" t="s">
        <v>1157</v>
      </c>
      <c r="D4" s="258" t="s">
        <v>1158</v>
      </c>
      <c r="E4" s="258" t="s">
        <v>1159</v>
      </c>
      <c r="F4" s="258" t="s">
        <v>1160</v>
      </c>
      <c r="G4" s="258" t="s">
        <v>1161</v>
      </c>
      <c r="H4" s="259" t="s">
        <v>1162</v>
      </c>
    </row>
    <row r="5" spans="1:8" ht="16">
      <c r="A5" s="272" t="s">
        <v>1163</v>
      </c>
      <c r="B5" s="273" t="str">
        <f>'Service Economics'!A5</f>
        <v>Hospital Visit</v>
      </c>
      <c r="C5" s="273" t="str">
        <f>'Service Economics'!B5</f>
        <v>Medical Visit</v>
      </c>
      <c r="D5" s="274">
        <f>'Service Economics'!D5</f>
        <v>1</v>
      </c>
      <c r="E5" s="273" t="str">
        <f>'Service Economics'!AH5</f>
        <v>AUTO</v>
      </c>
      <c r="F5" s="275">
        <f>'Service Economics'!F5</f>
        <v>1</v>
      </c>
      <c r="G5" s="276" t="b">
        <v>1</v>
      </c>
      <c r="H5" s="277" t="str">
        <f>'Service Economics'!AR5</f>
        <v>Full journey: home → facility → return / safe handover</v>
      </c>
    </row>
    <row r="6" spans="1:8" ht="32">
      <c r="A6" s="272" t="s">
        <v>1164</v>
      </c>
      <c r="B6" s="273" t="str">
        <f>'Service Economics'!A6</f>
        <v>Hospital Visit — Concierge at Hospital</v>
      </c>
      <c r="C6" s="273" t="str">
        <f>'Service Economics'!B6</f>
        <v>Medical Visit</v>
      </c>
      <c r="D6" s="274">
        <f>'Service Economics'!D6</f>
        <v>0.8</v>
      </c>
      <c r="E6" s="273" t="str">
        <f>'Service Economics'!AH6</f>
        <v>AUTO</v>
      </c>
      <c r="F6" s="275">
        <f>'Service Economics'!F6</f>
        <v>1</v>
      </c>
      <c r="G6" s="276" t="b">
        <v>1</v>
      </c>
      <c r="H6" s="277" t="str">
        <f>'Service Economics'!AR6</f>
        <v>Hospital-only support; reduced travel and handover responsibility</v>
      </c>
    </row>
    <row r="7" spans="1:8" ht="16">
      <c r="A7" s="272" t="s">
        <v>1165</v>
      </c>
      <c r="B7" s="273" t="str">
        <f>'Service Economics'!A7</f>
        <v>Clinic Visit</v>
      </c>
      <c r="C7" s="273" t="str">
        <f>'Service Economics'!B7</f>
        <v>Medical Visit</v>
      </c>
      <c r="D7" s="274">
        <f>'Service Economics'!D7</f>
        <v>0.9</v>
      </c>
      <c r="E7" s="273" t="str">
        <f>'Service Economics'!AH7</f>
        <v>AUTO</v>
      </c>
      <c r="F7" s="275">
        <f>'Service Economics'!F7</f>
        <v>1</v>
      </c>
      <c r="G7" s="276" t="b">
        <v>1</v>
      </c>
      <c r="H7" s="277" t="str">
        <f>'Service Economics'!AR7</f>
        <v>Shorter, lower-complexity outpatient journey</v>
      </c>
    </row>
    <row r="8" spans="1:8" ht="32">
      <c r="A8" s="272" t="s">
        <v>1166</v>
      </c>
      <c r="B8" s="273" t="str">
        <f>'Service Economics'!A8</f>
        <v>Diagnostic Center Visit</v>
      </c>
      <c r="C8" s="273" t="str">
        <f>'Service Economics'!B8</f>
        <v>Medical Visit</v>
      </c>
      <c r="D8" s="274">
        <f>'Service Economics'!D8</f>
        <v>0.85</v>
      </c>
      <c r="E8" s="273" t="str">
        <f>'Service Economics'!AH8</f>
        <v>AUTO</v>
      </c>
      <c r="F8" s="275">
        <f>'Service Economics'!F8</f>
        <v>1</v>
      </c>
      <c r="G8" s="276" t="b">
        <v>1</v>
      </c>
      <c r="H8" s="277" t="str">
        <f>'Service Economics'!AR8</f>
        <v>Generally simpler navigation / diagnostic-only workflow</v>
      </c>
    </row>
    <row r="9" spans="1:8" ht="32">
      <c r="A9" s="272" t="s">
        <v>1167</v>
      </c>
      <c r="B9" s="273" t="str">
        <f>'Service Economics'!A9</f>
        <v>Health Check-up Concierge</v>
      </c>
      <c r="C9" s="273" t="str">
        <f>'Service Economics'!B9</f>
        <v>Medical Visit</v>
      </c>
      <c r="D9" s="274">
        <f>'Service Economics'!D9</f>
        <v>0.9</v>
      </c>
      <c r="E9" s="273" t="str">
        <f>'Service Economics'!AH9</f>
        <v>AUTO</v>
      </c>
      <c r="F9" s="275">
        <f>'Service Economics'!F9</f>
        <v>1</v>
      </c>
      <c r="G9" s="276" t="b">
        <v>1</v>
      </c>
      <c r="H9" s="277" t="str">
        <f>'Service Economics'!AR9</f>
        <v>Structured preventive-care journey; moderate coordination</v>
      </c>
    </row>
    <row r="10" spans="1:8" ht="32">
      <c r="A10" s="272" t="s">
        <v>1168</v>
      </c>
      <c r="B10" s="273" t="str">
        <f>'Service Economics'!A10</f>
        <v>Hospital Admission Concierge</v>
      </c>
      <c r="C10" s="273" t="str">
        <f>'Service Economics'!B10</f>
        <v>Hospital Support</v>
      </c>
      <c r="D10" s="274">
        <f>'Service Economics'!D10</f>
        <v>1.1499999999999999</v>
      </c>
      <c r="E10" s="273" t="str">
        <f>'Service Economics'!AH10</f>
        <v>AUTO</v>
      </c>
      <c r="F10" s="275">
        <f>'Service Economics'!F10</f>
        <v>1</v>
      </c>
      <c r="G10" s="276" t="b">
        <v>1</v>
      </c>
      <c r="H10" s="277" t="str">
        <f>'Service Economics'!AR10</f>
        <v>Higher coordination, documentation and handoff complexity</v>
      </c>
    </row>
    <row r="11" spans="1:8" ht="32">
      <c r="A11" s="272" t="s">
        <v>1169</v>
      </c>
      <c r="B11" s="273" t="str">
        <f>'Service Economics'!A11</f>
        <v>Hospital Discharge Concierge</v>
      </c>
      <c r="C11" s="273" t="str">
        <f>'Service Economics'!B11</f>
        <v>Hospital Support</v>
      </c>
      <c r="D11" s="274">
        <f>'Service Economics'!D11</f>
        <v>1.1000000000000001</v>
      </c>
      <c r="E11" s="273" t="str">
        <f>'Service Economics'!AH11</f>
        <v>AUTO</v>
      </c>
      <c r="F11" s="275">
        <f>'Service Economics'!F11</f>
        <v>1</v>
      </c>
      <c r="G11" s="276" t="b">
        <v>1</v>
      </c>
      <c r="H11" s="277" t="str">
        <f>'Service Economics'!AR11</f>
        <v>Higher coordination and post-discharge handover responsibility</v>
      </c>
    </row>
    <row r="12" spans="1:8" ht="32">
      <c r="A12" s="272" t="s">
        <v>1170</v>
      </c>
      <c r="B12" s="273" t="str">
        <f>'Service Economics'!A12</f>
        <v>Overnight Hospital Concierge</v>
      </c>
      <c r="C12" s="273" t="str">
        <f>'Service Economics'!B12</f>
        <v>Hospital Support</v>
      </c>
      <c r="D12" s="274">
        <f>'Service Economics'!D12</f>
        <v>0.85</v>
      </c>
      <c r="E12" s="273" t="str">
        <f>'Service Economics'!AH12</f>
        <v>MANUAL</v>
      </c>
      <c r="F12" s="275">
        <f>'Service Economics'!F12</f>
        <v>1</v>
      </c>
      <c r="G12" s="276" t="b">
        <v>1</v>
      </c>
      <c r="H12" s="277" t="str">
        <f>'Service Economics'!AR12</f>
        <v>Long-duration service; manual pricing should supersede multiplier</v>
      </c>
    </row>
    <row r="13" spans="1:8" ht="16">
      <c r="A13" s="272" t="s">
        <v>1171</v>
      </c>
      <c r="B13" s="273" t="str">
        <f>'Service Economics'!A13</f>
        <v>Multi-Day Hospital Concierge (per 12h shift)</v>
      </c>
      <c r="C13" s="273" t="str">
        <f>'Service Economics'!B13</f>
        <v>Hospital Support</v>
      </c>
      <c r="D13" s="274">
        <f>'Service Economics'!D13</f>
        <v>0.85</v>
      </c>
      <c r="E13" s="273" t="str">
        <f>'Service Economics'!AH13</f>
        <v>MANUAL</v>
      </c>
      <c r="F13" s="275">
        <f>'Service Economics'!F13</f>
        <v>1</v>
      </c>
      <c r="G13" s="276" t="b">
        <v>1</v>
      </c>
      <c r="H13" s="277" t="str">
        <f>'Service Economics'!AR13</f>
        <v>Long-duration service; manual shift pricing</v>
      </c>
    </row>
    <row r="14" spans="1:8" ht="16">
      <c r="A14" s="272" t="s">
        <v>1172</v>
      </c>
      <c r="B14" s="273" t="str">
        <f>'Service Economics'!A14</f>
        <v>Day Surgery / Procedure Concierge</v>
      </c>
      <c r="C14" s="273" t="str">
        <f>'Service Economics'!B14</f>
        <v>Procedure &amp; Treatment</v>
      </c>
      <c r="D14" s="274">
        <f>'Service Economics'!D14</f>
        <v>1.2</v>
      </c>
      <c r="E14" s="273" t="str">
        <f>'Service Economics'!AH14</f>
        <v>AUTO</v>
      </c>
      <c r="F14" s="275">
        <f>'Service Economics'!F14</f>
        <v>1</v>
      </c>
      <c r="G14" s="276" t="b">
        <v>1</v>
      </c>
      <c r="H14" s="277" t="str">
        <f>'Service Economics'!AR14</f>
        <v>Procedure-day complexity and extended coordination</v>
      </c>
    </row>
    <row r="15" spans="1:8" ht="16">
      <c r="A15" s="272" t="s">
        <v>1173</v>
      </c>
      <c r="B15" s="273" t="str">
        <f>'Service Economics'!A15</f>
        <v>Pre-Surgery Concierge</v>
      </c>
      <c r="C15" s="273" t="str">
        <f>'Service Economics'!B15</f>
        <v>Procedure &amp; Treatment</v>
      </c>
      <c r="D15" s="274">
        <f>'Service Economics'!D15</f>
        <v>1.1000000000000001</v>
      </c>
      <c r="E15" s="273" t="str">
        <f>'Service Economics'!AH15</f>
        <v>AUTO</v>
      </c>
      <c r="F15" s="275">
        <f>'Service Economics'!F15</f>
        <v>1</v>
      </c>
      <c r="G15" s="276" t="b">
        <v>1</v>
      </c>
      <c r="H15" s="277" t="str">
        <f>'Service Economics'!AR15</f>
        <v>Preparation, records and multi-party coordination</v>
      </c>
    </row>
    <row r="16" spans="1:8" ht="16">
      <c r="A16" s="272" t="s">
        <v>1174</v>
      </c>
      <c r="B16" s="273" t="str">
        <f>'Service Economics'!A16</f>
        <v>Post-Surgery Follow-up</v>
      </c>
      <c r="C16" s="273" t="str">
        <f>'Service Economics'!B16</f>
        <v>Procedure &amp; Treatment</v>
      </c>
      <c r="D16" s="274">
        <f>'Service Economics'!D16</f>
        <v>1</v>
      </c>
      <c r="E16" s="273" t="str">
        <f>'Service Economics'!AH16</f>
        <v>AUTO</v>
      </c>
      <c r="F16" s="275">
        <f>'Service Economics'!F16</f>
        <v>1</v>
      </c>
      <c r="G16" s="276" t="b">
        <v>1</v>
      </c>
      <c r="H16" s="277" t="str">
        <f>'Service Economics'!AR16</f>
        <v>Standard follow-up journey with moderate coordination</v>
      </c>
    </row>
    <row r="17" spans="1:8" ht="16">
      <c r="A17" s="272" t="s">
        <v>1175</v>
      </c>
      <c r="B17" s="273" t="str">
        <f>'Service Economics'!A17</f>
        <v>Dialysis Visit Concierge</v>
      </c>
      <c r="C17" s="273" t="str">
        <f>'Service Economics'!B17</f>
        <v>Recurring Treatment</v>
      </c>
      <c r="D17" s="274">
        <f>'Service Economics'!D17</f>
        <v>0.9</v>
      </c>
      <c r="E17" s="273" t="str">
        <f>'Service Economics'!AH17</f>
        <v>AUTO</v>
      </c>
      <c r="F17" s="275">
        <f>'Service Economics'!F17</f>
        <v>1</v>
      </c>
      <c r="G17" s="276" t="b">
        <v>1</v>
      </c>
      <c r="H17" s="277" t="str">
        <f>'Service Economics'!AR17</f>
        <v>Recurring-service pricing; predictable workflow</v>
      </c>
    </row>
    <row r="18" spans="1:8" ht="16">
      <c r="A18" s="272" t="s">
        <v>1176</v>
      </c>
      <c r="B18" s="273" t="str">
        <f>'Service Economics'!A18</f>
        <v>Chemotherapy Visit Concierge</v>
      </c>
      <c r="C18" s="273" t="str">
        <f>'Service Economics'!B18</f>
        <v>Recurring Treatment</v>
      </c>
      <c r="D18" s="274">
        <f>'Service Economics'!D18</f>
        <v>1</v>
      </c>
      <c r="E18" s="273" t="str">
        <f>'Service Economics'!AH18</f>
        <v>AUTO</v>
      </c>
      <c r="F18" s="275">
        <f>'Service Economics'!F18</f>
        <v>1</v>
      </c>
      <c r="G18" s="276" t="b">
        <v>1</v>
      </c>
      <c r="H18" s="277" t="str">
        <f>'Service Economics'!AR18</f>
        <v>Recurring but higher emotional / coordination intensity</v>
      </c>
    </row>
    <row r="19" spans="1:8" ht="32">
      <c r="A19" s="272" t="s">
        <v>1177</v>
      </c>
      <c r="B19" s="273" t="str">
        <f>'Service Economics'!A19</f>
        <v>Radiation Therapy Concierge</v>
      </c>
      <c r="C19" s="273" t="str">
        <f>'Service Economics'!B19</f>
        <v>Recurring Treatment</v>
      </c>
      <c r="D19" s="274">
        <f>'Service Economics'!D19</f>
        <v>0.95</v>
      </c>
      <c r="E19" s="273" t="str">
        <f>'Service Economics'!AH19</f>
        <v>AUTO</v>
      </c>
      <c r="F19" s="275">
        <f>'Service Economics'!F19</f>
        <v>1</v>
      </c>
      <c r="G19" s="276" t="b">
        <v>1</v>
      </c>
      <c r="H19" s="277" t="str">
        <f>'Service Economics'!AR19</f>
        <v>Recurring treatment with relatively standardized workflow</v>
      </c>
    </row>
    <row r="20" spans="1:8" ht="16">
      <c r="A20" s="272" t="s">
        <v>1178</v>
      </c>
      <c r="B20" s="273" t="str">
        <f>'Service Economics'!A20</f>
        <v>Physiotherapy / Rehab Visit</v>
      </c>
      <c r="C20" s="273" t="str">
        <f>'Service Economics'!B20</f>
        <v>Recurring Treatment</v>
      </c>
      <c r="D20" s="274">
        <f>'Service Economics'!D20</f>
        <v>0.85</v>
      </c>
      <c r="E20" s="273" t="str">
        <f>'Service Economics'!AH20</f>
        <v>AUTO</v>
      </c>
      <c r="F20" s="275">
        <f>'Service Economics'!F20</f>
        <v>1</v>
      </c>
      <c r="G20" s="276" t="b">
        <v>1</v>
      </c>
      <c r="H20" s="277" t="str">
        <f>'Service Economics'!AR20</f>
        <v>Recurring, lower-complexity visit</v>
      </c>
    </row>
    <row r="21" spans="1:8" ht="16">
      <c r="A21" s="272" t="s">
        <v>1179</v>
      </c>
      <c r="B21" s="273" t="str">
        <f>'Service Economics'!A21</f>
        <v>Chronic Care Follow-up</v>
      </c>
      <c r="C21" s="273" t="str">
        <f>'Service Economics'!B21</f>
        <v>Continuing Care</v>
      </c>
      <c r="D21" s="274">
        <f>'Service Economics'!D21</f>
        <v>0.9</v>
      </c>
      <c r="E21" s="273" t="str">
        <f>'Service Economics'!AH21</f>
        <v>AUTO</v>
      </c>
      <c r="F21" s="275">
        <f>'Service Economics'!F21</f>
        <v>1</v>
      </c>
      <c r="G21" s="276" t="b">
        <v>1</v>
      </c>
      <c r="H21" s="277" t="str">
        <f>'Service Economics'!AR21</f>
        <v>Recurring care; predictable repeat workflow</v>
      </c>
    </row>
    <row r="22" spans="1:8" ht="16">
      <c r="A22" s="272" t="s">
        <v>1180</v>
      </c>
      <c r="B22" s="273" t="str">
        <f>'Service Economics'!A22</f>
        <v>NRI Parent Medical Concierge</v>
      </c>
      <c r="C22" s="273" t="str">
        <f>'Service Economics'!B22</f>
        <v>Continuing Care</v>
      </c>
      <c r="D22" s="274">
        <f>'Service Economics'!D22</f>
        <v>1.2</v>
      </c>
      <c r="E22" s="273" t="str">
        <f>'Service Economics'!AH22</f>
        <v>AUTO</v>
      </c>
      <c r="F22" s="275">
        <f>'Service Economics'!F22</f>
        <v>1</v>
      </c>
      <c r="G22" s="276" t="b">
        <v>1</v>
      </c>
      <c r="H22" s="277" t="str">
        <f>'Service Economics'!AR22</f>
        <v>Premium family coordination, updates and trust layer</v>
      </c>
    </row>
    <row r="23" spans="1:8" ht="32">
      <c r="A23" s="272" t="s">
        <v>1181</v>
      </c>
      <c r="B23" s="273" t="str">
        <f>'Service Economics'!A23</f>
        <v>Second Opinion Concierge</v>
      </c>
      <c r="C23" s="273" t="str">
        <f>'Service Economics'!B23</f>
        <v>Medical Coordination</v>
      </c>
      <c r="D23" s="274">
        <f>'Service Economics'!D23</f>
        <v>0.85</v>
      </c>
      <c r="E23" s="273" t="str">
        <f>'Service Economics'!AH23</f>
        <v>AUTO</v>
      </c>
      <c r="F23" s="275">
        <f>'Service Economics'!F23</f>
        <v>1</v>
      </c>
      <c r="G23" s="276" t="b">
        <v>1</v>
      </c>
      <c r="H23" s="277" t="str">
        <f>'Service Economics'!AR23</f>
        <v>Coordination-heavy but limited physical journey complexity</v>
      </c>
    </row>
    <row r="24" spans="1:8" ht="16">
      <c r="A24" s="272" t="s">
        <v>1182</v>
      </c>
      <c r="B24" s="273" t="str">
        <f>'Service Economics'!A24</f>
        <v>Teleconsultation Concierge</v>
      </c>
      <c r="C24" s="273" t="str">
        <f>'Service Economics'!B24</f>
        <v>Medical Coordination</v>
      </c>
      <c r="D24" s="274">
        <f>'Service Economics'!D24</f>
        <v>0.65</v>
      </c>
      <c r="E24" s="273" t="str">
        <f>'Service Economics'!AH24</f>
        <v>AUTO</v>
      </c>
      <c r="F24" s="275">
        <f>'Service Economics'!F24</f>
        <v>1</v>
      </c>
      <c r="G24" s="276" t="b">
        <v>1</v>
      </c>
      <c r="H24" s="277" t="str">
        <f>'Service Economics'!AR24</f>
        <v>Remote / low travel intensity</v>
      </c>
    </row>
    <row r="25" spans="1:8" ht="32">
      <c r="A25" s="272" t="s">
        <v>1183</v>
      </c>
      <c r="B25" s="273" t="str">
        <f>'Service Economics'!A25</f>
        <v>Medical Records Concierge</v>
      </c>
      <c r="C25" s="273" t="str">
        <f>'Service Economics'!B25</f>
        <v>Medical Coordination</v>
      </c>
      <c r="D25" s="274">
        <f>'Service Economics'!D25</f>
        <v>0.6</v>
      </c>
      <c r="E25" s="273" t="str">
        <f>'Service Economics'!AH25</f>
        <v>AUTO</v>
      </c>
      <c r="F25" s="275">
        <f>'Service Economics'!F25</f>
        <v>1</v>
      </c>
      <c r="G25" s="276" t="b">
        <v>1</v>
      </c>
      <c r="H25" s="277" t="str">
        <f>'Service Economics'!AR25</f>
        <v>Administrative coordination; limited physical accompaniment</v>
      </c>
    </row>
    <row r="26" spans="1:8" ht="16">
      <c r="A26" s="272" t="s">
        <v>1184</v>
      </c>
      <c r="B26" s="273" t="str">
        <f>'Service Economics'!A26</f>
        <v>Insurance / TPA Desk Concierge</v>
      </c>
      <c r="C26" s="273" t="str">
        <f>'Service Economics'!B26</f>
        <v>Medical Coordination</v>
      </c>
      <c r="D26" s="274">
        <f>'Service Economics'!D26</f>
        <v>0.75</v>
      </c>
      <c r="E26" s="273" t="str">
        <f>'Service Economics'!AH26</f>
        <v>AUTO</v>
      </c>
      <c r="F26" s="275">
        <f>'Service Economics'!F26</f>
        <v>1</v>
      </c>
      <c r="G26" s="276" t="b">
        <v>1</v>
      </c>
      <c r="H26" s="277" t="str">
        <f>'Service Economics'!AR26</f>
        <v>Administrative coordination with moderate complexity</v>
      </c>
    </row>
    <row r="27" spans="1:8" ht="16">
      <c r="A27" s="272" t="s">
        <v>1185</v>
      </c>
      <c r="B27" s="273" t="str">
        <f>'Service Economics'!A27</f>
        <v>Hospital Transfer Concierge</v>
      </c>
      <c r="C27" s="273" t="str">
        <f>'Service Economics'!B27</f>
        <v>Medical Coordination</v>
      </c>
      <c r="D27" s="274">
        <f>'Service Economics'!D27</f>
        <v>1.1000000000000001</v>
      </c>
      <c r="E27" s="273" t="str">
        <f>'Service Economics'!AH27</f>
        <v>AUTO</v>
      </c>
      <c r="F27" s="275">
        <f>'Service Economics'!F27</f>
        <v>1</v>
      </c>
      <c r="G27" s="276" t="b">
        <v>1</v>
      </c>
      <c r="H27" s="277" t="str">
        <f>'Service Economics'!AR27</f>
        <v>Higher coordination and transfer responsibility</v>
      </c>
    </row>
    <row r="28" spans="1:8" ht="32">
      <c r="A28" s="272" t="s">
        <v>1186</v>
      </c>
      <c r="B28" s="273" t="str">
        <f>'Service Economics'!A28</f>
        <v>Rehab / Nursing Facility Transfer</v>
      </c>
      <c r="C28" s="273" t="str">
        <f>'Service Economics'!B28</f>
        <v>Medical Coordination</v>
      </c>
      <c r="D28" s="274">
        <f>'Service Economics'!D28</f>
        <v>1.05</v>
      </c>
      <c r="E28" s="273" t="str">
        <f>'Service Economics'!AH28</f>
        <v>AUTO</v>
      </c>
      <c r="F28" s="275">
        <f>'Service Economics'!F28</f>
        <v>1</v>
      </c>
      <c r="G28" s="276" t="b">
        <v>1</v>
      </c>
      <c r="H28" s="277" t="str">
        <f>'Service Economics'!AR28</f>
        <v>Transfer coordination with moderate risk and handover</v>
      </c>
    </row>
    <row r="29" spans="1:8" ht="32">
      <c r="A29" s="272" t="s">
        <v>1187</v>
      </c>
      <c r="B29" s="273" t="str">
        <f>'Service Economics'!A29</f>
        <v>24×7 Urgent Care Coordination</v>
      </c>
      <c r="C29" s="273" t="str">
        <f>'Service Economics'!B29</f>
        <v>Urgent Coordination</v>
      </c>
      <c r="D29" s="274">
        <f>'Service Economics'!D29</f>
        <v>1.3</v>
      </c>
      <c r="E29" s="273" t="str">
        <f>'Service Economics'!AH29</f>
        <v>AUTO</v>
      </c>
      <c r="F29" s="275">
        <f>'Service Economics'!F29</f>
        <v>1</v>
      </c>
      <c r="G29" s="276" t="b">
        <v>1</v>
      </c>
      <c r="H29" s="277" t="str">
        <f>'Service Economics'!AR29</f>
        <v>Urgent coordination premium; higher operational readiness</v>
      </c>
    </row>
    <row r="30" spans="1:8" ht="32">
      <c r="A30" s="272" t="s">
        <v>1188</v>
      </c>
      <c r="B30" s="273" t="str">
        <f>'Service Economics'!A30</f>
        <v>Doctor-at-Home Coordination</v>
      </c>
      <c r="C30" s="273" t="str">
        <f>'Service Economics'!B30</f>
        <v>Medical Coordination</v>
      </c>
      <c r="D30" s="274">
        <f>'Service Economics'!D30</f>
        <v>0.85</v>
      </c>
      <c r="E30" s="273" t="str">
        <f>'Service Economics'!AH30</f>
        <v>AUTO</v>
      </c>
      <c r="F30" s="275">
        <f>'Service Economics'!F30</f>
        <v>1</v>
      </c>
      <c r="G30" s="276" t="b">
        <v>1</v>
      </c>
      <c r="H30" s="277" t="str">
        <f>'Service Economics'!AR30</f>
        <v>Coordination service; limited accompaniment</v>
      </c>
    </row>
    <row r="31" spans="1:8" ht="16">
      <c r="A31" s="272" t="s">
        <v>1189</v>
      </c>
      <c r="B31" s="273" t="str">
        <f>'Service Economics'!A31</f>
        <v>Nurse-at-Home Coordination</v>
      </c>
      <c r="C31" s="273" t="str">
        <f>'Service Economics'!B31</f>
        <v>Medical Coordination</v>
      </c>
      <c r="D31" s="274">
        <f>'Service Economics'!D31</f>
        <v>0.85</v>
      </c>
      <c r="E31" s="273" t="str">
        <f>'Service Economics'!AH31</f>
        <v>AUTO</v>
      </c>
      <c r="F31" s="275">
        <f>'Service Economics'!F31</f>
        <v>1</v>
      </c>
      <c r="G31" s="276" t="b">
        <v>1</v>
      </c>
      <c r="H31" s="277" t="str">
        <f>'Service Economics'!AR31</f>
        <v>Coordination service; limited accompaniment</v>
      </c>
    </row>
    <row r="32" spans="1:8" ht="32">
      <c r="A32" s="272" t="s">
        <v>1190</v>
      </c>
      <c r="B32" s="273" t="str">
        <f>'Service Economics'!A32</f>
        <v>Medical Tourism — Concierge Package (24 HR Basis)</v>
      </c>
      <c r="C32" s="273" t="str">
        <f>'Service Economics'!B32</f>
        <v>Medical Coordination</v>
      </c>
      <c r="D32" s="274">
        <f>'Service Economics'!D32</f>
        <v>2</v>
      </c>
      <c r="E32" s="273" t="str">
        <f>'Service Economics'!AH32</f>
        <v>MANUAL</v>
      </c>
      <c r="F32" s="275">
        <f>'Service Economics'!F32</f>
        <v>1</v>
      </c>
      <c r="G32" s="276" t="b">
        <v>1</v>
      </c>
      <c r="H32" s="277" t="str">
        <f>'Service Economics'!AR32</f>
        <v>Future / manual packaged pricing; not standard MVP hourly logic</v>
      </c>
    </row>
    <row r="33" spans="1:8" ht="16">
      <c r="A33" s="272" t="s">
        <v>1191</v>
      </c>
      <c r="B33" s="273" t="str">
        <f>'Service Economics'!A33</f>
        <v>Pharmacy / Prescription Coordination</v>
      </c>
      <c r="C33" s="273" t="str">
        <f>'Service Economics'!B33</f>
        <v>Medical Coordination</v>
      </c>
      <c r="D33" s="274">
        <f>'Service Economics'!D33</f>
        <v>0.65</v>
      </c>
      <c r="E33" s="273" t="str">
        <f>'Service Economics'!AH33</f>
        <v>AUTO</v>
      </c>
      <c r="F33" s="275">
        <f>'Service Economics'!F33</f>
        <v>1</v>
      </c>
      <c r="G33" s="276" t="b">
        <v>1</v>
      </c>
      <c r="H33" s="277" t="str">
        <f>'Service Economics'!AR33</f>
        <v>Low-complexity administrative / fulfilment coordination</v>
      </c>
    </row>
    <row r="34" spans="1:8" ht="32">
      <c r="A34" s="278" t="s">
        <v>1192</v>
      </c>
      <c r="B34" s="279" t="str">
        <f>'Service Economics'!A34</f>
        <v>Family Medical Update Concierge</v>
      </c>
      <c r="C34" s="279" t="str">
        <f>'Service Economics'!B34</f>
        <v>Continuing Care</v>
      </c>
      <c r="D34" s="280">
        <f>'Service Economics'!D34</f>
        <v>0.65</v>
      </c>
      <c r="E34" s="279" t="str">
        <f>'Service Economics'!AH34</f>
        <v>AUTO</v>
      </c>
      <c r="F34" s="281">
        <f>'Service Economics'!F34</f>
        <v>1</v>
      </c>
      <c r="G34" s="282" t="b">
        <v>1</v>
      </c>
      <c r="H34" s="283" t="str">
        <f>'Service Economics'!AR34</f>
        <v>Communication-focused support; no full physical journey</v>
      </c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93"/>
  <sheetViews>
    <sheetView workbookViewId="0">
      <selection sqref="A1:G1"/>
    </sheetView>
  </sheetViews>
  <sheetFormatPr baseColWidth="10" defaultColWidth="8.83203125" defaultRowHeight="15"/>
  <cols>
    <col min="1" max="1" width="34" customWidth="1"/>
    <col min="2" max="2" width="18" customWidth="1"/>
    <col min="3" max="3" width="14" customWidth="1"/>
    <col min="4" max="4" width="24" customWidth="1"/>
    <col min="5" max="5" width="18" customWidth="1"/>
    <col min="6" max="6" width="22" customWidth="1"/>
    <col min="7" max="7" width="48" customWidth="1"/>
  </cols>
  <sheetData>
    <row r="1" spans="1:7" ht="40" customHeight="1">
      <c r="A1" s="459" t="s">
        <v>1193</v>
      </c>
      <c r="B1" s="459"/>
      <c r="C1" s="459"/>
      <c r="D1" s="459"/>
      <c r="E1" s="459"/>
      <c r="F1" s="459"/>
      <c r="G1" s="459"/>
    </row>
    <row r="2" spans="1:7">
      <c r="A2" s="458" t="s">
        <v>1194</v>
      </c>
      <c r="B2" s="458"/>
      <c r="C2" s="458"/>
      <c r="D2" s="458"/>
      <c r="E2" s="458"/>
      <c r="F2" s="458"/>
      <c r="G2" s="458"/>
    </row>
    <row r="3" spans="1:7">
      <c r="A3" s="1"/>
      <c r="B3" s="1"/>
      <c r="C3" s="1"/>
      <c r="D3" s="1"/>
      <c r="E3" s="1"/>
      <c r="F3" s="1"/>
      <c r="G3" s="1"/>
    </row>
    <row r="4" spans="1:7" ht="16">
      <c r="A4" s="257" t="s">
        <v>1195</v>
      </c>
      <c r="B4" s="258" t="s">
        <v>929</v>
      </c>
      <c r="C4" s="258" t="s">
        <v>1196</v>
      </c>
      <c r="D4" s="258" t="s">
        <v>935</v>
      </c>
      <c r="E4" s="258" t="s">
        <v>1197</v>
      </c>
      <c r="F4" s="258" t="s">
        <v>1115</v>
      </c>
      <c r="G4" s="259" t="s">
        <v>1198</v>
      </c>
    </row>
    <row r="5" spans="1:7" ht="16">
      <c r="A5" s="260" t="s">
        <v>1155</v>
      </c>
      <c r="B5" s="262" t="s">
        <v>1199</v>
      </c>
      <c r="C5" s="262" t="s">
        <v>159</v>
      </c>
      <c r="D5" s="262" t="s">
        <v>1200</v>
      </c>
      <c r="E5" s="262" t="s">
        <v>1163</v>
      </c>
      <c r="F5" s="262" t="s">
        <v>1201</v>
      </c>
      <c r="G5" s="263" t="s">
        <v>1202</v>
      </c>
    </row>
    <row r="6" spans="1:7" ht="16">
      <c r="A6" s="260" t="s">
        <v>1203</v>
      </c>
      <c r="B6" s="262" t="s">
        <v>1204</v>
      </c>
      <c r="C6" s="262" t="s">
        <v>159</v>
      </c>
      <c r="D6" s="262" t="s">
        <v>1200</v>
      </c>
      <c r="E6" s="262" t="s">
        <v>1205</v>
      </c>
      <c r="F6" s="262" t="s">
        <v>1201</v>
      </c>
      <c r="G6" s="263" t="s">
        <v>1206</v>
      </c>
    </row>
    <row r="7" spans="1:7" ht="16">
      <c r="A7" s="260" t="s">
        <v>1207</v>
      </c>
      <c r="B7" s="262" t="s">
        <v>1208</v>
      </c>
      <c r="C7" s="262" t="s">
        <v>159</v>
      </c>
      <c r="D7" s="262" t="s">
        <v>1200</v>
      </c>
      <c r="E7" s="262" t="s">
        <v>1209</v>
      </c>
      <c r="F7" s="262" t="s">
        <v>1201</v>
      </c>
      <c r="G7" s="263" t="s">
        <v>1210</v>
      </c>
    </row>
    <row r="8" spans="1:7" ht="32">
      <c r="A8" s="260" t="s">
        <v>1211</v>
      </c>
      <c r="B8" s="262" t="s">
        <v>1204</v>
      </c>
      <c r="C8" s="262" t="s">
        <v>1212</v>
      </c>
      <c r="D8" s="262" t="s">
        <v>1200</v>
      </c>
      <c r="E8" s="262" t="s">
        <v>1213</v>
      </c>
      <c r="F8" s="262" t="s">
        <v>1201</v>
      </c>
      <c r="G8" s="263" t="s">
        <v>1214</v>
      </c>
    </row>
    <row r="9" spans="1:7" ht="16">
      <c r="A9" s="260" t="s">
        <v>1215</v>
      </c>
      <c r="B9" s="262" t="s">
        <v>1204</v>
      </c>
      <c r="C9" s="262" t="s">
        <v>159</v>
      </c>
      <c r="D9" s="262" t="s">
        <v>1200</v>
      </c>
      <c r="E9" s="262" t="s">
        <v>1216</v>
      </c>
      <c r="F9" s="262" t="s">
        <v>1201</v>
      </c>
      <c r="G9" s="263" t="s">
        <v>1217</v>
      </c>
    </row>
    <row r="10" spans="1:7" ht="16">
      <c r="A10" s="260" t="s">
        <v>1218</v>
      </c>
      <c r="B10" s="262" t="s">
        <v>1204</v>
      </c>
      <c r="C10" s="262" t="s">
        <v>158</v>
      </c>
      <c r="D10" s="262" t="s">
        <v>1219</v>
      </c>
      <c r="E10" s="262" t="s">
        <v>1220</v>
      </c>
      <c r="F10" s="262" t="s">
        <v>1118</v>
      </c>
      <c r="G10" s="263" t="s">
        <v>1221</v>
      </c>
    </row>
    <row r="11" spans="1:7" ht="16">
      <c r="A11" s="260" t="s">
        <v>1222</v>
      </c>
      <c r="B11" s="262" t="s">
        <v>1199</v>
      </c>
      <c r="C11" s="262" t="s">
        <v>158</v>
      </c>
      <c r="D11" s="262" t="s">
        <v>1219</v>
      </c>
      <c r="E11" s="262" t="s">
        <v>1223</v>
      </c>
      <c r="F11" s="262" t="s">
        <v>1118</v>
      </c>
      <c r="G11" s="263" t="s">
        <v>1224</v>
      </c>
    </row>
    <row r="12" spans="1:7" ht="16">
      <c r="A12" s="260" t="s">
        <v>1225</v>
      </c>
      <c r="B12" s="262" t="s">
        <v>1199</v>
      </c>
      <c r="C12" s="262" t="s">
        <v>158</v>
      </c>
      <c r="D12" s="262" t="s">
        <v>1226</v>
      </c>
      <c r="E12" s="262" t="s">
        <v>942</v>
      </c>
      <c r="F12" s="262" t="s">
        <v>1201</v>
      </c>
      <c r="G12" s="263" t="s">
        <v>1227</v>
      </c>
    </row>
    <row r="13" spans="1:7" ht="16">
      <c r="A13" s="260" t="s">
        <v>1228</v>
      </c>
      <c r="B13" s="262" t="s">
        <v>1199</v>
      </c>
      <c r="C13" s="262" t="s">
        <v>158</v>
      </c>
      <c r="D13" s="262" t="s">
        <v>1226</v>
      </c>
      <c r="E13" s="262" t="s">
        <v>1229</v>
      </c>
      <c r="F13" s="262" t="s">
        <v>1118</v>
      </c>
      <c r="G13" s="263" t="s">
        <v>1230</v>
      </c>
    </row>
    <row r="14" spans="1:7" ht="16">
      <c r="A14" s="260" t="s">
        <v>1231</v>
      </c>
      <c r="B14" s="262" t="s">
        <v>1199</v>
      </c>
      <c r="C14" s="262" t="s">
        <v>158</v>
      </c>
      <c r="D14" s="262" t="s">
        <v>1226</v>
      </c>
      <c r="E14" s="262" t="s">
        <v>1232</v>
      </c>
      <c r="F14" s="262" t="s">
        <v>1118</v>
      </c>
      <c r="G14" s="263" t="s">
        <v>1233</v>
      </c>
    </row>
    <row r="15" spans="1:7" ht="16">
      <c r="A15" s="260" t="s">
        <v>1234</v>
      </c>
      <c r="B15" s="262" t="s">
        <v>1199</v>
      </c>
      <c r="C15" s="262" t="s">
        <v>158</v>
      </c>
      <c r="D15" s="262" t="s">
        <v>1226</v>
      </c>
      <c r="E15" s="262" t="s">
        <v>1235</v>
      </c>
      <c r="F15" s="262" t="s">
        <v>1118</v>
      </c>
      <c r="G15" s="263" t="s">
        <v>1236</v>
      </c>
    </row>
    <row r="16" spans="1:7" ht="16">
      <c r="A16" s="260" t="s">
        <v>1117</v>
      </c>
      <c r="B16" s="262" t="s">
        <v>1204</v>
      </c>
      <c r="C16" s="262" t="s">
        <v>1118</v>
      </c>
      <c r="D16" s="262" t="s">
        <v>1237</v>
      </c>
      <c r="E16" s="262" t="s">
        <v>1238</v>
      </c>
      <c r="F16" s="262" t="s">
        <v>1118</v>
      </c>
      <c r="G16" s="263" t="s">
        <v>1239</v>
      </c>
    </row>
    <row r="17" spans="1:7" ht="16">
      <c r="A17" s="260" t="s">
        <v>1121</v>
      </c>
      <c r="B17" s="262" t="s">
        <v>1204</v>
      </c>
      <c r="C17" s="262" t="s">
        <v>1118</v>
      </c>
      <c r="D17" s="262" t="s">
        <v>1237</v>
      </c>
      <c r="E17" s="262" t="s">
        <v>594</v>
      </c>
      <c r="F17" s="262" t="s">
        <v>1118</v>
      </c>
      <c r="G17" s="263" t="s">
        <v>1240</v>
      </c>
    </row>
    <row r="18" spans="1:7" ht="16">
      <c r="A18" s="260" t="s">
        <v>1123</v>
      </c>
      <c r="B18" s="262" t="s">
        <v>1204</v>
      </c>
      <c r="C18" s="262" t="s">
        <v>1118</v>
      </c>
      <c r="D18" s="262" t="s">
        <v>1237</v>
      </c>
      <c r="E18" s="262" t="s">
        <v>1241</v>
      </c>
      <c r="F18" s="262" t="s">
        <v>1124</v>
      </c>
      <c r="G18" s="263" t="s">
        <v>1242</v>
      </c>
    </row>
    <row r="19" spans="1:7" ht="16">
      <c r="A19" s="260" t="s">
        <v>1126</v>
      </c>
      <c r="B19" s="262" t="s">
        <v>1204</v>
      </c>
      <c r="C19" s="262" t="s">
        <v>1118</v>
      </c>
      <c r="D19" s="262" t="s">
        <v>1237</v>
      </c>
      <c r="E19" s="262" t="s">
        <v>1243</v>
      </c>
      <c r="F19" s="262" t="s">
        <v>1118</v>
      </c>
      <c r="G19" s="263" t="s">
        <v>1244</v>
      </c>
    </row>
    <row r="20" spans="1:7" ht="16">
      <c r="A20" s="260" t="s">
        <v>1129</v>
      </c>
      <c r="B20" s="262" t="s">
        <v>1204</v>
      </c>
      <c r="C20" s="262" t="s">
        <v>1118</v>
      </c>
      <c r="D20" s="262" t="s">
        <v>1237</v>
      </c>
      <c r="E20" s="262" t="s">
        <v>1245</v>
      </c>
      <c r="F20" s="262" t="s">
        <v>1124</v>
      </c>
      <c r="G20" s="263" t="s">
        <v>1246</v>
      </c>
    </row>
    <row r="21" spans="1:7" ht="16">
      <c r="A21" s="260" t="s">
        <v>1134</v>
      </c>
      <c r="B21" s="262" t="s">
        <v>1247</v>
      </c>
      <c r="C21" s="262" t="s">
        <v>1118</v>
      </c>
      <c r="D21" s="262" t="s">
        <v>1237</v>
      </c>
      <c r="E21" s="262" t="s">
        <v>1209</v>
      </c>
      <c r="F21" s="262" t="s">
        <v>1118</v>
      </c>
      <c r="G21" s="263" t="s">
        <v>1248</v>
      </c>
    </row>
    <row r="22" spans="1:7" ht="16">
      <c r="A22" s="260" t="s">
        <v>1137</v>
      </c>
      <c r="B22" s="262" t="s">
        <v>1204</v>
      </c>
      <c r="C22" s="262" t="s">
        <v>1118</v>
      </c>
      <c r="D22" s="262" t="s">
        <v>1237</v>
      </c>
      <c r="E22" s="262" t="s">
        <v>1249</v>
      </c>
      <c r="F22" s="262" t="s">
        <v>1124</v>
      </c>
      <c r="G22" s="263" t="s">
        <v>1250</v>
      </c>
    </row>
    <row r="23" spans="1:7" ht="16">
      <c r="A23" s="260" t="s">
        <v>1140</v>
      </c>
      <c r="B23" s="262" t="s">
        <v>1204</v>
      </c>
      <c r="C23" s="262" t="s">
        <v>1118</v>
      </c>
      <c r="D23" s="262" t="s">
        <v>1237</v>
      </c>
      <c r="E23" s="262" t="s">
        <v>593</v>
      </c>
      <c r="F23" s="262" t="s">
        <v>1251</v>
      </c>
      <c r="G23" s="263" t="s">
        <v>1252</v>
      </c>
    </row>
    <row r="24" spans="1:7" ht="16">
      <c r="A24" s="260" t="s">
        <v>1143</v>
      </c>
      <c r="B24" s="262" t="s">
        <v>1204</v>
      </c>
      <c r="C24" s="262" t="s">
        <v>1118</v>
      </c>
      <c r="D24" s="262" t="s">
        <v>1237</v>
      </c>
      <c r="E24" s="262" t="s">
        <v>1253</v>
      </c>
      <c r="F24" s="262" t="s">
        <v>1118</v>
      </c>
      <c r="G24" s="263" t="s">
        <v>1254</v>
      </c>
    </row>
    <row r="25" spans="1:7" ht="16">
      <c r="A25" s="260" t="s">
        <v>1146</v>
      </c>
      <c r="B25" s="262" t="s">
        <v>1255</v>
      </c>
      <c r="C25" s="262" t="s">
        <v>1118</v>
      </c>
      <c r="D25" s="262" t="s">
        <v>1237</v>
      </c>
      <c r="E25" s="262" t="s">
        <v>1256</v>
      </c>
      <c r="F25" s="262" t="s">
        <v>1257</v>
      </c>
      <c r="G25" s="263" t="s">
        <v>1258</v>
      </c>
    </row>
    <row r="26" spans="1:7" ht="16">
      <c r="A26" s="260" t="s">
        <v>1149</v>
      </c>
      <c r="B26" s="262" t="s">
        <v>1204</v>
      </c>
      <c r="C26" s="262" t="s">
        <v>1118</v>
      </c>
      <c r="D26" s="262" t="s">
        <v>1237</v>
      </c>
      <c r="E26" s="262" t="s">
        <v>1259</v>
      </c>
      <c r="F26" s="262" t="s">
        <v>1150</v>
      </c>
      <c r="G26" s="263" t="s">
        <v>1260</v>
      </c>
    </row>
    <row r="27" spans="1:7" ht="16">
      <c r="A27" s="260" t="s">
        <v>1158</v>
      </c>
      <c r="B27" s="262" t="s">
        <v>1204</v>
      </c>
      <c r="C27" s="262" t="s">
        <v>1118</v>
      </c>
      <c r="D27" s="262" t="s">
        <v>1261</v>
      </c>
      <c r="E27" s="262" t="s">
        <v>1262</v>
      </c>
      <c r="F27" s="262" t="s">
        <v>1118</v>
      </c>
      <c r="G27" s="263" t="s">
        <v>1263</v>
      </c>
    </row>
    <row r="28" spans="1:7" ht="16">
      <c r="A28" s="260" t="s">
        <v>1159</v>
      </c>
      <c r="B28" s="262" t="s">
        <v>1199</v>
      </c>
      <c r="C28" s="262" t="s">
        <v>1118</v>
      </c>
      <c r="D28" s="262" t="s">
        <v>1261</v>
      </c>
      <c r="E28" s="262" t="s">
        <v>1264</v>
      </c>
      <c r="F28" s="262" t="s">
        <v>1118</v>
      </c>
      <c r="G28" s="263" t="s">
        <v>1265</v>
      </c>
    </row>
    <row r="29" spans="1:7" ht="16">
      <c r="A29" s="260" t="s">
        <v>1160</v>
      </c>
      <c r="B29" s="262" t="s">
        <v>1255</v>
      </c>
      <c r="C29" s="262" t="s">
        <v>1118</v>
      </c>
      <c r="D29" s="262" t="s">
        <v>1261</v>
      </c>
      <c r="E29" s="262" t="s">
        <v>593</v>
      </c>
      <c r="F29" s="262" t="s">
        <v>1118</v>
      </c>
      <c r="G29" s="263" t="s">
        <v>1266</v>
      </c>
    </row>
    <row r="30" spans="1:7" ht="16">
      <c r="A30" s="260" t="s">
        <v>1267</v>
      </c>
      <c r="B30" s="262" t="s">
        <v>1204</v>
      </c>
      <c r="C30" s="262" t="s">
        <v>1268</v>
      </c>
      <c r="D30" s="262" t="s">
        <v>616</v>
      </c>
      <c r="E30" s="262" t="s">
        <v>1205</v>
      </c>
      <c r="F30" s="262" t="s">
        <v>1201</v>
      </c>
      <c r="G30" s="263" t="s">
        <v>1269</v>
      </c>
    </row>
    <row r="31" spans="1:7" ht="16">
      <c r="A31" s="260" t="s">
        <v>1270</v>
      </c>
      <c r="B31" s="262" t="s">
        <v>1204</v>
      </c>
      <c r="C31" s="262" t="s">
        <v>1268</v>
      </c>
      <c r="D31" s="262" t="s">
        <v>616</v>
      </c>
      <c r="E31" s="262" t="s">
        <v>1238</v>
      </c>
      <c r="F31" s="262" t="s">
        <v>1201</v>
      </c>
      <c r="G31" s="263" t="s">
        <v>1271</v>
      </c>
    </row>
    <row r="32" spans="1:7" ht="16">
      <c r="A32" s="260" t="s">
        <v>1272</v>
      </c>
      <c r="B32" s="262" t="s">
        <v>1204</v>
      </c>
      <c r="C32" s="262" t="s">
        <v>1268</v>
      </c>
      <c r="D32" s="262" t="s">
        <v>616</v>
      </c>
      <c r="E32" s="262" t="s">
        <v>1273</v>
      </c>
      <c r="F32" s="262" t="s">
        <v>1201</v>
      </c>
      <c r="G32" s="263" t="s">
        <v>1274</v>
      </c>
    </row>
    <row r="33" spans="1:7" ht="32">
      <c r="A33" s="260" t="s">
        <v>1275</v>
      </c>
      <c r="B33" s="262" t="s">
        <v>1204</v>
      </c>
      <c r="C33" s="262" t="s">
        <v>1268</v>
      </c>
      <c r="D33" s="262" t="s">
        <v>616</v>
      </c>
      <c r="E33" s="262" t="s">
        <v>1276</v>
      </c>
      <c r="F33" s="262" t="s">
        <v>1201</v>
      </c>
      <c r="G33" s="263" t="s">
        <v>1277</v>
      </c>
    </row>
    <row r="34" spans="1:7" ht="16">
      <c r="A34" s="260" t="s">
        <v>1278</v>
      </c>
      <c r="B34" s="262" t="s">
        <v>1204</v>
      </c>
      <c r="C34" s="262" t="s">
        <v>1268</v>
      </c>
      <c r="D34" s="262" t="s">
        <v>616</v>
      </c>
      <c r="E34" s="262" t="s">
        <v>1216</v>
      </c>
      <c r="F34" s="262" t="s">
        <v>1201</v>
      </c>
      <c r="G34" s="263" t="s">
        <v>1279</v>
      </c>
    </row>
    <row r="35" spans="1:7" ht="16">
      <c r="A35" s="260" t="s">
        <v>1280</v>
      </c>
      <c r="B35" s="262" t="s">
        <v>1204</v>
      </c>
      <c r="C35" s="262" t="s">
        <v>1268</v>
      </c>
      <c r="D35" s="262" t="s">
        <v>616</v>
      </c>
      <c r="E35" s="262" t="s">
        <v>1281</v>
      </c>
      <c r="F35" s="262" t="s">
        <v>1282</v>
      </c>
      <c r="G35" s="263" t="s">
        <v>1283</v>
      </c>
    </row>
    <row r="36" spans="1:7" ht="16">
      <c r="A36" s="260" t="s">
        <v>1284</v>
      </c>
      <c r="B36" s="262" t="s">
        <v>1204</v>
      </c>
      <c r="C36" s="262" t="s">
        <v>1268</v>
      </c>
      <c r="D36" s="262" t="s">
        <v>616</v>
      </c>
      <c r="E36" s="262" t="s">
        <v>1216</v>
      </c>
      <c r="F36" s="262" t="s">
        <v>1201</v>
      </c>
      <c r="G36" s="263" t="s">
        <v>1285</v>
      </c>
    </row>
    <row r="37" spans="1:7" ht="16">
      <c r="A37" s="260" t="s">
        <v>1286</v>
      </c>
      <c r="B37" s="262" t="s">
        <v>1204</v>
      </c>
      <c r="C37" s="262" t="s">
        <v>1268</v>
      </c>
      <c r="D37" s="262" t="s">
        <v>616</v>
      </c>
      <c r="E37" s="262" t="s">
        <v>1287</v>
      </c>
      <c r="F37" s="262" t="s">
        <v>1201</v>
      </c>
      <c r="G37" s="263" t="s">
        <v>1288</v>
      </c>
    </row>
    <row r="38" spans="1:7" ht="16">
      <c r="A38" s="260" t="s">
        <v>1289</v>
      </c>
      <c r="B38" s="262" t="s">
        <v>1204</v>
      </c>
      <c r="C38" s="262" t="s">
        <v>1268</v>
      </c>
      <c r="D38" s="262" t="s">
        <v>616</v>
      </c>
      <c r="E38" s="262" t="s">
        <v>1213</v>
      </c>
      <c r="F38" s="262" t="s">
        <v>1201</v>
      </c>
      <c r="G38" s="263" t="s">
        <v>1290</v>
      </c>
    </row>
    <row r="39" spans="1:7" ht="16">
      <c r="A39" s="260" t="s">
        <v>1129</v>
      </c>
      <c r="B39" s="262" t="s">
        <v>1204</v>
      </c>
      <c r="C39" s="262" t="s">
        <v>1268</v>
      </c>
      <c r="D39" s="262" t="s">
        <v>616</v>
      </c>
      <c r="E39" s="262" t="s">
        <v>1245</v>
      </c>
      <c r="F39" s="262" t="s">
        <v>1201</v>
      </c>
      <c r="G39" s="263" t="s">
        <v>1246</v>
      </c>
    </row>
    <row r="40" spans="1:7" ht="16">
      <c r="A40" s="260" t="s">
        <v>1291</v>
      </c>
      <c r="B40" s="262" t="s">
        <v>1204</v>
      </c>
      <c r="C40" s="262" t="s">
        <v>1268</v>
      </c>
      <c r="D40" s="262" t="s">
        <v>616</v>
      </c>
      <c r="E40" s="262" t="s">
        <v>1292</v>
      </c>
      <c r="F40" s="262" t="s">
        <v>1201</v>
      </c>
      <c r="G40" s="263" t="s">
        <v>1293</v>
      </c>
    </row>
    <row r="41" spans="1:7" ht="16">
      <c r="A41" s="260" t="s">
        <v>1294</v>
      </c>
      <c r="B41" s="262" t="s">
        <v>1204</v>
      </c>
      <c r="C41" s="262" t="s">
        <v>1268</v>
      </c>
      <c r="D41" s="262" t="s">
        <v>616</v>
      </c>
      <c r="E41" s="262" t="s">
        <v>1295</v>
      </c>
      <c r="F41" s="262" t="s">
        <v>1201</v>
      </c>
      <c r="G41" s="263" t="s">
        <v>1296</v>
      </c>
    </row>
    <row r="42" spans="1:7" ht="32">
      <c r="A42" s="260" t="s">
        <v>1297</v>
      </c>
      <c r="B42" s="262" t="s">
        <v>1204</v>
      </c>
      <c r="C42" s="262" t="s">
        <v>1268</v>
      </c>
      <c r="D42" s="262" t="s">
        <v>616</v>
      </c>
      <c r="E42" s="262" t="s">
        <v>1287</v>
      </c>
      <c r="F42" s="262" t="s">
        <v>1298</v>
      </c>
      <c r="G42" s="263" t="s">
        <v>1299</v>
      </c>
    </row>
    <row r="43" spans="1:7" ht="16">
      <c r="A43" s="260" t="s">
        <v>1300</v>
      </c>
      <c r="B43" s="262" t="s">
        <v>1255</v>
      </c>
      <c r="C43" s="262" t="s">
        <v>1268</v>
      </c>
      <c r="D43" s="262" t="s">
        <v>616</v>
      </c>
      <c r="E43" s="262" t="s">
        <v>1301</v>
      </c>
      <c r="F43" s="262" t="s">
        <v>1201</v>
      </c>
      <c r="G43" s="263" t="s">
        <v>1302</v>
      </c>
    </row>
    <row r="44" spans="1:7" ht="32">
      <c r="A44" s="260" t="s">
        <v>1303</v>
      </c>
      <c r="B44" s="262" t="s">
        <v>1199</v>
      </c>
      <c r="C44" s="262" t="s">
        <v>1268</v>
      </c>
      <c r="D44" s="262" t="s">
        <v>616</v>
      </c>
      <c r="E44" s="262" t="s">
        <v>1304</v>
      </c>
      <c r="F44" s="262" t="s">
        <v>1201</v>
      </c>
      <c r="G44" s="263" t="s">
        <v>1305</v>
      </c>
    </row>
    <row r="45" spans="1:7" ht="16">
      <c r="A45" s="260" t="s">
        <v>1306</v>
      </c>
      <c r="B45" s="262" t="s">
        <v>1204</v>
      </c>
      <c r="C45" s="262" t="s">
        <v>1307</v>
      </c>
      <c r="D45" s="262" t="s">
        <v>616</v>
      </c>
      <c r="E45" s="262" t="s">
        <v>1308</v>
      </c>
      <c r="F45" s="262" t="s">
        <v>1118</v>
      </c>
      <c r="G45" s="263" t="s">
        <v>1309</v>
      </c>
    </row>
    <row r="46" spans="1:7" ht="16">
      <c r="A46" s="260" t="s">
        <v>1310</v>
      </c>
      <c r="B46" s="262" t="s">
        <v>1204</v>
      </c>
      <c r="C46" s="262" t="s">
        <v>1307</v>
      </c>
      <c r="D46" s="262" t="s">
        <v>616</v>
      </c>
      <c r="E46" s="262" t="s">
        <v>1311</v>
      </c>
      <c r="F46" s="262" t="s">
        <v>1118</v>
      </c>
      <c r="G46" s="263" t="s">
        <v>1312</v>
      </c>
    </row>
    <row r="47" spans="1:7" ht="16">
      <c r="A47" s="260" t="s">
        <v>1313</v>
      </c>
      <c r="B47" s="262" t="s">
        <v>1204</v>
      </c>
      <c r="C47" s="262" t="s">
        <v>1307</v>
      </c>
      <c r="D47" s="262" t="s">
        <v>616</v>
      </c>
      <c r="E47" s="262" t="s">
        <v>1301</v>
      </c>
      <c r="F47" s="262" t="s">
        <v>1118</v>
      </c>
      <c r="G47" s="263" t="s">
        <v>1314</v>
      </c>
    </row>
    <row r="48" spans="1:7" ht="16">
      <c r="A48" s="260" t="s">
        <v>1315</v>
      </c>
      <c r="B48" s="262" t="s">
        <v>1204</v>
      </c>
      <c r="C48" s="262" t="s">
        <v>1307</v>
      </c>
      <c r="D48" s="262" t="s">
        <v>616</v>
      </c>
      <c r="E48" s="262" t="s">
        <v>1316</v>
      </c>
      <c r="F48" s="262" t="s">
        <v>1118</v>
      </c>
      <c r="G48" s="263" t="s">
        <v>1317</v>
      </c>
    </row>
    <row r="49" spans="1:7" ht="16">
      <c r="A49" s="260" t="s">
        <v>1318</v>
      </c>
      <c r="B49" s="262" t="s">
        <v>1204</v>
      </c>
      <c r="C49" s="262" t="s">
        <v>1307</v>
      </c>
      <c r="D49" s="262" t="s">
        <v>616</v>
      </c>
      <c r="E49" s="262" t="s">
        <v>1319</v>
      </c>
      <c r="F49" s="262" t="s">
        <v>1118</v>
      </c>
      <c r="G49" s="263" t="s">
        <v>1320</v>
      </c>
    </row>
    <row r="50" spans="1:7" ht="16">
      <c r="A50" s="260" t="s">
        <v>1321</v>
      </c>
      <c r="B50" s="262" t="s">
        <v>1204</v>
      </c>
      <c r="C50" s="262" t="s">
        <v>1307</v>
      </c>
      <c r="D50" s="262" t="s">
        <v>616</v>
      </c>
      <c r="E50" s="262" t="s">
        <v>1319</v>
      </c>
      <c r="F50" s="262" t="s">
        <v>1118</v>
      </c>
      <c r="G50" s="263" t="s">
        <v>1322</v>
      </c>
    </row>
    <row r="51" spans="1:7" ht="16">
      <c r="A51" s="260" t="s">
        <v>1323</v>
      </c>
      <c r="B51" s="262" t="s">
        <v>1204</v>
      </c>
      <c r="C51" s="262" t="s">
        <v>1307</v>
      </c>
      <c r="D51" s="262" t="s">
        <v>616</v>
      </c>
      <c r="E51" s="262" t="s">
        <v>1319</v>
      </c>
      <c r="F51" s="262" t="s">
        <v>1118</v>
      </c>
      <c r="G51" s="263" t="s">
        <v>1324</v>
      </c>
    </row>
    <row r="52" spans="1:7" ht="16">
      <c r="A52" s="268" t="s">
        <v>1325</v>
      </c>
      <c r="B52" s="270" t="s">
        <v>1204</v>
      </c>
      <c r="C52" s="270" t="s">
        <v>1307</v>
      </c>
      <c r="D52" s="270" t="s">
        <v>616</v>
      </c>
      <c r="E52" s="270" t="s">
        <v>1319</v>
      </c>
      <c r="F52" s="270" t="s">
        <v>1118</v>
      </c>
      <c r="G52" s="271" t="s">
        <v>1326</v>
      </c>
    </row>
    <row r="56" spans="1:7">
      <c r="A56" s="460" t="s">
        <v>1327</v>
      </c>
      <c r="B56" s="460"/>
      <c r="C56" s="460"/>
      <c r="D56" s="460"/>
      <c r="E56" s="460"/>
      <c r="F56" s="460"/>
      <c r="G56" s="460"/>
    </row>
    <row r="57" spans="1:7">
      <c r="A57" s="461" t="s">
        <v>1328</v>
      </c>
      <c r="B57" s="461"/>
      <c r="C57" s="461"/>
      <c r="D57" s="461"/>
      <c r="E57" s="461"/>
      <c r="F57" s="461"/>
      <c r="G57" s="461"/>
    </row>
    <row r="58" spans="1:7">
      <c r="A58" s="461" t="s">
        <v>1329</v>
      </c>
      <c r="B58" s="461"/>
      <c r="C58" s="461"/>
      <c r="D58" s="461"/>
      <c r="E58" s="461"/>
      <c r="F58" s="461"/>
      <c r="G58" s="461"/>
    </row>
    <row r="59" spans="1:7">
      <c r="A59" s="461" t="s">
        <v>1330</v>
      </c>
      <c r="B59" s="461"/>
      <c r="C59" s="461"/>
      <c r="D59" s="461"/>
      <c r="E59" s="461"/>
      <c r="F59" s="461"/>
      <c r="G59" s="461"/>
    </row>
    <row r="60" spans="1:7">
      <c r="A60" s="461" t="s">
        <v>1331</v>
      </c>
      <c r="B60" s="461"/>
      <c r="C60" s="461"/>
      <c r="D60" s="461"/>
      <c r="E60" s="461"/>
      <c r="F60" s="461"/>
      <c r="G60" s="461"/>
    </row>
    <row r="61" spans="1:7">
      <c r="A61" s="461" t="s">
        <v>1332</v>
      </c>
      <c r="B61" s="461"/>
      <c r="C61" s="461"/>
      <c r="D61" s="461"/>
      <c r="E61" s="461"/>
      <c r="F61" s="461"/>
      <c r="G61" s="461"/>
    </row>
    <row r="62" spans="1:7">
      <c r="A62" s="461" t="s">
        <v>1333</v>
      </c>
      <c r="B62" s="461"/>
      <c r="C62" s="461"/>
      <c r="D62" s="461"/>
      <c r="E62" s="461"/>
      <c r="F62" s="461"/>
      <c r="G62" s="461"/>
    </row>
    <row r="63" spans="1:7">
      <c r="A63" s="461" t="s">
        <v>1334</v>
      </c>
      <c r="B63" s="461"/>
      <c r="C63" s="461"/>
      <c r="D63" s="461"/>
      <c r="E63" s="461"/>
      <c r="F63" s="461"/>
      <c r="G63" s="461"/>
    </row>
    <row r="64" spans="1:7">
      <c r="A64" s="461" t="s">
        <v>1335</v>
      </c>
      <c r="B64" s="461"/>
      <c r="C64" s="461"/>
      <c r="D64" s="461"/>
      <c r="E64" s="461"/>
      <c r="F64" s="461"/>
      <c r="G64" s="461"/>
    </row>
    <row r="65" spans="1:7">
      <c r="A65" s="461" t="s">
        <v>1336</v>
      </c>
      <c r="B65" s="461"/>
      <c r="C65" s="461"/>
      <c r="D65" s="461"/>
      <c r="E65" s="461"/>
      <c r="F65" s="461"/>
      <c r="G65" s="461"/>
    </row>
    <row r="66" spans="1:7">
      <c r="A66" s="461" t="s">
        <v>1337</v>
      </c>
      <c r="B66" s="461"/>
      <c r="C66" s="461"/>
      <c r="D66" s="461"/>
      <c r="E66" s="461"/>
      <c r="F66" s="461"/>
      <c r="G66" s="461"/>
    </row>
    <row r="67" spans="1:7">
      <c r="A67" s="461" t="s">
        <v>1338</v>
      </c>
      <c r="B67" s="461"/>
      <c r="C67" s="461"/>
      <c r="D67" s="461"/>
      <c r="E67" s="461"/>
      <c r="F67" s="461"/>
      <c r="G67" s="461"/>
    </row>
    <row r="68" spans="1:7">
      <c r="A68" s="461" t="s">
        <v>1339</v>
      </c>
      <c r="B68" s="461"/>
      <c r="C68" s="461"/>
      <c r="D68" s="461"/>
      <c r="E68" s="461"/>
      <c r="F68" s="461"/>
      <c r="G68" s="461"/>
    </row>
    <row r="69" spans="1:7">
      <c r="A69" s="461" t="s">
        <v>1340</v>
      </c>
      <c r="B69" s="461"/>
      <c r="C69" s="461"/>
      <c r="D69" s="461"/>
      <c r="E69" s="461"/>
      <c r="F69" s="461"/>
      <c r="G69" s="461"/>
    </row>
    <row r="72" spans="1:7">
      <c r="A72" s="462" t="s">
        <v>1341</v>
      </c>
      <c r="B72" s="462"/>
      <c r="C72" s="462"/>
      <c r="D72" s="462"/>
      <c r="E72" s="462"/>
      <c r="F72" s="462"/>
      <c r="G72" s="462"/>
    </row>
    <row r="73" spans="1:7" ht="16">
      <c r="A73" s="156" t="s">
        <v>1155</v>
      </c>
      <c r="B73" s="306" t="s">
        <v>1163</v>
      </c>
      <c r="C73" s="1"/>
      <c r="D73" s="463" t="s">
        <v>1342</v>
      </c>
      <c r="E73" s="463"/>
      <c r="F73" s="463"/>
      <c r="G73" s="463"/>
    </row>
    <row r="74" spans="1:7" ht="16">
      <c r="A74" s="156" t="s">
        <v>1203</v>
      </c>
      <c r="B74" s="306">
        <v>5</v>
      </c>
      <c r="C74" s="1"/>
      <c r="D74" s="156" t="s">
        <v>1155</v>
      </c>
      <c r="E74" s="306" t="s">
        <v>1163</v>
      </c>
      <c r="F74" s="1"/>
      <c r="G74" s="1"/>
    </row>
    <row r="75" spans="1:7" ht="16">
      <c r="A75" s="156" t="s">
        <v>1207</v>
      </c>
      <c r="B75" s="307" t="b">
        <v>1</v>
      </c>
      <c r="C75" s="1"/>
      <c r="D75" s="156" t="s">
        <v>1156</v>
      </c>
      <c r="E75" s="306" t="s">
        <v>59</v>
      </c>
      <c r="F75" s="1"/>
      <c r="G75" s="1"/>
    </row>
    <row r="76" spans="1:7" ht="16">
      <c r="A76" s="156" t="s">
        <v>1211</v>
      </c>
      <c r="B76" s="306">
        <v>500</v>
      </c>
      <c r="C76" s="1"/>
      <c r="D76" s="156" t="s">
        <v>1203</v>
      </c>
      <c r="E76" s="306">
        <v>5</v>
      </c>
      <c r="F76" s="1"/>
      <c r="G76" s="1"/>
    </row>
    <row r="77" spans="1:7" ht="16">
      <c r="A77" s="156" t="s">
        <v>1215</v>
      </c>
      <c r="B77" s="306">
        <v>20</v>
      </c>
      <c r="C77" s="1"/>
      <c r="D77" s="156" t="s">
        <v>1267</v>
      </c>
      <c r="E77" s="306">
        <v>5</v>
      </c>
      <c r="F77" s="1"/>
      <c r="G77" s="1"/>
    </row>
    <row r="78" spans="1:7" ht="16">
      <c r="A78" s="1"/>
      <c r="B78" s="1"/>
      <c r="C78" s="1"/>
      <c r="D78" s="156" t="s">
        <v>1270</v>
      </c>
      <c r="E78" s="306">
        <v>299</v>
      </c>
      <c r="F78" s="1"/>
      <c r="G78" s="1"/>
    </row>
    <row r="79" spans="1:7" ht="16">
      <c r="A79" s="1"/>
      <c r="B79" s="1"/>
      <c r="C79" s="1"/>
      <c r="D79" s="156" t="s">
        <v>1272</v>
      </c>
      <c r="E79" s="306">
        <v>1495</v>
      </c>
      <c r="F79" s="1"/>
      <c r="G79" s="1"/>
    </row>
    <row r="80" spans="1:7" ht="16">
      <c r="A80" s="1"/>
      <c r="B80" s="1"/>
      <c r="C80" s="1"/>
      <c r="D80" s="156" t="s">
        <v>1123</v>
      </c>
      <c r="E80" s="306">
        <v>199</v>
      </c>
      <c r="F80" s="1"/>
      <c r="G80" s="1"/>
    </row>
    <row r="81" spans="1:7" ht="32">
      <c r="A81" s="1"/>
      <c r="B81" s="1"/>
      <c r="C81" s="1"/>
      <c r="D81" s="156" t="s">
        <v>1275</v>
      </c>
      <c r="E81" s="306">
        <v>1694</v>
      </c>
      <c r="F81" s="1"/>
      <c r="G81" s="1"/>
    </row>
    <row r="82" spans="1:7" ht="32">
      <c r="A82" s="1"/>
      <c r="B82" s="1"/>
      <c r="C82" s="1"/>
      <c r="D82" s="156" t="s">
        <v>1278</v>
      </c>
      <c r="E82" s="306">
        <v>20</v>
      </c>
      <c r="F82" s="1"/>
      <c r="G82" s="1"/>
    </row>
    <row r="83" spans="1:7" ht="32">
      <c r="A83" s="1"/>
      <c r="B83" s="1"/>
      <c r="C83" s="1"/>
      <c r="D83" s="156" t="s">
        <v>1280</v>
      </c>
      <c r="E83" s="306">
        <v>338.8</v>
      </c>
      <c r="F83" s="1"/>
      <c r="G83" s="1"/>
    </row>
    <row r="84" spans="1:7" ht="16">
      <c r="A84" s="1"/>
      <c r="B84" s="1"/>
      <c r="C84" s="1"/>
      <c r="D84" s="156" t="s">
        <v>1284</v>
      </c>
      <c r="E84" s="306">
        <v>20</v>
      </c>
      <c r="F84" s="1"/>
      <c r="G84" s="1"/>
    </row>
    <row r="85" spans="1:7" ht="16">
      <c r="A85" s="1"/>
      <c r="B85" s="1"/>
      <c r="C85" s="1"/>
      <c r="D85" s="156" t="s">
        <v>1286</v>
      </c>
      <c r="E85" s="306">
        <v>1674</v>
      </c>
      <c r="F85" s="1"/>
      <c r="G85" s="1"/>
    </row>
    <row r="86" spans="1:7" ht="16">
      <c r="A86" s="1"/>
      <c r="B86" s="1"/>
      <c r="C86" s="1"/>
      <c r="D86" s="156" t="s">
        <v>1289</v>
      </c>
      <c r="E86" s="306">
        <v>500</v>
      </c>
      <c r="F86" s="1"/>
      <c r="G86" s="1"/>
    </row>
    <row r="87" spans="1:7" ht="32">
      <c r="A87" s="1"/>
      <c r="B87" s="1"/>
      <c r="C87" s="1"/>
      <c r="D87" s="156" t="s">
        <v>1129</v>
      </c>
      <c r="E87" s="306">
        <v>149</v>
      </c>
      <c r="F87" s="1"/>
      <c r="G87" s="1"/>
    </row>
    <row r="88" spans="1:7" ht="16">
      <c r="A88" s="1"/>
      <c r="B88" s="1"/>
      <c r="C88" s="1"/>
      <c r="D88" s="156" t="s">
        <v>1291</v>
      </c>
      <c r="E88" s="306">
        <v>649</v>
      </c>
      <c r="F88" s="1"/>
      <c r="G88" s="1"/>
    </row>
    <row r="89" spans="1:7" ht="16">
      <c r="A89" s="1"/>
      <c r="B89" s="1"/>
      <c r="C89" s="1"/>
      <c r="D89" s="156" t="s">
        <v>1294</v>
      </c>
      <c r="E89" s="306">
        <v>2323</v>
      </c>
      <c r="F89" s="1"/>
      <c r="G89" s="1"/>
    </row>
    <row r="90" spans="1:7" ht="32">
      <c r="A90" s="1"/>
      <c r="B90" s="1"/>
      <c r="C90" s="1"/>
      <c r="D90" s="156" t="s">
        <v>1297</v>
      </c>
      <c r="E90" s="306">
        <v>1674</v>
      </c>
      <c r="F90" s="1"/>
      <c r="G90" s="1"/>
    </row>
    <row r="91" spans="1:7" ht="16">
      <c r="A91" s="1"/>
      <c r="B91" s="1"/>
      <c r="C91" s="1"/>
      <c r="D91" s="156" t="s">
        <v>1137</v>
      </c>
      <c r="E91" s="306">
        <v>0.05</v>
      </c>
      <c r="F91" s="1"/>
      <c r="G91" s="1"/>
    </row>
    <row r="92" spans="1:7" ht="16">
      <c r="A92" s="1"/>
      <c r="B92" s="1"/>
      <c r="C92" s="1"/>
      <c r="D92" s="156" t="s">
        <v>1300</v>
      </c>
      <c r="E92" s="306">
        <v>83</v>
      </c>
      <c r="F92" s="1"/>
      <c r="G92" s="1"/>
    </row>
    <row r="93" spans="1:7" ht="16">
      <c r="A93" s="1"/>
      <c r="B93" s="1"/>
      <c r="C93" s="1"/>
      <c r="D93" s="156" t="s">
        <v>1303</v>
      </c>
      <c r="E93" s="306" t="s">
        <v>1304</v>
      </c>
      <c r="F93" s="1"/>
      <c r="G93" s="1"/>
    </row>
  </sheetData>
  <mergeCells count="18">
    <mergeCell ref="A69:G69"/>
    <mergeCell ref="A72:G72"/>
    <mergeCell ref="D73:G73"/>
    <mergeCell ref="A64:G64"/>
    <mergeCell ref="A65:G65"/>
    <mergeCell ref="A66:G66"/>
    <mergeCell ref="A67:G67"/>
    <mergeCell ref="A68:G68"/>
    <mergeCell ref="A59:G59"/>
    <mergeCell ref="A60:G60"/>
    <mergeCell ref="A61:G61"/>
    <mergeCell ref="A62:G62"/>
    <mergeCell ref="A63:G63"/>
    <mergeCell ref="A1:G1"/>
    <mergeCell ref="A2:G2"/>
    <mergeCell ref="A56:G56"/>
    <mergeCell ref="A57:G57"/>
    <mergeCell ref="A58:G5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14"/>
  <sheetViews>
    <sheetView tabSelected="1" workbookViewId="0">
      <selection sqref="A1:V1"/>
    </sheetView>
  </sheetViews>
  <sheetFormatPr baseColWidth="10" defaultColWidth="8.83203125" defaultRowHeight="15"/>
  <cols>
    <col min="1" max="2" width="22" customWidth="1"/>
    <col min="3" max="3" width="14" customWidth="1"/>
    <col min="4" max="4" width="22" customWidth="1"/>
    <col min="5" max="20" width="16" customWidth="1"/>
    <col min="21" max="22" width="22" customWidth="1"/>
  </cols>
  <sheetData>
    <row r="1" spans="1:22" ht="40" customHeight="1">
      <c r="A1" s="459" t="s">
        <v>1343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</row>
    <row r="2" spans="1:22">
      <c r="A2" s="458" t="s">
        <v>1344</v>
      </c>
      <c r="B2" s="458"/>
      <c r="C2" s="458"/>
      <c r="D2" s="458"/>
      <c r="E2" s="458"/>
      <c r="F2" s="458"/>
      <c r="G2" s="458"/>
      <c r="H2" s="458"/>
      <c r="I2" s="458"/>
      <c r="J2" s="458"/>
      <c r="K2" s="458"/>
      <c r="L2" s="458"/>
      <c r="M2" s="458"/>
      <c r="N2" s="458"/>
      <c r="O2" s="458"/>
      <c r="P2" s="458"/>
      <c r="Q2" s="458"/>
      <c r="R2" s="458"/>
      <c r="S2" s="458"/>
      <c r="T2" s="458"/>
      <c r="U2" s="458"/>
      <c r="V2" s="458"/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32">
      <c r="A4" s="257" t="s">
        <v>1345</v>
      </c>
      <c r="B4" s="258" t="s">
        <v>978</v>
      </c>
      <c r="C4" s="258" t="s">
        <v>600</v>
      </c>
      <c r="D4" s="258" t="s">
        <v>1346</v>
      </c>
      <c r="E4" s="258" t="s">
        <v>1347</v>
      </c>
      <c r="F4" s="258" t="s">
        <v>1348</v>
      </c>
      <c r="G4" s="258" t="s">
        <v>1349</v>
      </c>
      <c r="H4" s="258" t="s">
        <v>1350</v>
      </c>
      <c r="I4" s="258" t="s">
        <v>1351</v>
      </c>
      <c r="J4" s="258" t="s">
        <v>1352</v>
      </c>
      <c r="K4" s="258" t="s">
        <v>1353</v>
      </c>
      <c r="L4" s="258" t="s">
        <v>673</v>
      </c>
      <c r="M4" s="258" t="s">
        <v>930</v>
      </c>
      <c r="N4" s="258" t="s">
        <v>617</v>
      </c>
      <c r="O4" s="258" t="s">
        <v>1354</v>
      </c>
      <c r="P4" s="258" t="s">
        <v>1355</v>
      </c>
      <c r="Q4" s="258" t="s">
        <v>1356</v>
      </c>
      <c r="R4" s="258" t="s">
        <v>1357</v>
      </c>
      <c r="S4" s="258" t="s">
        <v>1358</v>
      </c>
      <c r="T4" s="258" t="s">
        <v>1359</v>
      </c>
      <c r="U4" s="258" t="s">
        <v>1015</v>
      </c>
      <c r="V4" s="259" t="s">
        <v>1360</v>
      </c>
    </row>
    <row r="5" spans="1:22" ht="16">
      <c r="A5" s="284" t="s">
        <v>602</v>
      </c>
      <c r="B5" s="285" t="s">
        <v>1163</v>
      </c>
      <c r="C5" s="286">
        <v>5</v>
      </c>
      <c r="D5" s="285" t="s">
        <v>1361</v>
      </c>
      <c r="E5" s="287">
        <v>0</v>
      </c>
      <c r="F5" s="287">
        <v>0</v>
      </c>
      <c r="G5" s="287"/>
      <c r="H5" s="287">
        <v>1694</v>
      </c>
      <c r="I5" s="287">
        <v>0</v>
      </c>
      <c r="J5" s="287">
        <v>1694</v>
      </c>
      <c r="K5" s="288">
        <v>84</v>
      </c>
      <c r="L5" s="289" t="str">
        <f>INDEX('Service Master'!$E$5:$E$34,MATCH(B5,'Service Master'!$A$5:$A$34,0))</f>
        <v>AUTO</v>
      </c>
      <c r="M5" s="290">
        <f>INDEX('Service Master'!$D$5:$D$34,MATCH(B5,'Service Master'!$A$5:$A$34,0))</f>
        <v>1</v>
      </c>
      <c r="N5" s="291">
        <f>MAX(C5,'Global Pricing Config'!$B$6)</f>
        <v>5</v>
      </c>
      <c r="O5" s="292">
        <f>IF(L5="MANUAL","",MAX((IF(ISNUMBER(G5),G5,(N5*'Global Pricing Config'!$B$5*M5+'Global Pricing Config'!$B$7)))-(MIN(MAX(F5,0),MAX((IF(ISNUMBER(G5),G5,(N5*'Global Pricing Config'!$B$5*M5+'Global Pricing Config'!$B$7)))*'Global Pricing Config'!$B$14,0),MAX(IF(ISNUMBER(G5),G5,(N5*'Global Pricing Config'!$B$5*M5+'Global Pricing Config'!$B$7)),0))),0))</f>
        <v>1694</v>
      </c>
      <c r="P5" s="292">
        <f>IF(D5="YES",E5+'Global Pricing Config'!$B$9,0)</f>
        <v>0</v>
      </c>
      <c r="Q5" s="292">
        <f t="shared" ref="Q5:Q12" si="0">IF(L5="MANUAL","",O5+P5)</f>
        <v>1694</v>
      </c>
      <c r="R5" s="293">
        <f>IF(L5="MANUAL","",FLOOR((MAX((IF(ISNUMBER(G5),G5,(N5*'Global Pricing Config'!$B$5*M5+'Global Pricing Config'!$B$7)))-(MIN(MAX(F5,0),MAX((IF(ISNUMBER(G5),G5,(N5*'Global Pricing Config'!$B$5*M5+'Global Pricing Config'!$B$7)))*'Global Pricing Config'!$B$14,0),MAX(IF(ISNUMBER(G5),G5,(N5*'Global Pricing Config'!$B$5*M5+'Global Pricing Config'!$B$7)),0))),0))*'Global Pricing Config'!$B$12/'Global Pricing Config'!$B$13,1))</f>
        <v>84</v>
      </c>
      <c r="S5" s="292">
        <f>IF(L5="MANUAL","",((IF(ISNUMBER(G5),G5,(N5*'Global Pricing Config'!$B$5*M5+'Global Pricing Config'!$B$7)))*'Global Pricing Config'!$B$14))</f>
        <v>338.8</v>
      </c>
      <c r="T5" s="292">
        <f>IF(L5="MANUAL","",(MIN(MAX(F5,0),MAX((IF(ISNUMBER(G5),G5,(N5*'Global Pricing Config'!$B$5*M5+'Global Pricing Config'!$B$7)))*'Global Pricing Config'!$B$14,0),MAX(IF(ISNUMBER(G5),G5,(N5*'Global Pricing Config'!$B$5*M5+'Global Pricing Config'!$B$7)),0))))</f>
        <v>0</v>
      </c>
      <c r="U5" s="289" t="str">
        <f t="shared" ref="U5:U12" si="1">IF(L5="MANUAL","MANUAL PRICING REQUIRED",IF(F5&gt;T5,"CREDIT DISCOUNT CAPPED","VALID"))</f>
        <v>VALID</v>
      </c>
      <c r="V5" s="294" t="str">
        <f t="shared" ref="V5:V11" si="2">IF(AND(ABS(O5-H5)&lt;0.01,ABS(P5-I5)&lt;0.01,ABS(Q5-J5)&lt;0.01,R5=K5),"PASS","CHECK")</f>
        <v>PASS</v>
      </c>
    </row>
    <row r="6" spans="1:22" ht="16">
      <c r="A6" s="284" t="s">
        <v>603</v>
      </c>
      <c r="B6" s="285" t="s">
        <v>1163</v>
      </c>
      <c r="C6" s="286">
        <v>5</v>
      </c>
      <c r="D6" s="285" t="s">
        <v>1362</v>
      </c>
      <c r="E6" s="287">
        <v>500</v>
      </c>
      <c r="F6" s="287">
        <v>0</v>
      </c>
      <c r="G6" s="287"/>
      <c r="H6" s="287">
        <v>1694</v>
      </c>
      <c r="I6" s="287">
        <v>649</v>
      </c>
      <c r="J6" s="287">
        <v>2343</v>
      </c>
      <c r="K6" s="288">
        <v>84</v>
      </c>
      <c r="L6" s="289" t="str">
        <f>INDEX('Service Master'!$E$5:$E$34,MATCH(B6,'Service Master'!$A$5:$A$34,0))</f>
        <v>AUTO</v>
      </c>
      <c r="M6" s="290">
        <f>INDEX('Service Master'!$D$5:$D$34,MATCH(B6,'Service Master'!$A$5:$A$34,0))</f>
        <v>1</v>
      </c>
      <c r="N6" s="291">
        <f>MAX(C6,'Global Pricing Config'!$B$6)</f>
        <v>5</v>
      </c>
      <c r="O6" s="292">
        <f>IF(L6="MANUAL","",MAX((IF(ISNUMBER(G6),G6,(N6*'Global Pricing Config'!$B$5*M6+'Global Pricing Config'!$B$7)))-(MIN(MAX(F6,0),MAX((IF(ISNUMBER(G6),G6,(N6*'Global Pricing Config'!$B$5*M6+'Global Pricing Config'!$B$7)))*'Global Pricing Config'!$B$14,0),MAX(IF(ISNUMBER(G6),G6,(N6*'Global Pricing Config'!$B$5*M6+'Global Pricing Config'!$B$7)),0))),0))</f>
        <v>1694</v>
      </c>
      <c r="P6" s="292">
        <f>IF(D6="YES",E6+'Global Pricing Config'!$B$9,0)</f>
        <v>649</v>
      </c>
      <c r="Q6" s="292">
        <f t="shared" si="0"/>
        <v>2343</v>
      </c>
      <c r="R6" s="293">
        <f>IF(L6="MANUAL","",FLOOR((MAX((IF(ISNUMBER(G6),G6,(N6*'Global Pricing Config'!$B$5*M6+'Global Pricing Config'!$B$7)))-(MIN(MAX(F6,0),MAX((IF(ISNUMBER(G6),G6,(N6*'Global Pricing Config'!$B$5*M6+'Global Pricing Config'!$B$7)))*'Global Pricing Config'!$B$14,0),MAX(IF(ISNUMBER(G6),G6,(N6*'Global Pricing Config'!$B$5*M6+'Global Pricing Config'!$B$7)),0))),0))*'Global Pricing Config'!$B$12/'Global Pricing Config'!$B$13,1))</f>
        <v>84</v>
      </c>
      <c r="S6" s="292">
        <f>IF(L6="MANUAL","",((IF(ISNUMBER(G6),G6,(N6*'Global Pricing Config'!$B$5*M6+'Global Pricing Config'!$B$7)))*'Global Pricing Config'!$B$14))</f>
        <v>338.8</v>
      </c>
      <c r="T6" s="292">
        <f>IF(L6="MANUAL","",(MIN(MAX(F6,0),MAX((IF(ISNUMBER(G6),G6,(N6*'Global Pricing Config'!$B$5*M6+'Global Pricing Config'!$B$7)))*'Global Pricing Config'!$B$14,0),MAX(IF(ISNUMBER(G6),G6,(N6*'Global Pricing Config'!$B$5*M6+'Global Pricing Config'!$B$7)),0))))</f>
        <v>0</v>
      </c>
      <c r="U6" s="289" t="str">
        <f t="shared" si="1"/>
        <v>VALID</v>
      </c>
      <c r="V6" s="294" t="str">
        <f t="shared" si="2"/>
        <v>PASS</v>
      </c>
    </row>
    <row r="7" spans="1:22" ht="16">
      <c r="A7" s="284" t="s">
        <v>1363</v>
      </c>
      <c r="B7" s="285" t="s">
        <v>1163</v>
      </c>
      <c r="C7" s="286">
        <v>5</v>
      </c>
      <c r="D7" s="285" t="s">
        <v>1362</v>
      </c>
      <c r="E7" s="287">
        <v>500</v>
      </c>
      <c r="F7" s="287">
        <v>20</v>
      </c>
      <c r="G7" s="287"/>
      <c r="H7" s="287">
        <v>1674</v>
      </c>
      <c r="I7" s="287">
        <v>649</v>
      </c>
      <c r="J7" s="287">
        <v>2323</v>
      </c>
      <c r="K7" s="288">
        <v>83</v>
      </c>
      <c r="L7" s="289" t="str">
        <f>INDEX('Service Master'!$E$5:$E$34,MATCH(B7,'Service Master'!$A$5:$A$34,0))</f>
        <v>AUTO</v>
      </c>
      <c r="M7" s="290">
        <f>INDEX('Service Master'!$D$5:$D$34,MATCH(B7,'Service Master'!$A$5:$A$34,0))</f>
        <v>1</v>
      </c>
      <c r="N7" s="291">
        <f>MAX(C7,'Global Pricing Config'!$B$6)</f>
        <v>5</v>
      </c>
      <c r="O7" s="292">
        <f>IF(L7="MANUAL","",MAX((IF(ISNUMBER(G7),G7,(N7*'Global Pricing Config'!$B$5*M7+'Global Pricing Config'!$B$7)))-(MIN(MAX(F7,0),MAX((IF(ISNUMBER(G7),G7,(N7*'Global Pricing Config'!$B$5*M7+'Global Pricing Config'!$B$7)))*'Global Pricing Config'!$B$14,0),MAX(IF(ISNUMBER(G7),G7,(N7*'Global Pricing Config'!$B$5*M7+'Global Pricing Config'!$B$7)),0))),0))</f>
        <v>1674</v>
      </c>
      <c r="P7" s="292">
        <f>IF(D7="YES",E7+'Global Pricing Config'!$B$9,0)</f>
        <v>649</v>
      </c>
      <c r="Q7" s="292">
        <f t="shared" si="0"/>
        <v>2323</v>
      </c>
      <c r="R7" s="293">
        <f>IF(L7="MANUAL","",FLOOR((MAX((IF(ISNUMBER(G7),G7,(N7*'Global Pricing Config'!$B$5*M7+'Global Pricing Config'!$B$7)))-(MIN(MAX(F7,0),MAX((IF(ISNUMBER(G7),G7,(N7*'Global Pricing Config'!$B$5*M7+'Global Pricing Config'!$B$7)))*'Global Pricing Config'!$B$14,0),MAX(IF(ISNUMBER(G7),G7,(N7*'Global Pricing Config'!$B$5*M7+'Global Pricing Config'!$B$7)),0))),0))*'Global Pricing Config'!$B$12/'Global Pricing Config'!$B$13,1))</f>
        <v>83</v>
      </c>
      <c r="S7" s="292">
        <f>IF(L7="MANUAL","",((IF(ISNUMBER(G7),G7,(N7*'Global Pricing Config'!$B$5*M7+'Global Pricing Config'!$B$7)))*'Global Pricing Config'!$B$14))</f>
        <v>338.8</v>
      </c>
      <c r="T7" s="292">
        <f>IF(L7="MANUAL","",(MIN(MAX(F7,0),MAX((IF(ISNUMBER(G7),G7,(N7*'Global Pricing Config'!$B$5*M7+'Global Pricing Config'!$B$7)))*'Global Pricing Config'!$B$14,0),MAX(IF(ISNUMBER(G7),G7,(N7*'Global Pricing Config'!$B$5*M7+'Global Pricing Config'!$B$7)),0))))</f>
        <v>20</v>
      </c>
      <c r="U7" s="289" t="str">
        <f t="shared" si="1"/>
        <v>VALID</v>
      </c>
      <c r="V7" s="294" t="str">
        <f t="shared" si="2"/>
        <v>PASS</v>
      </c>
    </row>
    <row r="8" spans="1:22" ht="16">
      <c r="A8" s="284" t="s">
        <v>1364</v>
      </c>
      <c r="B8" s="285" t="s">
        <v>1164</v>
      </c>
      <c r="C8" s="286">
        <v>5</v>
      </c>
      <c r="D8" s="285" t="s">
        <v>1361</v>
      </c>
      <c r="E8" s="287">
        <v>0</v>
      </c>
      <c r="F8" s="287">
        <v>0</v>
      </c>
      <c r="G8" s="287"/>
      <c r="H8" s="287">
        <v>1395</v>
      </c>
      <c r="I8" s="287">
        <v>0</v>
      </c>
      <c r="J8" s="287">
        <v>1395</v>
      </c>
      <c r="K8" s="288">
        <v>69</v>
      </c>
      <c r="L8" s="289" t="str">
        <f>INDEX('Service Master'!$E$5:$E$34,MATCH(B8,'Service Master'!$A$5:$A$34,0))</f>
        <v>AUTO</v>
      </c>
      <c r="M8" s="290">
        <f>INDEX('Service Master'!$D$5:$D$34,MATCH(B8,'Service Master'!$A$5:$A$34,0))</f>
        <v>0.8</v>
      </c>
      <c r="N8" s="291">
        <f>MAX(C8,'Global Pricing Config'!$B$6)</f>
        <v>5</v>
      </c>
      <c r="O8" s="292">
        <f>IF(L8="MANUAL","",MAX((IF(ISNUMBER(G8),G8,(N8*'Global Pricing Config'!$B$5*M8+'Global Pricing Config'!$B$7)))-(MIN(MAX(F8,0),MAX((IF(ISNUMBER(G8),G8,(N8*'Global Pricing Config'!$B$5*M8+'Global Pricing Config'!$B$7)))*'Global Pricing Config'!$B$14,0),MAX(IF(ISNUMBER(G8),G8,(N8*'Global Pricing Config'!$B$5*M8+'Global Pricing Config'!$B$7)),0))),0))</f>
        <v>1395</v>
      </c>
      <c r="P8" s="292">
        <f>IF(D8="YES",E8+'Global Pricing Config'!$B$9,0)</f>
        <v>0</v>
      </c>
      <c r="Q8" s="292">
        <f t="shared" si="0"/>
        <v>1395</v>
      </c>
      <c r="R8" s="293">
        <f>IF(L8="MANUAL","",FLOOR((MAX((IF(ISNUMBER(G8),G8,(N8*'Global Pricing Config'!$B$5*M8+'Global Pricing Config'!$B$7)))-(MIN(MAX(F8,0),MAX((IF(ISNUMBER(G8),G8,(N8*'Global Pricing Config'!$B$5*M8+'Global Pricing Config'!$B$7)))*'Global Pricing Config'!$B$14,0),MAX(IF(ISNUMBER(G8),G8,(N8*'Global Pricing Config'!$B$5*M8+'Global Pricing Config'!$B$7)),0))),0))*'Global Pricing Config'!$B$12/'Global Pricing Config'!$B$13,1))</f>
        <v>69</v>
      </c>
      <c r="S8" s="292">
        <f>IF(L8="MANUAL","",((IF(ISNUMBER(G8),G8,(N8*'Global Pricing Config'!$B$5*M8+'Global Pricing Config'!$B$7)))*'Global Pricing Config'!$B$14))</f>
        <v>279</v>
      </c>
      <c r="T8" s="292">
        <f>IF(L8="MANUAL","",(MIN(MAX(F8,0),MAX((IF(ISNUMBER(G8),G8,(N8*'Global Pricing Config'!$B$5*M8+'Global Pricing Config'!$B$7)))*'Global Pricing Config'!$B$14,0),MAX(IF(ISNUMBER(G8),G8,(N8*'Global Pricing Config'!$B$5*M8+'Global Pricing Config'!$B$7)),0))))</f>
        <v>0</v>
      </c>
      <c r="U8" s="289" t="str">
        <f t="shared" si="1"/>
        <v>VALID</v>
      </c>
      <c r="V8" s="294" t="str">
        <f t="shared" si="2"/>
        <v>PASS</v>
      </c>
    </row>
    <row r="9" spans="1:22" ht="16">
      <c r="A9" s="284" t="s">
        <v>1365</v>
      </c>
      <c r="B9" s="285" t="s">
        <v>1164</v>
      </c>
      <c r="C9" s="286">
        <v>5</v>
      </c>
      <c r="D9" s="285" t="s">
        <v>1361</v>
      </c>
      <c r="E9" s="287">
        <v>0</v>
      </c>
      <c r="F9" s="287">
        <v>100</v>
      </c>
      <c r="G9" s="287"/>
      <c r="H9" s="287">
        <v>1295</v>
      </c>
      <c r="I9" s="287">
        <v>0</v>
      </c>
      <c r="J9" s="287">
        <v>1295</v>
      </c>
      <c r="K9" s="288">
        <v>64</v>
      </c>
      <c r="L9" s="289" t="str">
        <f>INDEX('Service Master'!$E$5:$E$34,MATCH(B9,'Service Master'!$A$5:$A$34,0))</f>
        <v>AUTO</v>
      </c>
      <c r="M9" s="290">
        <f>INDEX('Service Master'!$D$5:$D$34,MATCH(B9,'Service Master'!$A$5:$A$34,0))</f>
        <v>0.8</v>
      </c>
      <c r="N9" s="291">
        <f>MAX(C9,'Global Pricing Config'!$B$6)</f>
        <v>5</v>
      </c>
      <c r="O9" s="292">
        <f>IF(L9="MANUAL","",MAX((IF(ISNUMBER(G9),G9,(N9*'Global Pricing Config'!$B$5*M9+'Global Pricing Config'!$B$7)))-(MIN(MAX(F9,0),MAX((IF(ISNUMBER(G9),G9,(N9*'Global Pricing Config'!$B$5*M9+'Global Pricing Config'!$B$7)))*'Global Pricing Config'!$B$14,0),MAX(IF(ISNUMBER(G9),G9,(N9*'Global Pricing Config'!$B$5*M9+'Global Pricing Config'!$B$7)),0))),0))</f>
        <v>1295</v>
      </c>
      <c r="P9" s="292">
        <f>IF(D9="YES",E9+'Global Pricing Config'!$B$9,0)</f>
        <v>0</v>
      </c>
      <c r="Q9" s="292">
        <f t="shared" si="0"/>
        <v>1295</v>
      </c>
      <c r="R9" s="293">
        <f>IF(L9="MANUAL","",FLOOR((MAX((IF(ISNUMBER(G9),G9,(N9*'Global Pricing Config'!$B$5*M9+'Global Pricing Config'!$B$7)))-(MIN(MAX(F9,0),MAX((IF(ISNUMBER(G9),G9,(N9*'Global Pricing Config'!$B$5*M9+'Global Pricing Config'!$B$7)))*'Global Pricing Config'!$B$14,0),MAX(IF(ISNUMBER(G9),G9,(N9*'Global Pricing Config'!$B$5*M9+'Global Pricing Config'!$B$7)),0))),0))*'Global Pricing Config'!$B$12/'Global Pricing Config'!$B$13,1))</f>
        <v>64</v>
      </c>
      <c r="S9" s="292">
        <f>IF(L9="MANUAL","",((IF(ISNUMBER(G9),G9,(N9*'Global Pricing Config'!$B$5*M9+'Global Pricing Config'!$B$7)))*'Global Pricing Config'!$B$14))</f>
        <v>279</v>
      </c>
      <c r="T9" s="292">
        <f>IF(L9="MANUAL","",(MIN(MAX(F9,0),MAX((IF(ISNUMBER(G9),G9,(N9*'Global Pricing Config'!$B$5*M9+'Global Pricing Config'!$B$7)))*'Global Pricing Config'!$B$14,0),MAX(IF(ISNUMBER(G9),G9,(N9*'Global Pricing Config'!$B$5*M9+'Global Pricing Config'!$B$7)),0))))</f>
        <v>100</v>
      </c>
      <c r="U9" s="289" t="str">
        <f t="shared" si="1"/>
        <v>VALID</v>
      </c>
      <c r="V9" s="294" t="str">
        <f t="shared" si="2"/>
        <v>PASS</v>
      </c>
    </row>
    <row r="10" spans="1:22" ht="32">
      <c r="A10" s="284" t="s">
        <v>1366</v>
      </c>
      <c r="B10" s="285" t="s">
        <v>1163</v>
      </c>
      <c r="C10" s="286">
        <v>5</v>
      </c>
      <c r="D10" s="285" t="s">
        <v>1361</v>
      </c>
      <c r="E10" s="287">
        <v>0</v>
      </c>
      <c r="F10" s="287">
        <v>500</v>
      </c>
      <c r="G10" s="287"/>
      <c r="H10" s="287">
        <v>1355.2</v>
      </c>
      <c r="I10" s="287">
        <v>0</v>
      </c>
      <c r="J10" s="287">
        <v>1355.2</v>
      </c>
      <c r="K10" s="288">
        <v>67</v>
      </c>
      <c r="L10" s="289" t="str">
        <f>INDEX('Service Master'!$E$5:$E$34,MATCH(B10,'Service Master'!$A$5:$A$34,0))</f>
        <v>AUTO</v>
      </c>
      <c r="M10" s="290">
        <f>INDEX('Service Master'!$D$5:$D$34,MATCH(B10,'Service Master'!$A$5:$A$34,0))</f>
        <v>1</v>
      </c>
      <c r="N10" s="291">
        <f>MAX(C10,'Global Pricing Config'!$B$6)</f>
        <v>5</v>
      </c>
      <c r="O10" s="292">
        <f>IF(L10="MANUAL","",MAX((IF(ISNUMBER(G10),G10,(N10*'Global Pricing Config'!$B$5*M10+'Global Pricing Config'!$B$7)))-(MIN(MAX(F10,0),MAX((IF(ISNUMBER(G10),G10,(N10*'Global Pricing Config'!$B$5*M10+'Global Pricing Config'!$B$7)))*'Global Pricing Config'!$B$14,0),MAX(IF(ISNUMBER(G10),G10,(N10*'Global Pricing Config'!$B$5*M10+'Global Pricing Config'!$B$7)),0))),0))</f>
        <v>1355.2</v>
      </c>
      <c r="P10" s="292">
        <f>IF(D10="YES",E10+'Global Pricing Config'!$B$9,0)</f>
        <v>0</v>
      </c>
      <c r="Q10" s="292">
        <f t="shared" si="0"/>
        <v>1355.2</v>
      </c>
      <c r="R10" s="293">
        <f>IF(L10="MANUAL","",FLOOR((MAX((IF(ISNUMBER(G10),G10,(N10*'Global Pricing Config'!$B$5*M10+'Global Pricing Config'!$B$7)))-(MIN(MAX(F10,0),MAX((IF(ISNUMBER(G10),G10,(N10*'Global Pricing Config'!$B$5*M10+'Global Pricing Config'!$B$7)))*'Global Pricing Config'!$B$14,0),MAX(IF(ISNUMBER(G10),G10,(N10*'Global Pricing Config'!$B$5*M10+'Global Pricing Config'!$B$7)),0))),0))*'Global Pricing Config'!$B$12/'Global Pricing Config'!$B$13,1))</f>
        <v>67</v>
      </c>
      <c r="S10" s="292">
        <f>IF(L10="MANUAL","",((IF(ISNUMBER(G10),G10,(N10*'Global Pricing Config'!$B$5*M10+'Global Pricing Config'!$B$7)))*'Global Pricing Config'!$B$14))</f>
        <v>338.8</v>
      </c>
      <c r="T10" s="292">
        <f>IF(L10="MANUAL","",(MIN(MAX(F10,0),MAX((IF(ISNUMBER(G10),G10,(N10*'Global Pricing Config'!$B$5*M10+'Global Pricing Config'!$B$7)))*'Global Pricing Config'!$B$14,0),MAX(IF(ISNUMBER(G10),G10,(N10*'Global Pricing Config'!$B$5*M10+'Global Pricing Config'!$B$7)),0))))</f>
        <v>338.8</v>
      </c>
      <c r="U10" s="289" t="str">
        <f t="shared" si="1"/>
        <v>CREDIT DISCOUNT CAPPED</v>
      </c>
      <c r="V10" s="294" t="str">
        <f t="shared" si="2"/>
        <v>PASS</v>
      </c>
    </row>
    <row r="11" spans="1:22" ht="16">
      <c r="A11" s="284" t="s">
        <v>1367</v>
      </c>
      <c r="B11" s="285" t="s">
        <v>1163</v>
      </c>
      <c r="C11" s="286">
        <v>1</v>
      </c>
      <c r="D11" s="285" t="s">
        <v>1361</v>
      </c>
      <c r="E11" s="287">
        <v>0</v>
      </c>
      <c r="F11" s="287">
        <v>0</v>
      </c>
      <c r="G11" s="287"/>
      <c r="H11" s="287">
        <v>797</v>
      </c>
      <c r="I11" s="287">
        <v>0</v>
      </c>
      <c r="J11" s="287">
        <v>797</v>
      </c>
      <c r="K11" s="288">
        <v>39</v>
      </c>
      <c r="L11" s="289" t="str">
        <f>INDEX('Service Master'!$E$5:$E$34,MATCH(B11,'Service Master'!$A$5:$A$34,0))</f>
        <v>AUTO</v>
      </c>
      <c r="M11" s="290">
        <f>INDEX('Service Master'!$D$5:$D$34,MATCH(B11,'Service Master'!$A$5:$A$34,0))</f>
        <v>1</v>
      </c>
      <c r="N11" s="291">
        <f>MAX(C11,'Global Pricing Config'!$B$6)</f>
        <v>2</v>
      </c>
      <c r="O11" s="292">
        <f>IF(L11="MANUAL","",MAX((IF(ISNUMBER(G11),G11,(N11*'Global Pricing Config'!$B$5*M11+'Global Pricing Config'!$B$7)))-(MIN(MAX(F11,0),MAX((IF(ISNUMBER(G11),G11,(N11*'Global Pricing Config'!$B$5*M11+'Global Pricing Config'!$B$7)))*'Global Pricing Config'!$B$14,0),MAX(IF(ISNUMBER(G11),G11,(N11*'Global Pricing Config'!$B$5*M11+'Global Pricing Config'!$B$7)),0))),0))</f>
        <v>797</v>
      </c>
      <c r="P11" s="292">
        <f>IF(D11="YES",E11+'Global Pricing Config'!$B$9,0)</f>
        <v>0</v>
      </c>
      <c r="Q11" s="292">
        <f t="shared" si="0"/>
        <v>797</v>
      </c>
      <c r="R11" s="293">
        <f>IF(L11="MANUAL","",FLOOR((MAX((IF(ISNUMBER(G11),G11,(N11*'Global Pricing Config'!$B$5*M11+'Global Pricing Config'!$B$7)))-(MIN(MAX(F11,0),MAX((IF(ISNUMBER(G11),G11,(N11*'Global Pricing Config'!$B$5*M11+'Global Pricing Config'!$B$7)))*'Global Pricing Config'!$B$14,0),MAX(IF(ISNUMBER(G11),G11,(N11*'Global Pricing Config'!$B$5*M11+'Global Pricing Config'!$B$7)),0))),0))*'Global Pricing Config'!$B$12/'Global Pricing Config'!$B$13,1))</f>
        <v>39</v>
      </c>
      <c r="S11" s="292">
        <f>IF(L11="MANUAL","",((IF(ISNUMBER(G11),G11,(N11*'Global Pricing Config'!$B$5*M11+'Global Pricing Config'!$B$7)))*'Global Pricing Config'!$B$14))</f>
        <v>159.4</v>
      </c>
      <c r="T11" s="292">
        <f>IF(L11="MANUAL","",(MIN(MAX(F11,0),MAX((IF(ISNUMBER(G11),G11,(N11*'Global Pricing Config'!$B$5*M11+'Global Pricing Config'!$B$7)))*'Global Pricing Config'!$B$14,0),MAX(IF(ISNUMBER(G11),G11,(N11*'Global Pricing Config'!$B$5*M11+'Global Pricing Config'!$B$7)),0))))</f>
        <v>0</v>
      </c>
      <c r="U11" s="289" t="str">
        <f t="shared" si="1"/>
        <v>VALID</v>
      </c>
      <c r="V11" s="294" t="str">
        <f t="shared" si="2"/>
        <v>PASS</v>
      </c>
    </row>
    <row r="12" spans="1:22" ht="32">
      <c r="A12" s="295" t="s">
        <v>1368</v>
      </c>
      <c r="B12" s="296" t="s">
        <v>1170</v>
      </c>
      <c r="C12" s="297">
        <v>8</v>
      </c>
      <c r="D12" s="296" t="s">
        <v>1361</v>
      </c>
      <c r="E12" s="298">
        <v>0</v>
      </c>
      <c r="F12" s="298">
        <v>0</v>
      </c>
      <c r="G12" s="298"/>
      <c r="H12" s="298"/>
      <c r="I12" s="298">
        <v>0</v>
      </c>
      <c r="J12" s="298"/>
      <c r="K12" s="299"/>
      <c r="L12" s="300" t="str">
        <f>INDEX('Service Master'!$E$5:$E$34,MATCH(B12,'Service Master'!$A$5:$A$34,0))</f>
        <v>MANUAL</v>
      </c>
      <c r="M12" s="301">
        <f>INDEX('Service Master'!$D$5:$D$34,MATCH(B12,'Service Master'!$A$5:$A$34,0))</f>
        <v>0.85</v>
      </c>
      <c r="N12" s="302">
        <f>MAX(C12,'Global Pricing Config'!$B$6)</f>
        <v>8</v>
      </c>
      <c r="O12" s="303" t="str">
        <f>IF(L12="MANUAL","",MAX((IF(ISNUMBER(G12),G12,(N12*'Global Pricing Config'!$B$5*M12+'Global Pricing Config'!$B$7)))-(MIN(MAX(F12,0),MAX((IF(ISNUMBER(G12),G12,(N12*'Global Pricing Config'!$B$5*M12+'Global Pricing Config'!$B$7)))*'Global Pricing Config'!$B$14,0),MAX(IF(ISNUMBER(G12),G12,(N12*'Global Pricing Config'!$B$5*M12+'Global Pricing Config'!$B$7)),0))),0))</f>
        <v/>
      </c>
      <c r="P12" s="303">
        <f>IF(D12="YES",E12+'Global Pricing Config'!$B$9,0)</f>
        <v>0</v>
      </c>
      <c r="Q12" s="303" t="str">
        <f t="shared" si="0"/>
        <v/>
      </c>
      <c r="R12" s="304" t="str">
        <f>IF(L12="MANUAL","",FLOOR((MAX((IF(ISNUMBER(G12),G12,(N12*'Global Pricing Config'!$B$5*M12+'Global Pricing Config'!$B$7)))-(MIN(MAX(F12,0),MAX((IF(ISNUMBER(G12),G12,(N12*'Global Pricing Config'!$B$5*M12+'Global Pricing Config'!$B$7)))*'Global Pricing Config'!$B$14,0),MAX(IF(ISNUMBER(G12),G12,(N12*'Global Pricing Config'!$B$5*M12+'Global Pricing Config'!$B$7)),0))),0))*'Global Pricing Config'!$B$12/'Global Pricing Config'!$B$13,1))</f>
        <v/>
      </c>
      <c r="S12" s="303" t="str">
        <f>IF(L12="MANUAL","",((IF(ISNUMBER(G12),G12,(N12*'Global Pricing Config'!$B$5*M12+'Global Pricing Config'!$B$7)))*'Global Pricing Config'!$B$14))</f>
        <v/>
      </c>
      <c r="T12" s="303" t="str">
        <f>IF(L12="MANUAL","",(MIN(MAX(F12,0),MAX((IF(ISNUMBER(G12),G12,(N12*'Global Pricing Config'!$B$5*M12+'Global Pricing Config'!$B$7)))*'Global Pricing Config'!$B$14,0),MAX(IF(ISNUMBER(G12),G12,(N12*'Global Pricing Config'!$B$5*M12+'Global Pricing Config'!$B$7)),0))))</f>
        <v/>
      </c>
      <c r="U12" s="300" t="str">
        <f t="shared" si="1"/>
        <v>MANUAL PRICING REQUIRED</v>
      </c>
      <c r="V12" s="305" t="str">
        <f>IF(U12="MANUAL PRICING REQUIRED","PASS","CHECK")</f>
        <v>PASS</v>
      </c>
    </row>
    <row r="13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</sheetData>
  <mergeCells count="2">
    <mergeCell ref="A1:V1"/>
    <mergeCell ref="A2:V2"/>
  </mergeCells>
  <conditionalFormatting sqref="V5:V12">
    <cfRule type="expression" dxfId="1" priority="1">
      <formula>V5="PASS"</formula>
    </cfRule>
    <cfRule type="expression" dxfId="0" priority="2">
      <formula>V5="CHECK"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Global Inputs</vt:lpstr>
      <vt:lpstr>Service Economics</vt:lpstr>
      <vt:lpstr>Profit Maximizer</vt:lpstr>
      <vt:lpstr>Growth &amp; Pricing Strategy</vt:lpstr>
      <vt:lpstr>NC Credits</vt:lpstr>
      <vt:lpstr>MVP1 Pricing &amp; SKU</vt:lpstr>
      <vt:lpstr>Pricing Engine</vt:lpstr>
      <vt:lpstr>Global Pricing Config</vt:lpstr>
      <vt:lpstr>Service Master</vt:lpstr>
      <vt:lpstr>API Mapping</vt:lpstr>
      <vt:lpstr>Pricing 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 GS</cp:lastModifiedBy>
  <dcterms:created xsi:type="dcterms:W3CDTF">2026-10-01T13:52:11Z</dcterms:created>
  <dcterms:modified xsi:type="dcterms:W3CDTF">2026-10-02T05:43:14Z</dcterms:modified>
</cp:coreProperties>
</file>